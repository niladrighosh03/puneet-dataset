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li khela" sheetId="1" r:id="rId4"/>
    <sheet state="visible" name="dariabandha" sheetId="2" r:id="rId5"/>
    <sheet state="visible" name="golla chut" sheetId="3" r:id="rId6"/>
    <sheet state="visible" name="ha du du" sheetId="4" r:id="rId7"/>
    <sheet state="visible" name="lathi khela" sheetId="5" r:id="rId8"/>
    <sheet state="visible" name="nouka baich" sheetId="6" r:id="rId9"/>
  </sheets>
  <definedNames/>
  <calcPr/>
</workbook>
</file>

<file path=xl/sharedStrings.xml><?xml version="1.0" encoding="utf-8"?>
<sst xmlns="http://schemas.openxmlformats.org/spreadsheetml/2006/main" count="3360" uniqueCount="3003">
  <si>
    <t>Question No.</t>
  </si>
  <si>
    <t>Question</t>
  </si>
  <si>
    <t>Options</t>
  </si>
  <si>
    <t>Answer</t>
  </si>
  <si>
    <t>Description</t>
  </si>
  <si>
    <t>প্রশ্ন নং.</t>
  </si>
  <si>
    <t>প্রশ্ন</t>
  </si>
  <si>
    <t>অপশন</t>
  </si>
  <si>
    <t>উত্তর</t>
  </si>
  <si>
    <t>বর্ণনা</t>
  </si>
  <si>
    <t>Where did Boli Khela originate?</t>
  </si>
  <si>
    <t>A) India, B) Bangladesh, C) Nepal, D) Sri Lanka</t>
  </si>
  <si>
    <t>B) Bangladesh</t>
  </si>
  <si>
    <t>Boli Khela is a traditional sport from Bangladesh, specifically from the Rajshahi region.</t>
  </si>
  <si>
    <t>What is the primary objective in Boli Khela?</t>
  </si>
  <si>
    <t>A) Running, B) Wrestling, C) Throwing a ball, D) Kicking a ball</t>
  </si>
  <si>
    <t>B) Wrestling</t>
  </si>
  <si>
    <t>The main objective of Boli Khela is to engage in a wrestling match.</t>
  </si>
  <si>
    <t>When is Boli Khela traditionally played?</t>
  </si>
  <si>
    <t>A) Winter, B) Summer, C) During festivals, D) Spring</t>
  </si>
  <si>
    <t>C) During festivals</t>
  </si>
  <si>
    <t>Boli Khela is traditionally played during the Bengali New Year (Pohela Boishakh) and other festivals.</t>
  </si>
  <si>
    <t>In which region of Bangladesh is Boli Khela most popular?</t>
  </si>
  <si>
    <t>A) Chittagong, B) Rajshahi, C) Dhaka, D) Khulna</t>
  </si>
  <si>
    <t>B) Rajshahi</t>
  </si>
  <si>
    <t>The sport is most popular in the Rajshahi region of Bangladesh.</t>
  </si>
  <si>
    <t>What is the traditional attire worn by participants of Boli Khela?</t>
  </si>
  <si>
    <t>A) Shorts and t-shirts, B) Lungi, C) Traditional Bengali dress, D) Jeans</t>
  </si>
  <si>
    <t>B) Lungi</t>
  </si>
  <si>
    <t>Participants traditionally wear a lungi, a garment common in rural Bangladesh.</t>
  </si>
  <si>
    <t>Which animal is often used as a symbol in Boli Khela?</t>
  </si>
  <si>
    <t>A) Tiger, B) Elephant, C) Bull, D) Horse</t>
  </si>
  <si>
    <t>C) Bull</t>
  </si>
  <si>
    <t>The bull is often symbolically associated with the strength and determination required in Boli Khela.</t>
  </si>
  <si>
    <t>What type of event is Boli Khela often held during?</t>
  </si>
  <si>
    <t>A) Religious ceremonies, B) Political rallies, C) Cultural festivals, D) Sports tournaments</t>
  </si>
  <si>
    <t>C) Cultural festivals</t>
  </si>
  <si>
    <t>Boli Khela is typically part of larger cultural celebrations and local festivals.</t>
  </si>
  <si>
    <t>How many participants usually compete in a Boli Khela match?</t>
  </si>
  <si>
    <t>A) 1, B) 2, C) 5, D) 10</t>
  </si>
  <si>
    <t>B) 2</t>
  </si>
  <si>
    <t>The match typically involves two competitors, often representing different villages or teams.</t>
  </si>
  <si>
    <t>What is a key feature of the Boli Khela match?</t>
  </si>
  <si>
    <t>A) Speed, B) Endurance, C) Strength, D) Agility</t>
  </si>
  <si>
    <t>C) Strength</t>
  </si>
  <si>
    <t>Boli Khela focuses on the physical strength and wrestling prowess of the participants.</t>
  </si>
  <si>
    <t>What is the prize for the winner of a Boli Khela match?</t>
  </si>
  <si>
    <t>A) Money, B) A trophy, C) A bull, D) A title</t>
  </si>
  <si>
    <t>D) A title</t>
  </si>
  <si>
    <t>The winner of the match is often given the title of 'Champion,' symbolizing their strength and prowess.</t>
  </si>
  <si>
    <t>In which part of the year is Boli Khela considered most significant?</t>
  </si>
  <si>
    <t>A) Winter, B) Spring, C) Summer, D) Autumn</t>
  </si>
  <si>
    <t>B) Spring</t>
  </si>
  <si>
    <t>The sport is most significant in spring during the Bengali New Year celebrations.</t>
  </si>
  <si>
    <t>What is one of the physical challenges of Boli Khela?</t>
  </si>
  <si>
    <t>A) Swimming, B) Long-distance running, C) Wrestling in mud, D) Jumping</t>
  </si>
  <si>
    <t>C) Wrestling in mud</t>
  </si>
  <si>
    <t>The sport often involves wrestling in a muddy field, which adds to the difficulty of the match.</t>
  </si>
  <si>
    <t>What is the purpose of Boli Khela in traditional society?</t>
  </si>
  <si>
    <t>A) Entertainment, B) Demonstration of strength, C) Military training, D) Skill development</t>
  </si>
  <si>
    <t>B) Demonstration of strength</t>
  </si>
  <si>
    <t>Boli Khela is a way to demonstrate and celebrate physical strength and wrestling skill.</t>
  </si>
  <si>
    <t>Which other traditional Bengali sport is Boli Khela similar to?</t>
  </si>
  <si>
    <t>A) Kabaddi, B) Kho Kho, C) Wrestling, D) Volleyball</t>
  </si>
  <si>
    <t>C) Wrestling</t>
  </si>
  <si>
    <t>Boli Khela shares similarities with traditional wrestling, especially in terms of its focus on strength.</t>
  </si>
  <si>
    <t>Who were the typical participants in Boli Khela in the past?</t>
  </si>
  <si>
    <t>A) Farmers, B) Traders, C) Wrestlers, D) Soldiers</t>
  </si>
  <si>
    <t>A) Farmers</t>
  </si>
  <si>
    <t>Historically, farmers were the main participants, as they were known for their physical strength.</t>
  </si>
  <si>
    <t>What type of spectatorship does Boli Khela attract?</t>
  </si>
  <si>
    <t>A) International audience, B) Local villagers, C) Political leaders, D) Tourists</t>
  </si>
  <si>
    <t>B) Local villagers</t>
  </si>
  <si>
    <t>Boli Khela traditionally attracts a local audience, including villagers who celebrate the event.</t>
  </si>
  <si>
    <t>Which country is home to the folk tradition of Boli Khela?</t>
  </si>
  <si>
    <t>A) India, B) Bangladesh, C) Pakistan, D) Nepal</t>
  </si>
  <si>
    <t>Boli Khela is a traditional sport that originates from Bangladesh.</t>
  </si>
  <si>
    <t>What is often celebrated during the Boli Khela festival?</t>
  </si>
  <si>
    <t>A) National holidays, B) Agricultural harvests, C) Religious events, D) Family gatherings</t>
  </si>
  <si>
    <t>B) Agricultural harvests</t>
  </si>
  <si>
    <t>The festival is linked to celebrating the harvest season, which is an important part of Bengali life.</t>
  </si>
  <si>
    <t>What does the winner of Boli Khela receive as a reward?</t>
  </si>
  <si>
    <t>A) A sum of money, B) A trophy, C) A gold medal, D) A bull or a cow</t>
  </si>
  <si>
    <t>D) A bull or a cow</t>
  </si>
  <si>
    <t>Traditionally, the winner may be rewarded with a bull or cow as a symbol of strength.</t>
  </si>
  <si>
    <t>What is a unique characteristic of the Boli Khela match?</t>
  </si>
  <si>
    <t>A) Water-based competition, B) Focus on endurance, C) A wrestling competition with no weapons, D) A ball is involved</t>
  </si>
  <si>
    <t>C) A wrestling competition with no weapons</t>
  </si>
  <si>
    <t>Boli Khela is characterized by wrestling without the use of weapons, focusing on physical strength.</t>
  </si>
  <si>
    <t>What type of training did traditional participants of Boli Khela undergo?</t>
  </si>
  <si>
    <t>A) Formal schooling, B) Physical training and wrestling, C) Mental exercises, D) Agricultural techniques</t>
  </si>
  <si>
    <t>B) Physical training and wrestling</t>
  </si>
  <si>
    <t>Traditional participants often underwent physical training and wrestling practice to compete in Boli Khela.</t>
  </si>
  <si>
    <t>Which community primarily celebrates Boli Khela?</t>
  </si>
  <si>
    <t>A) Bengali Muslims, B) Bengali Hindus, C) Tribal communities, D) Both Bengali Muslims and Hindus</t>
  </si>
  <si>
    <t>D) Both Bengali Muslims and Hindus</t>
  </si>
  <si>
    <t>Boli Khela is celebrated by both Bengali Muslims and Hindus as part of their cultural heritage.</t>
  </si>
  <si>
    <t>How is Boli Khela significant in the cultural identity of Bangladesh?</t>
  </si>
  <si>
    <t>A) It celebrates the monarchy, B) It is linked to religious practices, C) It highlights physical prowess and tradition, D) It celebrates royal history</t>
  </si>
  <si>
    <t>C) It highlights physical prowess and tradition</t>
  </si>
  <si>
    <t>Boli Khela is an important part of Bengali culture, showcasing strength and traditional values.</t>
  </si>
  <si>
    <t>In Boli Khela, which part of the body is most engaged during the match?</t>
  </si>
  <si>
    <t>A) Hands, B) Legs, C) Core, D) Arms</t>
  </si>
  <si>
    <t>C) Core</t>
  </si>
  <si>
    <t>The core muscles are heavily engaged as participants use their strength and agility to wrestle.</t>
  </si>
  <si>
    <t>Who are considered the legends of Boli Khela?</t>
  </si>
  <si>
    <t>A) Politicians, B) Famous wrestlers, C) Farmers, D) Poets</t>
  </si>
  <si>
    <t>B) Famous wrestlers</t>
  </si>
  <si>
    <t>Legendary wrestlers are celebrated as heroes in the tradition of Boli Khela.</t>
  </si>
  <si>
    <t>What is the role of the local community in Boli Khela?</t>
  </si>
  <si>
    <t>A) Organizing the match, B) Spectators only, C) Competitors, D) Administrators</t>
  </si>
  <si>
    <t>A) Organizing the match</t>
  </si>
  <si>
    <t>The local community plays a crucial role in organizing the matches, from setting up the venue to cheering on participants.</t>
  </si>
  <si>
    <t>What is the primary venue for Boli Khela competitions?</t>
  </si>
  <si>
    <t>A) Stadium, B) Village field, C) River bank, D) Market place</t>
  </si>
  <si>
    <t>B) Village field</t>
  </si>
  <si>
    <t>Boli Khela matches are traditionally held in open village fields.</t>
  </si>
  <si>
    <t>Which Bengali festival features Boli Khela as one of its highlights?</t>
  </si>
  <si>
    <t>A) Durga Puja, B) Pohela Boishakh, C) Eid al-Fitr, D) Christmas</t>
  </si>
  <si>
    <t>B) Pohela Boishakh</t>
  </si>
  <si>
    <t>Boli Khela is often played during the Bengali New Year (Pohela Boishakh) festivities.</t>
  </si>
  <si>
    <t>In Boli Khela, what happens if a wrestler is thrown out of the ring?</t>
  </si>
  <si>
    <t>A) They lose the match, B) They get a second chance, C) The match continues, D) The other wrestler wins a point</t>
  </si>
  <si>
    <t>A) They lose the match</t>
  </si>
  <si>
    <t>A wrestler who is thrown out of the ring typically loses the match.</t>
  </si>
  <si>
    <t>Which physical trait is highly valued in Boli Khela participants?</t>
  </si>
  <si>
    <t>A) Speed, B) Flexibility, C) Strength, D) Height</t>
  </si>
  <si>
    <t>Strength is the most valued trait in Boli Khela, as the sport is based on wrestling.</t>
  </si>
  <si>
    <t>Which cultural aspect does Boli Khela represent?</t>
  </si>
  <si>
    <t>A) Agrarian lifestyle, B) Religious practices, C) Military training, D) Royal traditions</t>
  </si>
  <si>
    <t>A) Agrarian lifestyle</t>
  </si>
  <si>
    <t>Boli Khela represents the strength and resilience of the agrarian lifestyle in rural Bangladesh.</t>
  </si>
  <si>
    <t>What type of terrain is typically used for a Boli Khela match?</t>
  </si>
  <si>
    <t>A) Sand, B) Mud, C) Grass, D) Concrete</t>
  </si>
  <si>
    <t>B) Mud</t>
  </si>
  <si>
    <t>Boli Khela matches are often held in muddy fields, adding to the challenge of the competition.</t>
  </si>
  <si>
    <t>How is the winner of Boli Khela traditionally celebrated?</t>
  </si>
  <si>
    <t>A) With a crown, B) With a bull or cow, C) With a feast, D) With a medal</t>
  </si>
  <si>
    <t>B) With a bull or cow</t>
  </si>
  <si>
    <t>The winner is traditionally awarded a bull or cow as a symbol of strength.</t>
  </si>
  <si>
    <t>Who are the key figures in Boli Khela matches?</t>
  </si>
  <si>
    <t>A) Wrestlers, B) Coaches, C) Spectators, D) Judges</t>
  </si>
  <si>
    <t>A) Wrestlers</t>
  </si>
  <si>
    <t>The wrestlers are the central figures in Boli Khela, engaging in physical contests.</t>
  </si>
  <si>
    <t>What is the role of spectators in a Boli Khela match?</t>
  </si>
  <si>
    <t>A) To judge the match, B) To cheer for their local wrestlers, C) To train the wrestlers, D) To organize the event</t>
  </si>
  <si>
    <t>B) To cheer for their local wrestlers</t>
  </si>
  <si>
    <t>Spectators are mainly present to cheer for their local wrestlers and celebrate the sport.</t>
  </si>
  <si>
    <t>What other cultural event is Boli Khela often associated with?</t>
  </si>
  <si>
    <t>A) Harvest festival, B) Political rally, C) Weddings, D) Religious ceremony</t>
  </si>
  <si>
    <t>A) Harvest festival</t>
  </si>
  <si>
    <t>Boli Khela is often associated with harvest festivals, celebrating the agricultural roots of the sport.</t>
  </si>
  <si>
    <t>What is the traditional starting gesture in Boli Khela?</t>
  </si>
  <si>
    <t>A) A handshake, B) A bow, C) A prayer, D) A wrestling stance</t>
  </si>
  <si>
    <t>D) A wrestling stance</t>
  </si>
  <si>
    <t>Participants begin Boli Khela with a wrestling stance, signaling the start of the match.</t>
  </si>
  <si>
    <t>What is one unique characteristic of Boli Khela compared to modern sports?</t>
  </si>
  <si>
    <t>A) No time limit, B) Use of weapons, C) Teamwork focus, D) Use of a ball</t>
  </si>
  <si>
    <t>A) No time limit</t>
  </si>
  <si>
    <t>Boli Khela often has no time limit, with the match continuing until one wrestler dominates.</t>
  </si>
  <si>
    <t>Which of the following skills is most important in Boli Khela?</t>
  </si>
  <si>
    <t>A) Speed, B) Strategy, C) Flexibility, D) Strength</t>
  </si>
  <si>
    <t>D) Strength</t>
  </si>
  <si>
    <t>Strength is the most important skill in Boli Khela, as it is a wrestling-based sport.</t>
  </si>
  <si>
    <t>How are the wrestlers selected for Boli Khela?</t>
  </si>
  <si>
    <t>A) Based on their wealth, B) Based on their physical strength, C) Based on their popularity, D) Based on their skills in other sports</t>
  </si>
  <si>
    <t>B) Based on their physical strength</t>
  </si>
  <si>
    <t>Wrestlers are selected based on their physical strength and ability to perform in the match.</t>
  </si>
  <si>
    <t>What happens to a wrestler if they lose in Boli Khela?</t>
  </si>
  <si>
    <t>A) They must leave the village, B) They are penalized, C) They have to fight again, D) They face no penalty</t>
  </si>
  <si>
    <t>D) They face no penalty</t>
  </si>
  <si>
    <t>There is no formal penalty for losing, but they may face disappointment from their community.</t>
  </si>
  <si>
    <t>What is the significance of Boli Khela in rural communities?</t>
  </si>
  <si>
    <t>A) Entertainment, B) Religious significance, C) Social bonding and celebration, D) Training for war</t>
  </si>
  <si>
    <t>C) Social bonding and celebration</t>
  </si>
  <si>
    <t>Boli Khela serves as a social event, bringing the community together for celebration and bonding.</t>
  </si>
  <si>
    <t>What role does tradition play in Boli Khela?</t>
  </si>
  <si>
    <t>A) It shapes the rules of the game, B) It influences the attire of participants, C) It influences the types of prizes, D) All of the above</t>
  </si>
  <si>
    <t>D) All of the above</t>
  </si>
  <si>
    <t>Tradition plays a role in the rules, attire, and prizes, making Boli Khela a deeply cultural experience.</t>
  </si>
  <si>
    <t>What is the spiritual significance of Boli Khela in rural Bangladesh?</t>
  </si>
  <si>
    <t>A) It honors deities, B) It marks the start of the harvest season, C) It celebrates the lives of local heroes, D) It has no spiritual significance</t>
  </si>
  <si>
    <t>B) It marks the start of the harvest season</t>
  </si>
  <si>
    <t>Boli Khela is often seen as a celebration of the harvest season and the hard work of farmers.</t>
  </si>
  <si>
    <t>What do spectators traditionally do during Boli Khela matches?</t>
  </si>
  <si>
    <t>A) Chant and cheer for their local hero, B) Participate in the wrestling, C) Judge the wrestlers, D) Record the match results</t>
  </si>
  <si>
    <t>A) Chant and cheer for their local hero</t>
  </si>
  <si>
    <t>Spectators often chant and cheer for their local hero, creating an exciting atmosphere.</t>
  </si>
  <si>
    <t>Which age group traditionally participates in Boli Khela?</t>
  </si>
  <si>
    <t>A) Children, B) Teenagers, C) Adults, D) Elderly</t>
  </si>
  <si>
    <t>C) Adults</t>
  </si>
  <si>
    <t>Adults, particularly those in the prime of their physical strength, traditionally participate in Boli Khela.</t>
  </si>
  <si>
    <t>What distinguishes Boli Khela from other wrestling forms?</t>
  </si>
  <si>
    <t>A) It is non-competitive, B) It involves no rules, C) It is rooted in Bengali traditions, D) It is played indoors</t>
  </si>
  <si>
    <t>C) It is rooted in Bengali traditions</t>
  </si>
  <si>
    <t>Boli Khela is deeply rooted in Bengali cultural traditions, distinguishing it from other forms of wrestling.</t>
  </si>
  <si>
    <t>What cultural values does Boli Khela embody?</t>
  </si>
  <si>
    <t>A) Family values, B) Physical endurance and strength, C) Religious devotion, D) Academic achievement</t>
  </si>
  <si>
    <t>B) Physical endurance and strength</t>
  </si>
  <si>
    <t>Boli Khela embodies values of physical endurance, strength, and resilience.</t>
  </si>
  <si>
    <t>Which other traditional event coincides with Boli Khela?</t>
  </si>
  <si>
    <t>A) Wedding celebrations, B) Harvest festivals, C) Religious ceremonies, D) Political events</t>
  </si>
  <si>
    <t>B) Harvest festivals</t>
  </si>
  <si>
    <t>Boli Khela is often a highlight of harvest festivals, celebrating the completion of the agricultural cycle.</t>
  </si>
  <si>
    <t>Which group of people traditionally organizes Boli Khela?</t>
  </si>
  <si>
    <t>A) Local government, B) Farmers, C) Village elders, D) Religious leaders</t>
  </si>
  <si>
    <t>C) Village elders</t>
  </si>
  <si>
    <t>Village elders traditionally organize Boli Khela as part of local festivities.</t>
  </si>
  <si>
    <t>What is the reward for the winner of a Boli Khela match?</t>
  </si>
  <si>
    <t>A) A cash prize, B) A trophy, C) A feast, D) Livestock</t>
  </si>
  <si>
    <t>D) Livestock</t>
  </si>
  <si>
    <t>Winners of Boli Khela are often awarded livestock, such as a bull or cow, as a prize.</t>
  </si>
  <si>
    <t>Which physical skill is essential for success in Boli Khela?</t>
  </si>
  <si>
    <t>A) Agility, B) Strength, C) Flexibility, D) Stamina</t>
  </si>
  <si>
    <t>B) Strength</t>
  </si>
  <si>
    <t>Strength is the key physical skill required to excel in Boli Khela.</t>
  </si>
  <si>
    <t>What type of wrestling does Boli Khela resemble?</t>
  </si>
  <si>
    <t>A) Olympic wrestling, B) Greco-Roman wrestling, C) Folk wrestling, D) Brazilian Jiu-Jitsu</t>
  </si>
  <si>
    <t>C) Folk wrestling</t>
  </si>
  <si>
    <t>Boli Khela is a form of folk wrestling, unique to the Bengali culture.</t>
  </si>
  <si>
    <t>How does Boli Khela maintain its popularity?</t>
  </si>
  <si>
    <t>A) Through modern adaptations, B) Through television broadcasts, C) Through community participation, D) Through online promotions</t>
  </si>
  <si>
    <t>C) Through community participation</t>
  </si>
  <si>
    <t>Boli Khela remains popular because of the community's active participation and cultural significance.</t>
  </si>
  <si>
    <t>Which region in Bangladesh is most associated with the practice of Boli Khela?</t>
  </si>
  <si>
    <t>A) Chittagong, B) Khulna, C) Rajshahi, D) Barisal</t>
  </si>
  <si>
    <t>A) Chittagong</t>
  </si>
  <si>
    <t>Boli Khela is most commonly practiced in the Chittagong region of Bangladesh.</t>
  </si>
  <si>
    <t>What type of attire do participants traditionally wear during a Boli Khela match?</t>
  </si>
  <si>
    <t>A) Traditional armor, B) Simple cotton clothes, C) Wrestling suits, D) Nothing specific</t>
  </si>
  <si>
    <t>B) Simple cotton clothes</t>
  </si>
  <si>
    <t>Participants typically wear simple cotton clothes, reflecting the traditional nature of the sport.</t>
  </si>
  <si>
    <t>Which event typically marks the end of a Boli Khela competition?</t>
  </si>
  <si>
    <t>A) A feast, B) A prayer, C) A victory lap, D) A community celebration</t>
  </si>
  <si>
    <t>D) A community celebration</t>
  </si>
  <si>
    <t>The conclusion of a Boli Khela competition is often marked by a large community celebration.</t>
  </si>
  <si>
    <t>What is the primary goal of the wrestlers in Boli Khela?</t>
  </si>
  <si>
    <t>A) To knock the opponent out of the ring, B) To pin the opponent to the ground, C) To tire the opponent out, D) To score the most points</t>
  </si>
  <si>
    <t>A) To knock the opponent out of the ring</t>
  </si>
  <si>
    <t>The primary goal is to knock the opponent out of the ring or dominate them in a physical struggle.</t>
  </si>
  <si>
    <t>In which year was Boli Khela officially recognized by the Bangladesh government as a national sport?</t>
  </si>
  <si>
    <t>A) 1950, B) 1971, C) 1984, D) 2001</t>
  </si>
  <si>
    <t>C) 1984</t>
  </si>
  <si>
    <t>Boli Khela was officially recognized by the Bangladesh government in 1984 as part of preserving cultural heritage.</t>
  </si>
  <si>
    <t>What type of wrestling is Boli Khela considered to be?</t>
  </si>
  <si>
    <t>A) Greco-Roman, B) Folk wrestling, C) Free style, D) Sumo</t>
  </si>
  <si>
    <t>B) Folk wrestling</t>
  </si>
  <si>
    <t>Boli Khela is a traditional form of folk wrestling that reflects the rural lifestyle of Bangladesh.</t>
  </si>
  <si>
    <t>Who is credited with popularizing the modern form of Boli Khela, known as "Jabbarer Boli Khela"?</t>
  </si>
  <si>
    <t>A) Kader Boxo, B) Abdul Jabbar Saodagar, C) Didarul Alam, D) Yasin Makki</t>
  </si>
  <si>
    <t>B) Abdul Jabbar Saodagar</t>
  </si>
  <si>
    <t>Abdul Jabbar Saodagar was a merchant who started the famous Boli Khela competition to inspire youth against British rule.</t>
  </si>
  <si>
    <t>In which year did Abdul Jabbar Saodagar first organize Boli Khela?</t>
  </si>
  <si>
    <t>A) 1879, B) 1889, C) 1907, D) 1921</t>
  </si>
  <si>
    <t>C) 1907</t>
  </si>
  <si>
    <t>Jabbar's Boli Khela was first held in 1907, with the intention of inspiring anti-British sentiment among the youth.</t>
  </si>
  <si>
    <t>The most famous Boli Khela tournament is held at which location?</t>
  </si>
  <si>
    <t>A) Madarsha Union, B) Satkania Upazila, C) Laldighi Maidan, D) Badarpati</t>
  </si>
  <si>
    <t>C) Laldighi Maidan</t>
  </si>
  <si>
    <t>The historic "Jabbarer Boli Khela" is held annually at the Laldighi Maidan in Chittagong.</t>
  </si>
  <si>
    <t>What was the primary motivation for Abdul Jabbar Saodagar to start the Boli Khela tournament?</t>
  </si>
  <si>
    <t>A) To earn money, B) To entertain the people, C) To cultivate a sport to prepare youth against British rule, D) To promote tourism</t>
  </si>
  <si>
    <t>C) To cultivate a sport to prepare youth against British rule</t>
  </si>
  <si>
    <t>The tournament was a patriotic gesture meant to build physical and mental strength among the youth for the anti-colonial movement.</t>
  </si>
  <si>
    <t>The term "Mokkaro Boli Khela" is named after a landlord and resident of which area?</t>
  </si>
  <si>
    <t>A) Satkania Upazila, B) Rawzan, C) Anowara, D) Chandgaon</t>
  </si>
  <si>
    <t>A) Satkania Upazila</t>
  </si>
  <si>
    <t>"Mokkaro Boli Khela" was initiated by Kader Boxo, a landlord from Satkania Upazila.</t>
  </si>
  <si>
    <t>Boli Khela is often a key part of the festival surrounding which major annual event in Bangladesh?</t>
  </si>
  <si>
    <t>A) Eid al-Fitr, B) Durga Puja, C) Pohela Boishakh, D) Shab-e-Barat</t>
  </si>
  <si>
    <t>C) Pohela Boishakh</t>
  </si>
  <si>
    <t>The Boli Khela tournaments are celebrated alongside the traditional Boishakhi Mela (fair) during the Bengali New Year.</t>
  </si>
  <si>
    <t>What does the word "Mollo" refer to in the context of Boli Khela?</t>
  </si>
  <si>
    <t>A) A type of prize, B) A training center, C) A wrestling referee, D) A wrestler or warrior</t>
  </si>
  <si>
    <t>D) A wrestler or warrior</t>
  </si>
  <si>
    <t>Wrestlers who participate in Boli Khela are often referred to as "Mollo" or "Boli."</t>
  </si>
  <si>
    <t>What was the prize for the winner of Kader Boxo's Boli Khela matches?</t>
  </si>
  <si>
    <t>A) A gold medal, B) A trophy, C) A bag of rice, D) A prize from his renters</t>
  </si>
  <si>
    <t>D) A prize from his renters</t>
  </si>
  <si>
    <t>Kader Boxo arranged Boli Khela matches and awarded prizes with the dues collected from his renters.</t>
  </si>
  <si>
    <t>What was a unique rule for participation in Kader Boxo's initial Boli Khela tournament?</t>
  </si>
  <si>
    <t>A) Only locals could participate, B) Participants had to lift a giant tree, C) Only farmers were allowed, D) The prize was a bull</t>
  </si>
  <si>
    <t>B) Participants had to lift a giant tree</t>
  </si>
  <si>
    <t>The tradition of lifting a massive tree was a test of strength to qualify for the match.</t>
  </si>
  <si>
    <t>In the history of Boli Khela, what was a common professional background of the early participants?</t>
  </si>
  <si>
    <t>A) Scholars, B) Traders, C) Landlords, D) Farmers</t>
  </si>
  <si>
    <t>D) Farmers</t>
  </si>
  <si>
    <t>Farmers were often the main participants, celebrated for their physical strength from working the land.</t>
  </si>
  <si>
    <t>Boli Khela is one of the oldest traditions in which region of Bangladesh?</t>
  </si>
  <si>
    <t>A) Dhaka, B) Chittagong, C) Sylhet, D) Khulna</t>
  </si>
  <si>
    <t>B) Chittagong</t>
  </si>
  <si>
    <t>Boli Khela has a centuries-long history, with the Chittagong region being its cultural heartland.</t>
  </si>
  <si>
    <t>What is a "lathial" group and how is it historically connected to Boli Khela?</t>
  </si>
  <si>
    <t>A) A group of dancers, B) A group of tax collectors, C) A group of stick fighters, D) A group of musicians</t>
  </si>
  <si>
    <t>C) A group of stick fighters</t>
  </si>
  <si>
    <t>Stick fighting (lathi khela) was another martial art practiced in the region, with its practitioners sometimes also participating in Boli Khela.</t>
  </si>
  <si>
    <t>What is a "Boishakhi Mela"?</t>
  </si>
  <si>
    <t>A) A type of music, B) A traditional wrestling match, C) A fair, D) A type of dance</t>
  </si>
  <si>
    <t>C) A fair</t>
  </si>
  <si>
    <t>A "Boishakhi Mela" is a large fair held during the Bengali New Year, which often accompanies Boli Khela events.</t>
  </si>
  <si>
    <t>The wrestling style of Boli Khela is a form of what kind of sport?</t>
  </si>
  <si>
    <t>A) Team sport, B) Combat sport, C) Ball sport, D) Water sport</t>
  </si>
  <si>
    <t>B) Combat sport</t>
  </si>
  <si>
    <t>Boli Khela is a combat sport that involves grappling and other wrestling techniques.</t>
  </si>
  <si>
    <t>What was the historical significance of the "Jabbarer Boli Khela" in the context of the freedom movement?</t>
  </si>
  <si>
    <t>A) It was a secret meeting place, B) It was a public demonstration of power, C) It was a way to raise funds for the movement, D) It was a physical training ground for youth</t>
  </si>
  <si>
    <t>D) It was a physical training ground for youth</t>
  </si>
  <si>
    <t>Jabbar's tournament served to strengthen the youth for the anti-British movement.</t>
  </si>
  <si>
    <t>Who was the first person to initiate Boli Khela?</t>
  </si>
  <si>
    <t>A) Abdul Jabbar Saodagar, B) Didarul Alam, C) Kader Boxo, D) Yasin Makki</t>
  </si>
  <si>
    <t>C) Kader Boxo</t>
  </si>
  <si>
    <t>While Jabbar popularized it, Kader Boxo first introduced the game in 1879.</t>
  </si>
  <si>
    <t>How did Abdul Jabbar Saodagar financially support the Boli Khela tournament?</t>
  </si>
  <si>
    <t>A) He used the profits from his business, B) He received government funding, C) He had no financial support, D) He collected dues from his renters</t>
  </si>
  <si>
    <t>A) He used the profits from his business</t>
  </si>
  <si>
    <t>As a wealthy merchant, he used his own funds to organize the event.</t>
  </si>
  <si>
    <t>What is the historical reason for the tournament's popularity after World War I?</t>
  </si>
  <si>
    <t>A) Increased patriotism, B) The end of British rule, C) New rules were introduced, D) It became an Olympic sport</t>
  </si>
  <si>
    <t>A) Increased patriotism</t>
  </si>
  <si>
    <t>The sport's anti-colonial message resonated with the rising patriotic sentiments after the war.</t>
  </si>
  <si>
    <t>The wrestling community in Chittagong has a long history. What title was often given to strong, brave men in the past?</t>
  </si>
  <si>
    <t>A) Sardar, B) Khan Bahadur, C) Malla, D) Saodagar</t>
  </si>
  <si>
    <t>C) Malla</t>
  </si>
  <si>
    <t>The title "Malla" (wrestler) was often used for brave men with great physical strength in the region.</t>
  </si>
  <si>
    <t>The term "Boli" in Boli Khela literally translates to what in the Chittagonian language?</t>
  </si>
  <si>
    <t>A) A game, B) A strong person or wrestler, C) A victory, D) A warrior</t>
  </si>
  <si>
    <t>B) A strong person or wrestler</t>
  </si>
  <si>
    <t>The word "Boli" is from the local Chittagonian dialect, meaning a powerful person.</t>
  </si>
  <si>
    <t>What is the historical reason that Boli Khela is often held in April?</t>
  </si>
  <si>
    <t>A) To coincide with a religious holiday, B) To celebrate the end of the year, C) To mark the start of the Bengali New Year, D) To avoid the monsoon season</t>
  </si>
  <si>
    <t>C) To mark the start of the Bengali New Year</t>
  </si>
  <si>
    <t>The tournaments are held in the month of Boishakh, the first month of the Bengali calendar.</t>
  </si>
  <si>
    <t>Who were the "lathial" and why were they historically important?</t>
  </si>
  <si>
    <t>A) Farmers, B) Tax collectors and guards, C) Merchants, D) Artists</t>
  </si>
  <si>
    <t>B) Tax collectors and guards</t>
  </si>
  <si>
    <t>"Lathial" were stick fighters often employed by feudal lords to enforce authority and collect taxes.</t>
  </si>
  <si>
    <t>What was the primary motivation of Kader Boxo for starting Boli Khela?</t>
  </si>
  <si>
    <t>A) To fight against the British, B) To entertain his tenants, C) To showcase his wealth, D) To promote a healthy lifestyle</t>
  </si>
  <si>
    <t>B) To entertain his tenants</t>
  </si>
  <si>
    <t>Unlike Jabbar, Kader Boxo's primary goal was to provide entertainment for his subjects while collecting rent.</t>
  </si>
  <si>
    <t>The wrestling arena for Boli Khela is traditionally made of what material?</t>
  </si>
  <si>
    <t>A) Concrete, B) Grass, C) Sand or dirt, D) Wood</t>
  </si>
  <si>
    <t>C) Sand or dirt</t>
  </si>
  <si>
    <t>Matches are traditionally held on a sandy or dirt ground, a characteristic of folk wrestling.</t>
  </si>
  <si>
    <t>What is a notable historical characteristic of the prize for winning Boli Khela?</t>
  </si>
  <si>
    <t>A) A title, B) A feast, C) Livestock, D) A piece of land</t>
  </si>
  <si>
    <t>C) Livestock</t>
  </si>
  <si>
    <t>Historically, winning a Boli Khela match came with the reward of a bull or a cow, symbolizing the winner's strength.</t>
  </si>
  <si>
    <t>How has the popularity of Boli Khela changed over the past few decades, particularly in urban areas?</t>
  </si>
  <si>
    <t>A) It has increased, B) It has stayed the same, C) It has waned, D) It has become a professional sport</t>
  </si>
  <si>
    <t>C) It has waned</t>
  </si>
  <si>
    <t>The popularity of Boli Khela has noticeably declined in urban areas, where people are more interested in modern sports.</t>
  </si>
  <si>
    <t>What is the name of the fair that is held alongside the "Jabbarer Boli Khela"?</t>
  </si>
  <si>
    <t>A) A "Boishakhi Mela", B) A "Jabbar Mela", C) A "Laldighi Mela", D) A "Chattogram Mela"</t>
  </si>
  <si>
    <t>A) A "Boishakhi Mela"</t>
  </si>
  <si>
    <t>The fair is a major part of the annual festivities, attracting a large crowd of people.</t>
  </si>
  <si>
    <t>What was the name of the first Boli Khela tournament?</t>
  </si>
  <si>
    <t>A) Mokkaro Boli Khela, B) Jabbarer Boli Khela, C) Laldighi Boli Khela, D) Satkania Boli Khela</t>
  </si>
  <si>
    <t>A) Mokkaro Boli Khela</t>
  </si>
  <si>
    <t>This tournament was started by Kader Boxo in 1879, preceding Jabbar's version.</t>
  </si>
  <si>
    <t>The name "Jabbarer Boli Khela" directly honors which historical figure?</t>
  </si>
  <si>
    <t>A) Didar Boli, B) Abdul Jabbar Saodagar, C) Kader Boxo, D) Marma Singh</t>
  </si>
  <si>
    <t>The tournament is named after its founder, Abdul Jabbar Saodagar.</t>
  </si>
  <si>
    <t>What was the goal of the organizers of Boli Khela in the early 20th century?</t>
  </si>
  <si>
    <t>A) To promote a healthy lifestyle, B) To develop self-defense skills without weapons, C) To earn money for their families, D) To promote religious tolerance</t>
  </si>
  <si>
    <t>B) To develop self-defense skills without weapons</t>
  </si>
  <si>
    <t>The sport was initially a way to train youth for self-defense and martial arts.</t>
  </si>
  <si>
    <t>The tradition of Boli Khela has a deep connection to the history of which city in Bangladesh?</t>
  </si>
  <si>
    <t>A) Dhaka, B) Chittagong, C) Rajshahi, D) Sylhet</t>
  </si>
  <si>
    <t>Boli Khela is the national game of the Chittagong district.</t>
  </si>
  <si>
    <t>Historically, what was the length of a typical Boli Khela match?</t>
  </si>
  <si>
    <t>A) 10-15 minutes, B) 20-25 minutes, C) 25-30 minutes, D) An hour or more</t>
  </si>
  <si>
    <t>C) 25-30 minutes</t>
  </si>
  <si>
    <t>A typical match lasted for a significant amount of time, testing the endurance of the wrestlers.</t>
  </si>
  <si>
    <t>What was the historical social standing of the "Mollo" (wrestlers) in the Chittagong region?</t>
  </si>
  <si>
    <t>A) They were considered low-class, B) They were respected as brave men, C) They were considered outcasts, D) They had no special social status</t>
  </si>
  <si>
    <t>B) They were respected as brave men</t>
  </si>
  <si>
    <t>Wrestlers were highly respected in their communities for their strength and courage.</t>
  </si>
  <si>
    <t>What does the name "Jabbar Saodagar" mean?</t>
  </si>
  <si>
    <t>A) Jabbar the Wrestler, B) Jabbar the Warrior, C) Jabbar the Trader/Merchant, D) Jabbar the King</t>
  </si>
  <si>
    <t>C) Jabbar the Trader/Merchant</t>
  </si>
  <si>
    <t>The word "Saodagar" means merchant or trader, which was Abdul Jabbar's profession.</t>
  </si>
  <si>
    <t>The history of Boli Khela is closely linked to which other folk game from Bengal?</t>
  </si>
  <si>
    <t>A) Lathi Khela (stick fighting), B) Kabaddi, C) Kho Kho, D) Ha-du-du</t>
  </si>
  <si>
    <t>A) Lathi Khela (stick fighting)</t>
  </si>
  <si>
    <t>Both Boli Khela and Lathi Khela are traditional combat sports from the region, with shared historical roots.</t>
  </si>
  <si>
    <t>Why did Jabbar's Boli Khela become more historically significant than Kader Boxo's?</t>
  </si>
  <si>
    <t>A) It had bigger prizes, B) It was held in a more prominent location, C) It was tied to a patriotic cause, D) It had more famous wrestlers</t>
  </si>
  <si>
    <t>C) It was tied to a patriotic cause</t>
  </si>
  <si>
    <t>Its association with the anti-British movement gave it a broader and more enduring historical significance.</t>
  </si>
  <si>
    <t>In the past, what kind of people would hire "lathial" groups?</t>
  </si>
  <si>
    <t>A) Farmers, B) Zamindars (feudal lords), C) Merchants, D) Teachers</t>
  </si>
  <si>
    <t>B) Zamindars (feudal lords)</t>
  </si>
  <si>
    <t>Zamindars hired "lathial" groups as security and as a symbol of their power.</t>
  </si>
  <si>
    <t>The tradition of Boli Khela has been passed down through generations. How is this heritage maintained today?</t>
  </si>
  <si>
    <t>A) Through formal training academies, B) Through family legacy, C) Through government funding, D) Through sponsorship from corporations</t>
  </si>
  <si>
    <t>B) Through family legacy</t>
  </si>
  <si>
    <t>Many wrestlers today come from families with a long history of participation in the sport.</t>
  </si>
  <si>
    <t>Historically, what did women from Anowara used to include in their marriage papers?</t>
  </si>
  <si>
    <t>A) The right to own land, B) The right to participate in Boli Khela, C) A condition to visit the "Shorkarer Boli Khela", D) A promise to support their husband's wrestling career</t>
  </si>
  <si>
    <t>C) A condition to visit the "Shorkarer Boli Khela"</t>
  </si>
  <si>
    <t>This tradition highlights the deep cultural significance and popularity of the event in the past.</t>
  </si>
  <si>
    <t>The history of Boli Khela is also linked to the local economy. Why?</t>
  </si>
  <si>
    <t>A) It attracts tourists, B) It involves trading of goods, C) The fair held alongside the event, D) The prizes are very expensive</t>
  </si>
  <si>
    <t>C) The fair held alongside the event</t>
  </si>
  <si>
    <t>The "Boishakhi Mela" is a crucial economic event for local artisans and vendors.</t>
  </si>
  <si>
    <t>What was the historical objective of the Boli Khela matches?</t>
  </si>
  <si>
    <t>A) To injure the opponent, B) To score points, C) To force any part of the opponent's body to touch the ground (except feet), D) To get a pin</t>
  </si>
  <si>
    <t>C) To force any part of the opponent's body to touch the ground (except feet)</t>
  </si>
  <si>
    <t>This is the fundamental objective of the sport, which makes it similar to other forms of folk wrestling.</t>
  </si>
  <si>
    <t>What title was awarded to Abdul Jabbar Saodagar by the British for organizing the tournament, which he refused?</t>
  </si>
  <si>
    <t>A) Mollo, B) Sardar, C) Khan Bahadur, D) Boli</t>
  </si>
  <si>
    <t>C) Khan Bahadur</t>
  </si>
  <si>
    <t>Jabbar, a staunch supporter of the anti-British movement, refused to accept the title from the colonial government.</t>
  </si>
  <si>
    <t>In the history of Boli Khela, what was a common practice for wrestlers preparing for the event?</t>
  </si>
  <si>
    <t>A) They would travel to Chittagong months in advance, B) They would train with sticks, C) They would train with weights, D) They would practice martial arts</t>
  </si>
  <si>
    <t>A) They would travel to Chittagong months in advance</t>
  </si>
  <si>
    <t>Wrestlers would come to the city to prepare and train for the competition.</t>
  </si>
  <si>
    <t>The history of wrestling in the Chittagong region dates back to which era?</t>
  </si>
  <si>
    <t>A) The British colonial era, B) The Mughal period, C) Ancient times, D) The Sultanate period</t>
  </si>
  <si>
    <t>B) The Mughal period</t>
  </si>
  <si>
    <t>Some sources suggest that wrestling was a popular sport during the Mughal period, from which Boli Khela may have evolved.</t>
  </si>
  <si>
    <t>Besides Jabbarer and Mokkaro, what is the name of another historical Boli Khela tournament?</t>
  </si>
  <si>
    <t>A) Sarkarer Boli Khela, B) DC Shaheber Boli, C) Moulavir Boli, D) All of the above</t>
  </si>
  <si>
    <t>The Chittagong region has a history of several other Boli Khela tournaments, each with its own local significance.</t>
  </si>
  <si>
    <t>What is the historical purpose of the music played during the Boli Khela festival?</t>
  </si>
  <si>
    <t>A) To entertain the audience, B) To create a festive atmosphere, C) To mark the start of the event, D) All of the above</t>
  </si>
  <si>
    <t>The music, often featuring folk drums and flutes, adds to the festive mood and signals the start of the matches.</t>
  </si>
  <si>
    <t>What was the historical impact of Boli Khela in terms of social bonding?</t>
  </si>
  <si>
    <t>A) It divided communities, B) It brought communities together, C) It created rivalry, D) It had no social impact</t>
  </si>
  <si>
    <t>B) It brought communities together</t>
  </si>
  <si>
    <t>The festival was a major social event that gathered people from different villages to celebrate.</t>
  </si>
  <si>
    <t>The history of Boli Khela is often celebrated as a symbol of what?</t>
  </si>
  <si>
    <t>A) Wealth and prosperity, B) Physical prowess and the spirit of independence, C) Religious devotion, D) Agricultural success</t>
  </si>
  <si>
    <t>B) Physical prowess and the spirit of independence</t>
  </si>
  <si>
    <t>The sport is seen as a symbol of strength and the patriotic spirit of the Bangladeshi people.</t>
  </si>
  <si>
    <t>What was a common nickname for a professional wrestler in the early days of Boli Khela?</t>
  </si>
  <si>
    <t>A) Boli, B) Ustad, C) Pehlwan, D) Mollo</t>
  </si>
  <si>
    <t>C) Pehlwan</t>
  </si>
  <si>
    <t>The term "Pehlwan" (wrestler) was a common term used in the Indian subcontinent to refer to professional wrestlers.</t>
  </si>
  <si>
    <t>The historic Boli Khela is closely associated with which kind of wrestling techniques?</t>
  </si>
  <si>
    <t>A) Submissions and chokes, B) Clinching, throws, and takedowns, C) Joint locks and armbars, D) Ground fighting</t>
  </si>
  <si>
    <t>B) Clinching, throws, and takedowns</t>
  </si>
  <si>
    <t>The sport's rules focus on grappling and taking down an opponent.</t>
  </si>
  <si>
    <t>What was the historical significance of the "Jabbarer Boli Khela" being held on the 12th of Boishakh?</t>
  </si>
  <si>
    <t>A) It was a convenient date, B) It was a random date, C) It was a date chosen for its historical significance, D) It was a date chosen for its religious significance</t>
  </si>
  <si>
    <t>C) It was a date chosen for its historical significance</t>
  </si>
  <si>
    <t>The date was strategically chosen to differentiate Jabbar's tournament from Mokkaro Boli Khela.</t>
  </si>
  <si>
    <t>What historical source provides information about the existence of wrestling in the Chittagong region before the Boli Khela tournaments?</t>
  </si>
  <si>
    <t>A) Oral history, B) Written records, C) Folk songs and stories, D) All of the above</t>
  </si>
  <si>
    <t>The history of wrestling in the region is documented through a combination of written records, oral history, and traditional stories.</t>
  </si>
  <si>
    <t>In the early days of Boli Khela, what was the typical age group of the participants?</t>
  </si>
  <si>
    <t>A) Children and teenagers, B) Young men in their twenties and thirties, C) Elderly people, D) People of all ages</t>
  </si>
  <si>
    <t>B) Young men in their twenties and thirties</t>
  </si>
  <si>
    <t>The sport was a way for strong, young men to demonstrate their physical prowess.</t>
  </si>
  <si>
    <t>What was the role of the local community in the early history of Boli Khela?</t>
  </si>
  <si>
    <t>A) They acted as judges, B) They were the main spectators and supporters, C) They helped to organize the event, D) They provided the prizes</t>
  </si>
  <si>
    <t>B) They were the main spectators and supporters</t>
  </si>
  <si>
    <t>The local community's enthusiasm and support were crucial for the tournament's success and popularity.</t>
  </si>
  <si>
    <t>The history of Boli Khela is a reflection of what cultural values of rural Bengal?</t>
  </si>
  <si>
    <t>A) Wealth and status, B) Power and dominance, C) Strength, resilience, and community spirit, D) Innovation and modernization</t>
  </si>
  <si>
    <t>C) Strength, resilience, and community spirit</t>
  </si>
  <si>
    <t>The sport embodies the values of hard work, physical strength, and community togetherness.</t>
  </si>
  <si>
    <t>What was the social significance of the Boli Khela fairs in the past?</t>
  </si>
  <si>
    <t>A) They were a place for political rallies, B) They were a place for religious ceremonies, C) They were a social and economic hub, D) They were a place for trading animals</t>
  </si>
  <si>
    <t>C) They were a social and economic hub</t>
  </si>
  <si>
    <t>The fairs provided a space for people to socialize, trade goods, and enjoy cultural events.</t>
  </si>
  <si>
    <t>The name "Mokkar Boli Khela" is believed to be derived from which historical figure?</t>
  </si>
  <si>
    <t>A) Kader Boxo, B) Yasin Makki, C) Didar Boli, D) Marma Singh</t>
  </si>
  <si>
    <t>B) Yasin Makki</t>
  </si>
  <si>
    <t>The name "Mokkar" is linked to Yasin Makki, who came from Mecca, Saudi Arabia, and settled in the area.</t>
  </si>
  <si>
    <t>The historical evolution of Boli Khela shows a shift from what to what?</t>
  </si>
  <si>
    <t>A) From a combat sport to a ball sport, B) From a form of entertainment to a patriotic movement, C) From an urban sport to a rural sport, D) From a team sport to an individual sport</t>
  </si>
  <si>
    <t>B) From a form of entertainment to a patriotic movement</t>
  </si>
  <si>
    <t>The sport evolved from a landlord's way of entertaining his tenants to a tool for inspiring an anti-colonial movement.</t>
  </si>
  <si>
    <t>What was the role of the referee in a historical Boli Khela match?</t>
  </si>
  <si>
    <t>A) They were the final judge, B) They ensured fair play, C) They had no role, D) They had a minimal role</t>
  </si>
  <si>
    <t>B) They ensured fair play</t>
  </si>
  <si>
    <t>The referee's job was to ensure that the rules of the match were followed and the competition was fair.</t>
  </si>
  <si>
    <t>What was the historical impact of the "Boishakhi Mela" on the Boli Khela tournament?</t>
  </si>
  <si>
    <t>A) It increased attendance, B) It added to the festive atmosphere, C) It provided a platform for trade, D) All of the above</t>
  </si>
  <si>
    <t>The fair was an integral part of the event, attracting a wider audience and boosting the local economy.</t>
  </si>
  <si>
    <t>In the history of Boli Khela, what was the primary source of motivation for the participants?</t>
  </si>
  <si>
    <t>A) The cash prize, B) The social recognition and honor, C) The title of "champion," D) Both B and C</t>
  </si>
  <si>
    <t>D) Both B and C</t>
  </si>
  <si>
    <t>Wrestlers were motivated by the honor and recognition they received from their communities, as well as the title of "Champion."</t>
  </si>
  <si>
    <t>The historical significance of Boli Khela is often seen in its reflection of the strength and spirit of the people from which area?</t>
  </si>
  <si>
    <t>A) Rural Bangladesh, B) Urban Dhaka, C) The Chittagong Hill Tracts, D) The Sundarbans</t>
  </si>
  <si>
    <t>A) Rural Bangladesh</t>
  </si>
  <si>
    <t>The sport is a folk tradition that embodies the values and lifestyle of rural communities.</t>
  </si>
  <si>
    <t>What was a notable historical reason for the decline of Boli Khela's popularity after a certain period?</t>
  </si>
  <si>
    <t>A) The rise of other sports, B) A lack of government support, C) It became illegal, D) It became too violent</t>
  </si>
  <si>
    <t>A) The rise of other sports</t>
  </si>
  <si>
    <t>The rise of international sports like cricket and football contributed to the decline of folk sports like Boli Khela.</t>
  </si>
  <si>
    <t>What was the historical relationship between the local economy and Boli Khela?</t>
  </si>
  <si>
    <t>A) Boli Khela was not profitable, B) Boli Khela was a major source of income, C) The fair associated with it boosted the economy, D) It had no effect on the economy</t>
  </si>
  <si>
    <t>C) The fair associated with it boosted the economy</t>
  </si>
  <si>
    <t>The large fair brought in vendors and buyers, providing a significant boost to the local economy.</t>
  </si>
  <si>
    <t>What historical title was given to the winner of the Boli Khela tournament?</t>
  </si>
  <si>
    <t>A) The "Boli", B) The "Champion", C) The "King", D) The "Mollo"</t>
  </si>
  <si>
    <t>B) The "Champion"</t>
  </si>
  <si>
    <t>The winner was officially declared the "Champion" of the tournament, earning immense respect and honor.</t>
  </si>
  <si>
    <t>Where did the sport Dariabandha originate?</t>
  </si>
  <si>
    <t>A) India, B) Bangladesh, C) Nepal, D) Pakistan</t>
  </si>
  <si>
    <t>Dariabandha is a traditional sport that originated in Bangladesh.</t>
  </si>
  <si>
    <t>Which historical event is associated with the popularization of Dariabandha?</t>
  </si>
  <si>
    <t>A) British colonial rule, B) Independence war of Bangladesh, C) Mughal Empire, D) World War II</t>
  </si>
  <si>
    <t>B) Independence war of Bangladesh</t>
  </si>
  <si>
    <t>The sport gained popularity in Bangladesh after the country's independence.</t>
  </si>
  <si>
    <t>What is the primary objective of the game Dariabandha?</t>
  </si>
  <si>
    <t>A) Scoring points, B) Defending a fort, C) Overcoming opponents in a tug-of-war, D) Running</t>
  </si>
  <si>
    <t>C) Overcoming opponents in a tug-of-war</t>
  </si>
  <si>
    <t>Dariabandha is a competitive game resembling a tug-of-war between two teams.</t>
  </si>
  <si>
    <t>How many players are typically involved in a Dariabandha match?</t>
  </si>
  <si>
    <t>A) 10, B) 20, C) 15, D) 30</t>
  </si>
  <si>
    <t>B) 20</t>
  </si>
  <si>
    <t>A typical Dariabandha match involves 20 players, 10 on each team.</t>
  </si>
  <si>
    <t>What is the role of the rope in Dariabandha?</t>
  </si>
  <si>
    <t>A) Decoration, B) Offensive weapon, C) Boundary marker, D) Central to gameplay</t>
  </si>
  <si>
    <t>D) Central to gameplay</t>
  </si>
  <si>
    <t>The rope is central to the game, with teams trying to pull it in their direction.</t>
  </si>
  <si>
    <t>What type of terrain is ideal for playing Dariabandha?</t>
  </si>
  <si>
    <t>A) Water bodies, B) Rocky hills, C) Flat ground, D) Forest</t>
  </si>
  <si>
    <t>C) Flat ground</t>
  </si>
  <si>
    <t>Dariabandha is typically played on flat ground to ensure fair competition.</t>
  </si>
  <si>
    <t>Which of the following materials is traditionally used for the rope in Dariabandha?</t>
  </si>
  <si>
    <t>A) Silk, B) Cotton, C) Jute, D) Nylon</t>
  </si>
  <si>
    <t>C) Jute</t>
  </si>
  <si>
    <t>Jute, a locally available fiber, is traditionally used for making the rope in Dariabandha.</t>
  </si>
  <si>
    <t>In Dariabandha, how is the winner determined?</t>
  </si>
  <si>
    <t>A) First to score points, B) First to pull the rope across the center, C) Last team standing, D) Most goals scored</t>
  </si>
  <si>
    <t>B) First to pull the rope across the center</t>
  </si>
  <si>
    <t>The winner is the team that successfully pulls the rope past the center line.</t>
  </si>
  <si>
    <t>What is the historical significance of Dariabandha in Bangladesh?</t>
  </si>
  <si>
    <t>A) Symbol of unity, B) Royal sport, C) Ritualistic practice, D) Colonial resistance</t>
  </si>
  <si>
    <t>A) Symbol of unity</t>
  </si>
  <si>
    <t>Dariabandha has historically been a symbol of unity and community strength in Bangladesh.</t>
  </si>
  <si>
    <t>Which region in Bangladesh is particularly famous for Dariabandha?</t>
  </si>
  <si>
    <t>A) Sylhet, B) Chittagong, C) Rajshahi, D) Dhaka</t>
  </si>
  <si>
    <t>The Chittagong region of Bangladesh is known for its active participation in Dariabandha.</t>
  </si>
  <si>
    <t>What does the name 'Dariabandha' literally translate to?</t>
  </si>
  <si>
    <t>A) Rope fight, B) Rope game, C) Strong pull, D) Tight knot</t>
  </si>
  <si>
    <t>B) Rope game</t>
  </si>
  <si>
    <t>The name Dariabandha translates to 'rope game,' reflecting its central use of a rope.</t>
  </si>
  <si>
    <t>In the traditional version of Dariabandha, how many times must the rope be pulled to win?</t>
  </si>
  <si>
    <t>A) Once, B) Twice, C) Three times, D) Five times</t>
  </si>
  <si>
    <t>A) Once</t>
  </si>
  <si>
    <t>The traditional game is won by successfully pulling the rope once across the center line.</t>
  </si>
  <si>
    <t>What type of cultural event is Dariabandha often associated with?</t>
  </si>
  <si>
    <t>A) National holidays, B) Religious festivals, C) Village celebrations, D) Political rallies</t>
  </si>
  <si>
    <t>C) Village celebrations</t>
  </si>
  <si>
    <t>Dariabandha is commonly played during village celebrations and community gatherings.</t>
  </si>
  <si>
    <t>What is the primary skill required to excel in Dariabandha?</t>
  </si>
  <si>
    <t>A) Speed, B) Strength, C) Agility, D) Team coordination</t>
  </si>
  <si>
    <t>D) Team coordination</t>
  </si>
  <si>
    <t>Team coordination and synchronized effort are essential to winning in Dariabandha.</t>
  </si>
  <si>
    <t>Which of the following is a common feature of a Dariabandha match?</t>
  </si>
  <si>
    <t>A) A referee, B) A time limit, C) Physical barriers, D) Spectator cheering</t>
  </si>
  <si>
    <t>A) A referee</t>
  </si>
  <si>
    <t>A referee is commonly present to ensure fairness and rule adherence during Dariabandha matches.</t>
  </si>
  <si>
    <t>What do the two teams in Dariabandha typically try to achieve?</t>
  </si>
  <si>
    <t>A) Capture the flag, B) Pull the rope over a mark, C) Break a target, D) Push a ball</t>
  </si>
  <si>
    <t>B) Pull the rope over a mark</t>
  </si>
  <si>
    <t>The goal is to pull the rope past a designated mark, usually the center line, to win.</t>
  </si>
  <si>
    <t>Which community in Bangladesh is known for playing Dariabandha?</t>
  </si>
  <si>
    <t>A) Fishermen, B) Farmers, C) Craftsmen, D) Urban youth</t>
  </si>
  <si>
    <t>B) Farmers</t>
  </si>
  <si>
    <t>Farmers in rural Bangladesh are particularly known for their participation in Dariabandha.</t>
  </si>
  <si>
    <t>What is the significance of the rope's color in Dariabandha?</t>
  </si>
  <si>
    <t>A) It signifies the team's power, B) It identifies the winner, C) It indicates the strength of the rope, D) It has no significance</t>
  </si>
  <si>
    <t>D) It has no significance</t>
  </si>
  <si>
    <t>The color of the rope typically does not hold any particular significance in Dariabandha.</t>
  </si>
  <si>
    <t>How long has Dariabandha been a part of Bangladeshi culture?</t>
  </si>
  <si>
    <t>A) Over 50 years, B) Over 100 years, C) Over 200 years, D) Over 500 years</t>
  </si>
  <si>
    <t>B) Over 100 years</t>
  </si>
  <si>
    <t>Dariabandha has been a traditional sport in Bangladesh for over a century.</t>
  </si>
  <si>
    <t>Which type of clothing is commonly worn during a Dariabandha match?</t>
  </si>
  <si>
    <t>A) Protective gear, B) Lightweight, loose clothing, C) Formal wear, D) Armor</t>
  </si>
  <si>
    <t>B) Lightweight, loose clothing</t>
  </si>
  <si>
    <t>Players typically wear lightweight, loose clothing to facilitate movement during the game.</t>
  </si>
  <si>
    <t>Which of the following is a common term used in Dariabandha?</t>
  </si>
  <si>
    <t>A) Tether, B) Pulling line, C) Grip, D) Ropestretch</t>
  </si>
  <si>
    <t>B) Pulling line</t>
  </si>
  <si>
    <t>The term 'pulling line' refers to the central rope that is pulled during the game.</t>
  </si>
  <si>
    <t>Who typically serves as the captain of a Dariabandha team?</t>
  </si>
  <si>
    <t>A) The oldest player, B) The strongest player, C) The most experienced player, D) A chosen leader</t>
  </si>
  <si>
    <t>C) The most experienced player</t>
  </si>
  <si>
    <t>The captain is typically the most experienced player, responsible for team strategy.</t>
  </si>
  <si>
    <t>Which type of event often showcases Dariabandha as a competitive sport?</t>
  </si>
  <si>
    <t>A) Local festivals, B) International tournaments, C) National sports leagues, D) University competitions</t>
  </si>
  <si>
    <t>A) Local festivals</t>
  </si>
  <si>
    <t>Dariabandha is often showcased during local village festivals and regional celebrations.</t>
  </si>
  <si>
    <t>What role do spectators play in Dariabandha?</t>
  </si>
  <si>
    <t>A) Provide commentary, B) Judge the teams, C) Cheer for the teams, D) Bet on outcomes</t>
  </si>
  <si>
    <t>C) Cheer for the teams</t>
  </si>
  <si>
    <t>Spectators typically cheer for the teams, creating a lively atmosphere during the game.</t>
  </si>
  <si>
    <t>In Dariabandha, which of the following is most crucial for success?</t>
  </si>
  <si>
    <t>A) Size of the rope, B) Player stamina, C) Unity of the team, D) Speed of action</t>
  </si>
  <si>
    <t>C) Unity of the team</t>
  </si>
  <si>
    <t>The unity and coordinated effort of the team are essential for winning in Dariabandha.</t>
  </si>
  <si>
    <t>Which famous Bengali leader is associated with the promotion of traditional sports like Dariabandha?</t>
  </si>
  <si>
    <t>A) Sheikh Mujibur Rahman, B) Ziaur Rahman, C) Mujibur Rahman, D) Lalon Shah</t>
  </si>
  <si>
    <t>A) Sheikh Mujibur Rahman</t>
  </si>
  <si>
    <t>Sheikh Mujibur Rahman supported the promotion of traditional sports such as Dariabandha.</t>
  </si>
  <si>
    <t>What is the primary challenge in playing Dariabandha?</t>
  </si>
  <si>
    <t>A) Endurance, B) Mental strategy, C) Coordination, D) Speed</t>
  </si>
  <si>
    <t>C) Coordination</t>
  </si>
  <si>
    <t>The primary challenge in Dariabandha is achieving effective coordination between team members.</t>
  </si>
  <si>
    <t>In which part of Bangladesh is Dariabandha particularly popular among the youth?</t>
  </si>
  <si>
    <t>A) Coastal areas, B) Hill tracts, C) Rural villages, D) Urban centers</t>
  </si>
  <si>
    <t>C) Rural villages</t>
  </si>
  <si>
    <t>Dariabandha is especially popular among the youth in rural villages across Bangladesh.</t>
  </si>
  <si>
    <t>What is the typical age group that plays Dariabandha in Bangladesh?</t>
  </si>
  <si>
    <t>B) Teenagers</t>
  </si>
  <si>
    <t>Dariabandha is most commonly played by teenagers, particularly in rural areas.</t>
  </si>
  <si>
    <t>Which is the most famous district in Bangladesh for hosting Dariabandha competitions?</t>
  </si>
  <si>
    <t>A) Rangpur, B) Chittagong, C) Dhaka, D) Barisal</t>
  </si>
  <si>
    <t>Chittagong is known for its active participation in Dariabandha competitions.</t>
  </si>
  <si>
    <t>What type of community event is Dariabandha most commonly associated with?</t>
  </si>
  <si>
    <t>A) Wedding celebrations, B) National festivals, C) Village fairs, D) Political events</t>
  </si>
  <si>
    <t>C) Village fairs</t>
  </si>
  <si>
    <t>Dariabandha is often played during village fairs as a part of community celebrations.</t>
  </si>
  <si>
    <t>What does the term 'Dariabandha' literally mean in Bengali?</t>
  </si>
  <si>
    <t>A) Rope pulling, B) Bonding strength, C) Village game, D) Battle of wills</t>
  </si>
  <si>
    <t>A) Rope pulling</t>
  </si>
  <si>
    <t>The term Dariabandha translates to 'rope pulling' in Bengali, reflecting the game's central theme.</t>
  </si>
  <si>
    <t>Which traditional skill is essential for success in Dariabandha?</t>
  </si>
  <si>
    <t>A) Running, B) Wrestling, C) Teamwork, D) Agility</t>
  </si>
  <si>
    <t>C) Teamwork</t>
  </si>
  <si>
    <t>Success in Dariabandha depends primarily on strong teamwork and coordination.</t>
  </si>
  <si>
    <t>How is the rope in Dariabandha traditionally maintained?</t>
  </si>
  <si>
    <t>A) With regular repairs, B) By replacing it each year, C) By braiding it with silk, D) No maintenance is required</t>
  </si>
  <si>
    <t>A) With regular repairs</t>
  </si>
  <si>
    <t>The rope in Dariabandha is often maintained and repaired regularly to ensure it is strong enough for play.</t>
  </si>
  <si>
    <t>What distinguishes Dariabandha from other traditional sports in Bangladesh?</t>
  </si>
  <si>
    <t>A) Use of horses, B) Strong community involvement, C) Water-based play, D) Use of balls</t>
  </si>
  <si>
    <t>B) Strong community involvement</t>
  </si>
  <si>
    <t>Dariabandha is notable for its strong community involvement, with entire villages often participating.</t>
  </si>
  <si>
    <t>Which social aspect of Dariabandha is emphasized during the game?</t>
  </si>
  <si>
    <t>A) Victory at any cost, B) Team spirit, C) Individual prowess, D) Spectator entertainment</t>
  </si>
  <si>
    <t>B) Team spirit</t>
  </si>
  <si>
    <t>Dariabandha emphasizes teamwork and unity rather than individual performance.</t>
  </si>
  <si>
    <t>What is the most significant historical factor contributing to Dariabandha's popularity?</t>
  </si>
  <si>
    <t>A) Colonial influence, B) Traditional agricultural practices, C) Religious importance, D) Political revolution</t>
  </si>
  <si>
    <t>B) Traditional agricultural practices</t>
  </si>
  <si>
    <t>Dariabandha's popularity can be traced to its historical connection with agricultural practices in rural Bangladesh.</t>
  </si>
  <si>
    <t>Which of the following is typically considered an essential role in a Dariabandha team?</t>
  </si>
  <si>
    <t>A) The strategist, B) The strongest player, C) The rope manager, D) The cheerleader</t>
  </si>
  <si>
    <t>A) The strategist</t>
  </si>
  <si>
    <t>The strategist plays a crucial role in planning the team's moves during a Dariabandha match.</t>
  </si>
  <si>
    <t>In the past, Dariabandha was traditionally played during which season?</t>
  </si>
  <si>
    <t>A) Summer, B) Monsoon, C) Winter, D) Spring</t>
  </si>
  <si>
    <t>B) Monsoon</t>
  </si>
  <si>
    <t>Dariabandha was traditionally played during the monsoon season, a time of communal gatherings.</t>
  </si>
  <si>
    <t>Which region is known for having developed unique variations of Dariabandha?</t>
  </si>
  <si>
    <t>A) Dhaka, B) Sylhet, C) Rajshahi, D) Khulna</t>
  </si>
  <si>
    <t>B) Sylhet</t>
  </si>
  <si>
    <t>Sylhet has developed some unique variations of Dariabandha that differ from the traditional format.</t>
  </si>
  <si>
    <t>What is one of the key benefits of playing Dariabandha for young people?</t>
  </si>
  <si>
    <t>A) It builds physical strength, B) It teaches perseverance, C) It improves academic performance, D) It fosters leadership skills</t>
  </si>
  <si>
    <t>A) It builds physical strength</t>
  </si>
  <si>
    <t>Dariabandha is a physically demanding game that helps build strength and endurance among young players.</t>
  </si>
  <si>
    <t>What kind of training is typically required to excel in Dariabandha?</t>
  </si>
  <si>
    <t>A) Technical knowledge, B) Wrestling techniques, C) Physical endurance and coordination, D) Mental concentration</t>
  </si>
  <si>
    <t>C) Physical endurance and coordination</t>
  </si>
  <si>
    <t>Players need strong physical endurance and coordination to excel in Dariabandha.</t>
  </si>
  <si>
    <t>How did Dariabandha contribute to community bonding in rural Bangladesh?</t>
  </si>
  <si>
    <t>A) By promoting individualism, B) By encouraging teamwork and collective effort, C) By fostering rivalry, D) By creating economic opportunities</t>
  </si>
  <si>
    <t>B) By encouraging teamwork and collective effort</t>
  </si>
  <si>
    <t>Dariabandha strengthened community bonds through teamwork and collective participation.</t>
  </si>
  <si>
    <t>What is a common chant or cry heard during a Dariabandha match?</t>
  </si>
  <si>
    <t>A) Victory is ours! B) Pull hard! C) Stand tall! D) Rope, rope, pull!</t>
  </si>
  <si>
    <t>B) Pull hard!</t>
  </si>
  <si>
    <t>The chant 'Pull hard!' is commonly heard as a rallying cry during intense moments of the game.</t>
  </si>
  <si>
    <t>What was the original purpose of playing Dariabandha in rural Bangladesh?</t>
  </si>
  <si>
    <t>A) Military training, B) Celebrating harvest, C) Religious ceremonies, D) Entertainment</t>
  </si>
  <si>
    <t>B) Celebrating harvest</t>
  </si>
  <si>
    <t>Dariabandha was originally played during harvest celebrations as a form of community entertainment.</t>
  </si>
  <si>
    <t>What challenge does the rope in Dariabandha typically present during play?</t>
  </si>
  <si>
    <t>A) It may snap under pressure, B) It may get tangled, C) It must be equally divided, D) It is difficult to control</t>
  </si>
  <si>
    <t>B) It may get tangled</t>
  </si>
  <si>
    <t>The rope in Dariabandha is large and can get tangled, adding a layer of difficulty to the game.</t>
  </si>
  <si>
    <t>Who traditionally oversees a Dariabandha competition?</t>
  </si>
  <si>
    <t>A) A village elder, B) A professional referee, C) A local government official, D) A religious leader</t>
  </si>
  <si>
    <t>A) A village elder</t>
  </si>
  <si>
    <t>A village elder traditionally oversees Dariabandha competitions to ensure fairness.</t>
  </si>
  <si>
    <t>How does the competitive nature of Dariabandha relate to other traditional sports in Bangladesh?</t>
  </si>
  <si>
    <t>A) It is more aggressive, B) It is less intense, C) It emphasizes skill over strength, D) It focuses on teamwork</t>
  </si>
  <si>
    <t>D) It focuses on teamwork</t>
  </si>
  <si>
    <t>Dariabandha shares a focus on teamwork with other traditional sports in Bangladesh.</t>
  </si>
  <si>
    <t>What is one major difference between Dariabandha and international tug-of-war?</t>
  </si>
  <si>
    <t>A) The number of players, B) The length of the rope, C) The location of play, D) The role of spectators</t>
  </si>
  <si>
    <t>A) The number of players</t>
  </si>
  <si>
    <t>Dariabandha typically involves more players than international tug-of-war, making it a larger team sport.</t>
  </si>
  <si>
    <t>What historical role did Dariabandha play in Bangladeshi villages?</t>
  </si>
  <si>
    <t>A) It was used for military training, B) It was a part of religious rituals, C) It was a form of entertainment and unity, D) It was a test of political loyalty</t>
  </si>
  <si>
    <t>C) It was a form of entertainment and unity</t>
  </si>
  <si>
    <t>Historically, Dariabandha served as a source of entertainment and a tool for community unity.</t>
  </si>
  <si>
    <t>What physical characteristic is most important for a player in Dariabandha?</t>
  </si>
  <si>
    <t>A) Height, B) Weight, C) Strength, D) Flexibility</t>
  </si>
  <si>
    <t>Physical strength is a crucial characteristic for players to effectively participate in Dariabandha.</t>
  </si>
  <si>
    <t>Which modern sporting event has some similarities with Dariabandha?</t>
  </si>
  <si>
    <t>A) Olympic wrestling, B) Tug-of-war, C) Rugby, D) Boxing</t>
  </si>
  <si>
    <t>B) Tug-of-war</t>
  </si>
  <si>
    <t>Tug-of-war shares similarities with Dariabandha, as both involve teams pulling on a rope.</t>
  </si>
  <si>
    <t>What is a common misconception about Dariabandha?</t>
  </si>
  <si>
    <t>A) It is a solo sport, B) It is only for adults, C) It is easy to play, D) It is only played in urban areas</t>
  </si>
  <si>
    <t>C) It is easy to play</t>
  </si>
  <si>
    <t>Many people believe Dariabandha is easy to play, but it requires significant strength and coordination.</t>
  </si>
  <si>
    <t>What is the ultimate goal of a Dariabandha match?</t>
  </si>
  <si>
    <t>A) To pull the rope past a designated line, B) To score the most points, C) To break the rope, D) To exhaust the opposing team</t>
  </si>
  <si>
    <t>A) To pull the rope past a designated line</t>
  </si>
  <si>
    <t>The goal of Dariabandha is to pull the rope past a designated line to win the match.</t>
  </si>
  <si>
    <t>Who were the first to introduce Dariabandha to urban centers?</t>
  </si>
  <si>
    <t>A) British colonists, B) Bengali merchants, C) Rural youth, D) Government officials</t>
  </si>
  <si>
    <t>C) Rural youth</t>
  </si>
  <si>
    <t>Rural youth played a significant role in introducing Dariabandha to urban centers for broader appeal.</t>
  </si>
  <si>
    <t>What cultural aspect does Dariabandha highlight in Bengali society?</t>
  </si>
  <si>
    <t>A) Individual achievements, B) Rural traditions, C) Colonial history, D) Religious beliefs</t>
  </si>
  <si>
    <t>B) Rural traditions</t>
  </si>
  <si>
    <t>Dariabandha emphasizes rural traditions and cultural practices in Bengali society.</t>
  </si>
  <si>
    <t>What role does leadership play in a Dariabandha match?</t>
  </si>
  <si>
    <t>A) It is less important, B) A leader is essential for coordination and motivation, C) Leadership is rotated, D) Leadership is only for strategic decisions</t>
  </si>
  <si>
    <t>B) A leader is essential for coordination and motivation</t>
  </si>
  <si>
    <t>Effective leadership is crucial in Dariabandha for ensuring team coordination and motivation.</t>
  </si>
  <si>
    <t>What is the primary material used for the rope in Dariabandha?</t>
  </si>
  <si>
    <t>A) Cotton, B) Jute, C) Nylon, D) Hemp</t>
  </si>
  <si>
    <t>B) Jute</t>
  </si>
  <si>
    <t>Jute is traditionally used for making the rope in Dariabandha, reflecting its availability in Bangladesh.</t>
  </si>
  <si>
    <t>Which historical event is said to have influenced the popularity of Dariabandha?</t>
  </si>
  <si>
    <t>A) The British colonial rule, B) The Independence war, C) The Bengal famine, D) The Mughal rule</t>
  </si>
  <si>
    <t>A) The British colonial rule</t>
  </si>
  <si>
    <t>During the British colonial era, rural sports like Dariabandha gained popularity as a means of resistance and unity.</t>
  </si>
  <si>
    <t>In which part of Bangladesh did Dariabandha originate?</t>
  </si>
  <si>
    <t>A) Southern Bangladesh, B) Eastern Bangladesh, C) Western Bangladesh, D) Northern Bangladesh</t>
  </si>
  <si>
    <t>C) Western Bangladesh</t>
  </si>
  <si>
    <t>Dariabandha originated in the western regions of Bangladesh, where traditional village games were common.</t>
  </si>
  <si>
    <t>What was the role of Dariabandha during the early 20th century in rural Bengal?</t>
  </si>
  <si>
    <t>A) A form of military drill, B) A communal activity to settle disputes, C) A means of social gathering and celebration, D) A religious ritual</t>
  </si>
  <si>
    <t>C) A communal activity to settle disputes and celebration</t>
  </si>
  <si>
    <t>During the early 20th century, Dariabandha was primarily a social and communal activity, used to bring villagers together for celebration and community bonding.</t>
  </si>
  <si>
    <t>Which historical period saw the standardization of some of the rules for Dariabandha?</t>
  </si>
  <si>
    <t>A) The Mughal period, B) The British colonial period, C) Post-independence Bangladesh, D) The ancient period of Bengal</t>
  </si>
  <si>
    <t>C) Post-independence Bangladesh</t>
  </si>
  <si>
    <t>While the game existed for a long time, its rules were standardized by the National Recreation Association of Bangladesh after the country's independence to promote it as a national sport.</t>
  </si>
  <si>
    <t>In which historical context was Dariabandha sometimes used as a metaphor for resistance?</t>
  </si>
  <si>
    <t>A) The Partition of Bengal (1905), B) The Language Movement of 1952, C) The Independence War of 1971, D) The Quit India Movement (1942)</t>
  </si>
  <si>
    <t>C) The Independence War of 1971</t>
  </si>
  <si>
    <t>The game's theme of a united team pulling together against an opponent was sometimes used as a metaphor for the collective struggle against oppression during the 1971 independence war.</t>
  </si>
  <si>
    <t>What historical significance did the playing field of Dariabandha have in a village setting?</t>
  </si>
  <si>
    <t>A) It was always played on a cricket field, B) It was a designated area for official events, C) It was a symbol of shared village space, D) It was a place for political rallies</t>
  </si>
  <si>
    <t>C) It was a symbol of shared village space</t>
  </si>
  <si>
    <t>The game was often played on common ground, such as a village square or an open field, symbolizing a shared space for community activities.</t>
  </si>
  <si>
    <t>What historical practice influenced the formation of teams in Dariabandha?</t>
  </si>
  <si>
    <t>A) Division by age, B) Division by family, C) Division by gender, D) Division by village or neighborhood</t>
  </si>
  <si>
    <t>D) Division by village or neighborhood</t>
  </si>
  <si>
    <t>Historically, teams were often formed based on a person's village or neighborhood, fostering a sense of local pride and friendly rivalry.</t>
  </si>
  <si>
    <t>What was the primary motivation for a village to win a Dariabandha competition in the past?</t>
  </si>
  <si>
    <t>A) Monetary reward, B) Political power, C) Community honor and prestige, D) To gain agricultural land</t>
  </si>
  <si>
    <t>C) Community honor and prestige</t>
  </si>
  <si>
    <t>Winning a Dariabandha match was a matter of great pride for a village, bringing honor and prestige to the community.</t>
  </si>
  <si>
    <t>What historical role did the village head or mukhya often play in organizing Dariabandha?</t>
  </si>
  <si>
    <t>A) They would participate as a player, B) They would provide the rope and other equipment, C) They would serve as the primary judge or organizer, D) They would record the scores</t>
  </si>
  <si>
    <t>C) They would serve as the primary judge or organizer</t>
  </si>
  <si>
    <t>The village head or mukhya was often responsible for overseeing the organization and judging of the match, ensuring fair play.</t>
  </si>
  <si>
    <t>What does the historical decline of Dariabandha in some regions indicate?</t>
  </si>
  <si>
    <t>A) A decrease in physical activity, B) A loss of community bonds, C) A shift towards Western sports, D) Both B and C</t>
  </si>
  <si>
    <t>The decline of the sport in some areas is often linked to the shift towards more modern, Western-style sports and a decrease in traditional, community-focused activities.</t>
  </si>
  <si>
    <t>What historical event, besides the Independence War, contributed to the game's popularity?</t>
  </si>
  <si>
    <t>A) The end of World War II, B) The Great Bengal Famine of 1943, C) The Partition of India in 1947, D) The rise of Dhaka as a major city</t>
  </si>
  <si>
    <t>C) The Partition of India in 1947</t>
  </si>
  <si>
    <t>The Partition of India led to a greater emphasis on local traditions and cultural practices in East Bengal (now Bangladesh), further popularizing games like Dariabandha.</t>
  </si>
  <si>
    <t>What was the historical significance of the jute rope used in Dariabandha?</t>
  </si>
  <si>
    <t>A) It was a sign of wealth, B) It represented the agricultural heritage of the region, C) It was imported from Europe, D) It was a religious artifact</t>
  </si>
  <si>
    <t>B) It represented the agricultural heritage of the region</t>
  </si>
  <si>
    <t>The use of jute, a major agricultural product of Bengal, for the rope symbolized the game's deep roots in the rural, farming community.</t>
  </si>
  <si>
    <t>Historically, who was responsible for making the rope for a Dariabandha match?</t>
  </si>
  <si>
    <t>A) A special craftsman, B) The local market, C) The players themselves, D) The village elder</t>
  </si>
  <si>
    <t>C) The players themselves</t>
  </si>
  <si>
    <t>In the past, the players or their families would often work together to braid the jute rope, making the game a truly collective effort from start to finish.</t>
  </si>
  <si>
    <t>What was the historical purpose of the mukhya (village head) mediating team disputes during a match?</t>
  </si>
  <si>
    <t>A) To ensure the game was completed quickly, B) To prevent arguments from escalating into violence, C) To teach players about conflict resolution, D) All of the above</t>
  </si>
  <si>
    <t>B) To prevent arguments from escalating into violence</t>
  </si>
  <si>
    <t>The mukhya's role was crucial for maintaining harmony and preventing heated disputes during the game from affecting the community.</t>
  </si>
  <si>
    <t>What historical aspect of Dariabandha makes it a unique form of folk entertainment?</t>
  </si>
  <si>
    <t>A) It was only played at night, B) It was a solo performance, C) It was a non-violent competitive sport with a focus on unity, D) It was accompanied by music and dance</t>
  </si>
  <si>
    <t>C) It was a non-violent competitive sport with a focus on unity</t>
  </si>
  <si>
    <t>Unlike some other folk games, Dariabandha emphasized collective strength and unity in a non-violent, competitive setting.</t>
  </si>
  <si>
    <t>What does the historical term "Daria" refer to in the context of the game?</t>
  </si>
  <si>
    <t>A) A type of fish, B) A rope or line, C) A powerful leader, D) A river</t>
  </si>
  <si>
    <t>B) A rope or line</t>
  </si>
  <si>
    <t>"Daria" is a Bengali word that historically referred to a thick rope or a line, from which the game gets its name.</t>
  </si>
  <si>
    <t>How did the historical practice of Dariabandha differ from modern professional sports?</t>
  </si>
  <si>
    <t>A) It was not played for a trophy or prize money, B) It had no official rules, C) It was only played by children, D) It was only played by women</t>
  </si>
  <si>
    <t>A) It was not played for a trophy or prize money</t>
  </si>
  <si>
    <t>Unlike modern professional sports, historical Dariabandha matches were played for community pride and entertainment, not for prizes or money.</t>
  </si>
  <si>
    <t>What was the historical significance of the crowd's involvement in a Dariabandha match?</t>
  </si>
  <si>
    <t>A) They would try to help their team by pulling the rope, B) They would sing songs to distract the opponent, C) They would encourage players and uphold the spirit of the game, D) They would act as a second referee</t>
  </si>
  <si>
    <t>C) They would encourage players and uphold the spirit of the game</t>
  </si>
  <si>
    <t>The crowd's cheering and support were a historical and integral part of the game, encouraging players and adding to the festive atmosphere.</t>
  </si>
  <si>
    <t>In a historical context, what was the primary age group that participated in competitive Dariabandha?</t>
  </si>
  <si>
    <t>A) Children under 10, B) Teenagers and young adults, C) Elderly people, D) A mix of all ages</t>
  </si>
  <si>
    <t>B) Teenagers and young adults</t>
  </si>
  <si>
    <t>Historically, the physical demands of the game made it most suitable for teenagers and young adults, who had the strength and stamina to compete.</t>
  </si>
  <si>
    <t>How did Dariabandha historically reflect the social hierarchy of a village?</t>
  </si>
  <si>
    <t>A) The village head would always play, B) The strongest players were always from a specific class, C) It was a game open to everyone, regardless of social status, D) The team captains were always from a certain family</t>
  </si>
  <si>
    <t>C) It was a game open to everyone, regardless of social status</t>
  </si>
  <si>
    <t>One of the notable historical aspects of Dariabandha is that it was a game open to all, regardless of social or economic standing, fostering a sense of equality.</t>
  </si>
  <si>
    <t>What historical change to the game's equipment was introduced during the British colonial period?</t>
  </si>
  <si>
    <t>A) Use of a metal chain instead of rope, B) Use of a whistle for the referee, C) Standardization of the length of the rope, D) No significant changes were made</t>
  </si>
  <si>
    <t>D) No significant changes were made</t>
  </si>
  <si>
    <t>The game remained largely unchanged in its equipment, maintaining its traditional, rural character despite the British influence on other sports.</t>
  </si>
  <si>
    <t>Historically, what was the most common type of injury sustained while playing Dariabandha?</t>
  </si>
  <si>
    <t>A) Broken bones, B) Sprains and muscle strains, C) Head injuries, D) Cuts and bruises</t>
  </si>
  <si>
    <t>B) Sprains and muscle strains</t>
  </si>
  <si>
    <t>Due to the nature of the game, the most common historical injuries were muscle strains and sprains from the strenuous pulling action.</t>
  </si>
  <si>
    <t>What historical tradition was associated with the start of a Dariabandha match?</t>
  </si>
  <si>
    <t>A) A special prayer, B) A coin toss, C) A folk song, D) A dance</t>
  </si>
  <si>
    <t>A) A special prayer</t>
  </si>
  <si>
    <t>In many communities, a short prayer or ritual would be performed before the game to invoke good fortune and ensure fair play.</t>
  </si>
  <si>
    <t>What was the historical significance of the daria or rope being made of locally sourced jute?</t>
  </si>
  <si>
    <t>A) It made the game a symbol of local agriculture, B) It was a test of strength to find the right material, C) It was an expensive and rare item, D) It was a symbol of a village's wealth</t>
  </si>
  <si>
    <t>A) It made the game a symbol of local agriculture</t>
  </si>
  <si>
    <t>The use of jute, a main agricultural product, cemented the game's ties to the local economy and rural lifestyle.</t>
  </si>
  <si>
    <t>How did the British colonial period impact the traditional Dariabandha game?</t>
  </si>
  <si>
    <t>A) It was banned, B) It was promoted as a way to unify the population, C) It faced competition from newly introduced Western sports, D) It was made a part of the school curriculum</t>
  </si>
  <si>
    <t>C) It faced competition from newly introduced Western sports</t>
  </si>
  <si>
    <t>The British introduced sports like football and cricket, which began to compete with traditional games like Dariabandha for popularity.</t>
  </si>
  <si>
    <t>What historical role did women traditionally play in the Dariabandha game?</t>
  </si>
  <si>
    <t>A) They did not participate, B) They played on separate teams, C) They played in mixed-gender teams, D) They were the referees</t>
  </si>
  <si>
    <t>B) They played on separate teams</t>
  </si>
  <si>
    <t>While men and women played Dariabandha, it was traditionally played in gender-separated teams.</t>
  </si>
  <si>
    <t>What was the historical punishment for a player caught cheating in Dariabandha?</t>
  </si>
  <si>
    <t>A) Being removed from the game, B) Being fined, C) A public apology, D) The team would be disqualified</t>
  </si>
  <si>
    <t>A) Being removed from the game</t>
  </si>
  <si>
    <t>The most common historical punishment was simply being removed from the game, as the community would enforce fairness among themselves.</t>
  </si>
  <si>
    <t>What historical change is most responsible for the modern resurgence of Dariabandha?</t>
  </si>
  <si>
    <t>A) Government funding, B) TV broadcasts, C) Tourism, D) Increased awareness through social media and cultural festivals</t>
  </si>
  <si>
    <t>D) Increased awareness through social media and cultural festivals</t>
  </si>
  <si>
    <t>In recent years, social media and cultural festivals have played a major role in bringing the game back into the spotlight.</t>
  </si>
  <si>
    <t>What historical factor led to the decline of Dariabandha in urban areas?</t>
  </si>
  <si>
    <t>A) Lack of open space, B) Lack of community engagement, C) Shift towards modern lifestyles, D) All of the above</t>
  </si>
  <si>
    <t>The lack of open spaces, a decline in community-based activities, and a shift towards modern pastimes all contributed to the game's decline in urban centers.</t>
  </si>
  <si>
    <t>What was a common historical superstition or belief associated with winning a Dariabandha match?</t>
  </si>
  <si>
    <t>A) It would bring good luck for the next harvest, B) It would make the team stronger, C) It would bring rain, D) It would increase the price of crops</t>
  </si>
  <si>
    <t>A) It would bring good luck for the next harvest</t>
  </si>
  <si>
    <t>Winning a match was sometimes believed to bring good fortune and a bountiful harvest for the village in the coming season.</t>
  </si>
  <si>
    <t>What historical event, a part of the Bengal Renaissance, helped preserve traditional games?</t>
  </si>
  <si>
    <t>A) The Swadeshi Movement, B) The Brahmo Samaj Movement, C) The Sepoy Mutiny, D) The Partition of Bengal</t>
  </si>
  <si>
    <t>A) The Swadeshi Movement</t>
  </si>
  <si>
    <t>The Swadeshi Movement, which emphasized self-reliance and the preservation of indigenous culture, also helped promote traditional games like Dariabandha.</t>
  </si>
  <si>
    <t>Historically, what was the primary source of motivation for players in a Dariabandha match?</t>
  </si>
  <si>
    <t>A) Personal gain, B) Community pride and honor, C) Gaining a sponsorship, D) To settle personal vendettas</t>
  </si>
  <si>
    <t>B) Community pride and honor</t>
  </si>
  <si>
    <t>The primary motivation for players was always to bring honor to their village or team through collective effort and victory.</t>
  </si>
  <si>
    <t>What historical parallel can be drawn between Dariabandha and other South Asian sports like Kabaddi?</t>
  </si>
  <si>
    <t>A) Both originated in Bangladesh, B) Both are contact sports, C) Both emphasize teamwork and physical strength, D) Both use a rope</t>
  </si>
  <si>
    <t>C) Both emphasize teamwork and physical strength</t>
  </si>
  <si>
    <t>Like Kabaddi, Dariabandha is a sport that relies heavily on a team's collective physical strength and coordination to win.</t>
  </si>
  <si>
    <t>Historically, what was the most common time of day for a Dariabandha match to take place?</t>
  </si>
  <si>
    <t>A) Early morning, B) Midday, C) Late afternoon or evening, D) After midnight</t>
  </si>
  <si>
    <t>C) Late afternoon or evening</t>
  </si>
  <si>
    <t>Matches were traditionally played in the late afternoon or early evening when the sun was not as hot and villagers were free from their daily work.</t>
  </si>
  <si>
    <t>What was the historical significance of the loud cheering and shouting during a match?</t>
  </si>
  <si>
    <t>A) It was a way to intimidate opponents, B) It was a way to confuse the referee, C) It was a way to show team spirit and intimidate the opponent, D) It was a historical tradition with no real meaning</t>
  </si>
  <si>
    <t>A) It was a way to intimidate opponents</t>
  </si>
  <si>
    <t>The loud and boisterous cheering from the crowd was a historical part of the game, intended to energize their team and intimidate the opposing side.</t>
  </si>
  <si>
    <t>What historical change led to the formalization of rules and courts for Dariabandha?</t>
  </si>
  <si>
    <t>A) Its inclusion in school sports, B) Its professionalization, C) Government regulation, D) The formation of national sports associations</t>
  </si>
  <si>
    <t>D) The formation of national sports associations</t>
  </si>
  <si>
    <t>The establishment of national sports associations in Bangladesh led to the formalization of the game's rules and playing area.</t>
  </si>
  <si>
    <t>In a historical context, what was the role of the dariya or line in the middle of the field?</t>
  </si>
  <si>
    <t>A) It was an optional line, B) It was a marker to show which team had more players, C) It was a metaphorical boundary representing a challenge to overcome, D) It was a place for the referee to stand</t>
  </si>
  <si>
    <t>C) It was a metaphorical boundary representing a challenge to overcome</t>
  </si>
  <si>
    <t>The central line was more than just a boundary; it was a symbolic challenge that the teams had to overcome through unity and strength.</t>
  </si>
  <si>
    <t>What historical aspect of Dariabandha makes it a unique form of cultural exchange?</t>
  </si>
  <si>
    <t>A) It was only played by a single village, B) It was played between different villages or communities, C) It was a game only played during times of peace, D) It was a game only played during wartime</t>
  </si>
  <si>
    <t>B) It was played between different villages or communities</t>
  </si>
  <si>
    <t>Dariabandha was historically a way for different villages and communities to interact in a friendly, competitive setting.</t>
  </si>
  <si>
    <t>How did Dariabandha historically help to relieve post-harvest stress for farmers?</t>
  </si>
  <si>
    <t>A) It was a physically relaxing activity, B) It was an entertaining and fun way to celebrate, C) It was a form of meditation, D) It was a way to make extra money</t>
  </si>
  <si>
    <t>B) It was an entertaining and fun way to celebrate</t>
  </si>
  <si>
    <t>After a strenuous harvest, the game provided a much-needed outlet for farmers to relax, celebrate, and bond with their community.</t>
  </si>
  <si>
    <t>What was the historical purpose of having a mukhya (village elder) oversee the game?</t>
  </si>
  <si>
    <t>A) To ensure the rules were followed, B) To settle any disputes, C) To provide guidance to the players, D) All of the above</t>
  </si>
  <si>
    <t>The mukhya's role was comprehensive, ensuring fairness, resolving conflicts, and guiding the teams, thus preserving the game's integrity.</t>
  </si>
  <si>
    <t>Historically, how was the length of the rope determined for a Dariabandha match?</t>
  </si>
  <si>
    <t>A) By a standard measurement, B) By the number of players, C) By the village elder, D) By the captains of both teams</t>
  </si>
  <si>
    <t>B) By the number of players</t>
  </si>
  <si>
    <t>The length of the rope was historically determined by the number of players on each team to ensure it was long enough for all of them to hold.</t>
  </si>
  <si>
    <t>What historical factor led to Dariabandha's transition from a casual pastime to a competitive sport?</t>
  </si>
  <si>
    <t>A) The introduction of a trophy, B) The rise of local tournaments and fairs, C) The establishment of formal clubs, D) The creation of official uniforms</t>
  </si>
  <si>
    <t>B) The rise of local tournaments and fairs</t>
  </si>
  <si>
    <t>The organization of local fairs and tournaments transformed the game from a casual pastime into a more serious, competitive sport.</t>
  </si>
  <si>
    <t>What historical lesson can be learned from the communal nature of Dariabandha?</t>
  </si>
  <si>
    <t>A) The importance of individual strength, B) The value of competition, C) The strength of collective action and unity, D) The importance of winning at all costs</t>
  </si>
  <si>
    <t>C) The strength of collective action and unity</t>
  </si>
  <si>
    <t>The game is a historical testament to the idea that a group's collective strength and unity can overcome any challenge, a key lesson for the community.</t>
  </si>
  <si>
    <t>What historical clothing was most suitable for playing Dariabandha?</t>
  </si>
  <si>
    <t>A) A dhoti and shirt, B) A saree, C) A sherwani, D) A lungi and vest</t>
  </si>
  <si>
    <t>D) A lungi and vest</t>
  </si>
  <si>
    <t>The traditional lungi and ganji (vest) were practical and comfortable for the players, allowing freedom of movement during the game.</t>
  </si>
  <si>
    <t>What historical social bond did Dariabandha help to strengthen?</t>
  </si>
  <si>
    <t>A) The bond between families, B) The bond between villagers and their mukhya, C) The bond between neighbors and communities, D) All of the above</t>
  </si>
  <si>
    <t>C) The bond between neighbors and communities</t>
  </si>
  <si>
    <t>By bringing people together for a common purpose, the game helped to reinforce the social fabric of the village.</t>
  </si>
  <si>
    <t>What was the historical reason for the game being played on a flat, open field?</t>
  </si>
  <si>
    <t>A) It was the only type of terrain available, B) It was a way to ensure fairness and prevent injury, C) It was a way to showcase the village's land, D) It was a requirement for government approval</t>
  </si>
  <si>
    <t>B) It was a way to ensure fairness and prevent injury</t>
  </si>
  <si>
    <t>A flat and open field was historically chosen to ensure that both teams had equal footing and that the players were not at risk of falling on uneven ground.</t>
  </si>
  <si>
    <t>What historical practice associated with Dariabandha is now becoming extinct?</t>
  </si>
  <si>
    <t>A) The use of a jute rope, B) The formation of teams by village, C) The involvement of a village elder as a judge, D) All of the above</t>
  </si>
  <si>
    <t>Many of the traditional practices, such as making the rope locally and having the village elder as a judge, are becoming less common with the modernization of the sport.</t>
  </si>
  <si>
    <t>What historical event, a part of the freedom struggle, influenced the game's popularity?</t>
  </si>
  <si>
    <t>A) The Salt March, B) The Non-Cooperation Movement, C) The Bengal Renaissance, D) The Anti-Partition Movement of 1905</t>
  </si>
  <si>
    <t>D) The Anti-Partition Movement of 1905</t>
  </si>
  <si>
    <t>The anti-partition movement, which sought to maintain a united Bengal, encouraged the playing of traditional games like Dariabandha as a symbol of cultural unity.</t>
  </si>
  <si>
    <t>What historical custom was often associated with a village's victory in Dariabandha?</t>
  </si>
  <si>
    <t>A) A special feast or celebration, B) A public holiday, C) A tax exemption, D) A parade</t>
  </si>
  <si>
    <t>A) A special feast or celebration</t>
  </si>
  <si>
    <t>The victorious team and their community would often be honored with a special feast, a tradition that emphasized the game's social importance.</t>
  </si>
  <si>
    <t>What historical form of music was sometimes played to accompany a Dariabandha match?</t>
  </si>
  <si>
    <t>A) Classical music, B) Folk songs and drum beats, C) Modern pop music, D) Western classical music</t>
  </si>
  <si>
    <t>B) Folk songs and drum beats</t>
  </si>
  <si>
    <t>The rhythmic beats of drums and lively folk songs were often played to energize the players and spectators, adding to the festive atmosphere.</t>
  </si>
  <si>
    <t>What historical analogy can be used to describe the role of the teams in Dariabandha?</t>
  </si>
  <si>
    <t>A) A race, B) A battle of wits, C) A tug of war, D) A game of strategy</t>
  </si>
  <si>
    <t>C) A tug of war</t>
  </si>
  <si>
    <t>The game is often historically described as a form of tug-of-war, with both teams pulling on a single rope to win.</t>
  </si>
  <si>
    <t>A) The popularity of radio, B) The lack of communal land, C) The government's ban on the sport, D) The rise of video games</t>
  </si>
  <si>
    <t>B) The lack of communal land</t>
  </si>
  <si>
    <t>The rapid urbanization and lack of open spaces made it difficult to play a sport that requires a large, flat field.</t>
  </si>
  <si>
    <t>What historical tradition of storytelling or folk theatre sometimes used Dariabandha as a theme?</t>
  </si>
  <si>
    <t>A) Jatra, B) Pala Gaan, C) Puthi Path, D) Baul Gaan</t>
  </si>
  <si>
    <t>A) Jatra</t>
  </si>
  <si>
    <t>Jatra, a form of folk theatre, sometimes incorporated themes from traditional games like Dariabandha to tell stories of strength, unity, and community.</t>
  </si>
  <si>
    <t>What historical role did a team captain play in Dariabandha?</t>
  </si>
  <si>
    <t>A) They would be the strongest player, B) They would make all the decisions, C) They would lead the team and strategize, D) They would be the first to pull the rope</t>
  </si>
  <si>
    <t>C) They would lead the team and strategize</t>
  </si>
  <si>
    <t>The captain's historical role was to lead the team, motivate the players, and devise strategies to overcome the opponent.</t>
  </si>
  <si>
    <t>What historical change is most responsible for the decline of Dariabandha in some parts of Bangladesh?</t>
  </si>
  <si>
    <t>A) The rise of Western sports like cricket, B) The lack of government support, C) Economic changes, D) All of the above</t>
  </si>
  <si>
    <t>A combination of factors, including the popularity of modern sports, economic shifts, and a lack of support, led to the decline of the game in some areas.</t>
  </si>
  <si>
    <t>What historical significance does the game's name, daria, have?</t>
  </si>
  <si>
    <t>A) It is a local dialect word for 'river', B) It is an ancient word for 'strength', C) It is a colloquial term for 'rope', D) It is a family name</t>
  </si>
  <si>
    <t>C) It is a colloquial term for 'rope'</t>
  </si>
  <si>
    <t>The term daria is a colloquial and historical word in Bengali for a long, thick rope, which is the central element of the game.</t>
  </si>
  <si>
    <t>Historically, what was the most important quality for a team to have in Dariabandha?</t>
  </si>
  <si>
    <t>A) Speed, B) Strength, C) Unity, D) Agility</t>
  </si>
  <si>
    <t>C) Unity</t>
  </si>
  <si>
    <t>The most important quality was not just individual strength but the team's unity and coordinated effort, which was the key to victory.</t>
  </si>
  <si>
    <t>How did the historical game of Dariabandha differ from a modern sport?</t>
  </si>
  <si>
    <t>A) It was less organized, B) It was more about communal bonding than winning, C) It was a way to settle disputes, D) Both A and B</t>
  </si>
  <si>
    <t>D) Both A and B</t>
  </si>
  <si>
    <t>Historically, the game was less organized and was played more for fun and community bonding than for fierce competition.</t>
  </si>
  <si>
    <t>What was the historical significance of the game's simplicity?</t>
  </si>
  <si>
    <t>A) It made the game boring, B) It made the game accessible to everyone, C) It made the game difficult to play, D) It was a way to make it less popular</t>
  </si>
  <si>
    <t>B) It made the game accessible to everyone</t>
  </si>
  <si>
    <t>The simplicity of the game, with its minimal equipment, meant that anyone could play it, regardless of their social or economic background.</t>
  </si>
  <si>
    <t>In a historical context, what was the primary source of the rules of Dariabandha?</t>
  </si>
  <si>
    <t>A) Written law, B) Oral tradition, C) Government regulation, D) International sports associations</t>
  </si>
  <si>
    <t>B) Oral tradition</t>
  </si>
  <si>
    <t>The rules of the game were passed down through generations through oral tradition and were subject to local variations.</t>
  </si>
  <si>
    <t>What historical event led to a brief resurgence of interest in Dariabandha?</t>
  </si>
  <si>
    <t>A) The Dhaka-Calcutta train service, B) The visit of a foreign dignitary, C) The celebration of a national holiday, D) The Bengal Renaissance</t>
  </si>
  <si>
    <t>C) The celebration of a national holiday</t>
  </si>
  <si>
    <t>National holidays and cultural festivals often include traditional games like Dariabandha as a way to celebrate and preserve cultural heritage.</t>
  </si>
  <si>
    <t>What historical aspect of Dariabandha is reflected in its modern revival?</t>
  </si>
  <si>
    <t>A) Its focus on tradition, B) Its competitive nature, C) Its use as a marketing tool, D) Its professionalization</t>
  </si>
  <si>
    <t>A) Its focus on tradition</t>
  </si>
  <si>
    <t>The modern revival of the game focuses on its historical and traditional roots, celebrating it as a part of Bangladesh's cultural heritage.</t>
  </si>
  <si>
    <t>Historically, what was the most common type of playing field for Dariabandha?</t>
  </si>
  <si>
    <t>A) A specially built stadium, B) An abandoned lot, C) An open field or village square, D) A paved road</t>
  </si>
  <si>
    <t>C) An open field or village square</t>
  </si>
  <si>
    <t>The game was historically played on any available open space, such as a field or the village square, reflecting its informal nature.</t>
  </si>
  <si>
    <t>What historical social purpose did Dariabandha serve in rural communities?</t>
  </si>
  <si>
    <t>A) A means of political protest, B) A form of religious worship, C) A way to settle personal debts, D) A form of entertainment and social cohesion</t>
  </si>
  <si>
    <t>D) A form of entertainment and social cohesion</t>
  </si>
  <si>
    <t>The game was a significant part of the social life of the village, bringing people together for entertainment and fostering a strong sense of community.</t>
  </si>
  <si>
    <t>What was the historical significance of the crowd's roar during a Dariabandha match?</t>
  </si>
  <si>
    <t>A) It was a way to insult the other team, B) It was a way to show respect to the players, C) It was a way to show their support and boost their team's morale, D) It was a way to signal the end of the game</t>
  </si>
  <si>
    <t>C) It was a way to show their support and boost their team's morale</t>
  </si>
  <si>
    <t>The cheering crowd's roar was a historical part of the game, providing a powerful emotional boost to the players on their team.</t>
  </si>
  <si>
    <t>How did the British colonial period indirectly affect the game of Dariabandha?</t>
  </si>
  <si>
    <t>A) By introducing new rules, B) By promoting Western sports that competed with traditional games, C) By banning the use of jute, D) By funding the game</t>
  </si>
  <si>
    <t>B) By promoting Western sports that competed with traditional games</t>
  </si>
  <si>
    <t>The introduction of sports like cricket and football by the British created new forms of entertainment that slowly replaced traditional games in some areas.</t>
  </si>
  <si>
    <t>In a historical context, what was the most important aspect of a Dariabandha match?</t>
  </si>
  <si>
    <t>A) The final score, B) The strength of the players, C) The sense of community and participation, D) The length of the game</t>
  </si>
  <si>
    <t>C) The sense of community and participation</t>
  </si>
  <si>
    <t>Historically, the most important aspect of the game was not the victory itself but the shared experience, the community's participation, and the sense of unity it fostered.</t>
  </si>
  <si>
    <t>What is the origin of the sport Golla Chut?</t>
  </si>
  <si>
    <t>Golla Chut is a traditional sport from Bangladesh with deep cultural roots.</t>
  </si>
  <si>
    <t>In Golla Chut, what do the two teams aim to achieve?</t>
  </si>
  <si>
    <t>A) Score the highest goals, B) Avoid being tagged, C) Knock down a target, D) Capture the opponent's flag</t>
  </si>
  <si>
    <t>C) Knock down a target</t>
  </si>
  <si>
    <t>The primary objective in Golla Chut is for one team to knock down the target while the other defends it.</t>
  </si>
  <si>
    <t>What is the target object used in Golla Chut called?</t>
  </si>
  <si>
    <t>A) Golla, B) Chut, C) Ball, D) Pole</t>
  </si>
  <si>
    <t>A) Golla</t>
  </si>
  <si>
    <t>The sport involves a target called 'Golla', which teams aim to knock down.</t>
  </si>
  <si>
    <t>How many players are typically involved in a game of Golla Chut?</t>
  </si>
  <si>
    <t>A) 6, B) 10, C) 12, D) 14</t>
  </si>
  <si>
    <t>C) 12</t>
  </si>
  <si>
    <t>A typical Golla Chut game consists of 12 players, divided into two teams.</t>
  </si>
  <si>
    <t>In which region of Bangladesh is Golla Chut most popular?</t>
  </si>
  <si>
    <t>A) Chittagong, B) Khulna, C) Dhaka, D) Rajshahi</t>
  </si>
  <si>
    <t>Golla Chut is especially popular in the Chittagong region of Bangladesh.</t>
  </si>
  <si>
    <t>What type of field is used for playing Golla Chut?</t>
  </si>
  <si>
    <t>A) Grass, B) Mud, C) Concrete, D) Sand</t>
  </si>
  <si>
    <t>The game is traditionally played on a mud field, adding to its rustic charm.</t>
  </si>
  <si>
    <t>When was Golla Chut officially recognized by the Bangladesh government?</t>
  </si>
  <si>
    <t>A) 1970, B) 1980, C) 1990, D) 2000</t>
  </si>
  <si>
    <t>D) 2000</t>
  </si>
  <si>
    <t>Golla Chut was officially recognized as a traditional sport by the Bangladesh government in the year 2000.</t>
  </si>
  <si>
    <t>Which of the following is a significant cultural aspect of Golla Chut?</t>
  </si>
  <si>
    <t>A) Teamwork, B) Individual glory, C) Speed, D) Agility</t>
  </si>
  <si>
    <t>A) Teamwork</t>
  </si>
  <si>
    <t>Teamwork is a crucial cultural aspect of Golla Chut, as the game involves a strong collective effort.</t>
  </si>
  <si>
    <t>What does the word 'Chut' mean in the context of Golla Chut?</t>
  </si>
  <si>
    <t>A) Game, B) Throw, C) Target, D) Rule</t>
  </si>
  <si>
    <t>B) Throw</t>
  </si>
  <si>
    <t>In Golla Chut, 'Chut' refers to the action of throwing, central to the game.</t>
  </si>
  <si>
    <t>How long does a typical Golla Chut game last?</t>
  </si>
  <si>
    <t>A) 30 minutes, B) 45 minutes, C) 1 hour, D) 2 hours</t>
  </si>
  <si>
    <t>B) 45 minutes</t>
  </si>
  <si>
    <t>A typical game of Golla Chut lasts for about 45 minutes.</t>
  </si>
  <si>
    <t>What is the main skill required to excel in Golla Chut?</t>
  </si>
  <si>
    <t>A) Strategy, B) Strength, C) Speed, D) Endurance</t>
  </si>
  <si>
    <t>A) Strategy</t>
  </si>
  <si>
    <t>Success in Golla Chut relies heavily on strategic thinking and planning.</t>
  </si>
  <si>
    <t>In Golla Chut, how many players from each team attack the target?</t>
  </si>
  <si>
    <t>A) 1, B) 2, C) 3, D) 4</t>
  </si>
  <si>
    <t>C) 3</t>
  </si>
  <si>
    <t>Typically, 3 players from each team are tasked with attacking the target in Golla Chut.</t>
  </si>
  <si>
    <t>Which of the following is NOT a rule in Golla Chut?</t>
  </si>
  <si>
    <t>A) No physical contact, B) Team members must stay in their designated area, C) The target must be knocked down within 10 minutes, D) The game can be played indoors</t>
  </si>
  <si>
    <t>D) The game can be played indoors</t>
  </si>
  <si>
    <t>Golla Chut is traditionally an outdoor sport and is not typically played indoors.</t>
  </si>
  <si>
    <t>Which country influenced the formation of Golla Chut in Bangladesh?</t>
  </si>
  <si>
    <t>A) India, B) Pakistan, C) Myanmar, D) Nepal</t>
  </si>
  <si>
    <t>A) India</t>
  </si>
  <si>
    <t>Golla Chut shares similarities with traditional Indian games, and its roots are influenced by Indian sports.</t>
  </si>
  <si>
    <t>Which element is most emphasized in Golla Chut competitions?</t>
  </si>
  <si>
    <t>A) Agility, B) Strength, C) Speed, D) Coordination</t>
  </si>
  <si>
    <t>D) Coordination</t>
  </si>
  <si>
    <t>Coordination between team members is a key element in succeeding in Golla Chut.</t>
  </si>
  <si>
    <t>What is the main challenge faced by defenders in Golla Chut?</t>
  </si>
  <si>
    <t>A) Avoiding injuries, B) Preventing the target from being knocked down, C) Catching the opposing team, D) Maintaining endurance</t>
  </si>
  <si>
    <t>B) Preventing the target from being knocked down</t>
  </si>
  <si>
    <t>Defenders in Golla Chut must stop the opposing team from knocking down the target.</t>
  </si>
  <si>
    <t>Who typically organizes Golla Chut competitions in Bangladesh?</t>
  </si>
  <si>
    <t>A) Local communities, B) Government organizations, C) Private companies, D) International organizations</t>
  </si>
  <si>
    <t>A) Local communities</t>
  </si>
  <si>
    <t>Golla Chut competitions are mainly organized by local communities and cultural groups.</t>
  </si>
  <si>
    <t>Which type of training is essential for players of Golla Chut?</t>
  </si>
  <si>
    <t>A) Technical training, B) Physical fitness, C) Mental toughness, D) All of the above</t>
  </si>
  <si>
    <t>Players require a combination of technical skills, physical fitness, and mental toughness to excel in Golla Chut.</t>
  </si>
  <si>
    <t>What is the traditional attire for players of Golla Chut?</t>
  </si>
  <si>
    <t>A) Uniforms, B) Traditional attire, C) Sportswear, D) Casual clothes</t>
  </si>
  <si>
    <t>B) Traditional attire</t>
  </si>
  <si>
    <t>Players of Golla Chut traditionally wear cultural attire during the game.</t>
  </si>
  <si>
    <t>What role does the 'Golla' play in the game of Golla Chut?</t>
  </si>
  <si>
    <t>A) The goal, B) The weapon, C) The target, D) The timer</t>
  </si>
  <si>
    <t>C) The target</t>
  </si>
  <si>
    <t>The 'Golla' is the object that teams try to knock down, serving as the central target in the game.</t>
  </si>
  <si>
    <t>Which of the following is a primary goal of the attacking team in Golla Chut?</t>
  </si>
  <si>
    <t>A) To avoid getting tagged, B) To protect the target, C) To knock down the target, D) To capture the opponent's flag</t>
  </si>
  <si>
    <t>C) To knock down the target</t>
  </si>
  <si>
    <t>The main objective for the attacking team is to knock down the target, the 'Golla'.</t>
  </si>
  <si>
    <t>What is the approximate size of the playing field in Golla Chut?</t>
  </si>
  <si>
    <t>A) 10 meters by 20 meters, B) 20 meters by 30 meters, C) 50 meters by 50 meters, D) 100 meters by 100 meters</t>
  </si>
  <si>
    <t>B) 20 meters by 30 meters</t>
  </si>
  <si>
    <t>The playing field in Golla Chut typically measures around 20 meters by 30 meters.</t>
  </si>
  <si>
    <t>What type of audience typically attends Golla Chut matches?</t>
  </si>
  <si>
    <t>A) Local villagers, B) National sports fans, C) International tourists, D) Corporate sponsors</t>
  </si>
  <si>
    <t>A) Local villagers</t>
  </si>
  <si>
    <t>Golla Chut matches are usually attended by local villagers, creating a community-centered atmosphere.</t>
  </si>
  <si>
    <t>What makes Golla Chut a popular sport in rural areas of Bangladesh?</t>
  </si>
  <si>
    <t>A) The simplicity of the rules, B) The cultural significance, C) The accessibility of resources, D) All of the above</t>
  </si>
  <si>
    <t>Golla Chut is popular in rural areas due to its simple rules, cultural importance, and minimal resource requirements.</t>
  </si>
  <si>
    <t>Which of the following is NOT part of Golla Chut's gameplay?</t>
  </si>
  <si>
    <t>A) Dribbling, B) Attacking, C) Defending, D) Throwing the target</t>
  </si>
  <si>
    <t>A) Dribbling</t>
  </si>
  <si>
    <t>Unlike some other games, Golla Chut does not involve dribbling, focusing instead on attacking and defending.</t>
  </si>
  <si>
    <t>What does the term 'Golla' signify in Bengali culture?</t>
  </si>
  <si>
    <t>A) Strength, B) Unity, C) Target, D) Speed</t>
  </si>
  <si>
    <t>C) Target</t>
  </si>
  <si>
    <t>Golla' refers to the target in the sport and symbolizes the focus of the game.</t>
  </si>
  <si>
    <t>In which season is Golla Chut traditionally played?</t>
  </si>
  <si>
    <t>A) Winter, B) Summer, C) Monsoon, D) All seasons</t>
  </si>
  <si>
    <t>A) Winter</t>
  </si>
  <si>
    <t>Golla Chut is traditionally played during the winter season, when the weather is more favorable.</t>
  </si>
  <si>
    <t>What is a common feature of the Golla Chut playing area?</t>
  </si>
  <si>
    <t>A) Sand, B) Concrete, C) Grass, D) Mud</t>
  </si>
  <si>
    <t>D) Mud</t>
  </si>
  <si>
    <t>The playing field for Golla Chut is traditionally made of mud, adding to the rustic feel of the game.</t>
  </si>
  <si>
    <t>Which of the following is an important skill for a Golla Chut defender?</t>
  </si>
  <si>
    <t>A) Speed, B) Strength, C) Agility, D) Accuracy</t>
  </si>
  <si>
    <t>C) Agility</t>
  </si>
  <si>
    <t>Defenders in Golla Chut need to be agile to quickly respond to attacking players.</t>
  </si>
  <si>
    <t>What aspect of Golla Chut is highly valued in its community competitions?</t>
  </si>
  <si>
    <t>A) Individual performance, B) Team spirit, C) Physical strength, D) Mental strategy</t>
  </si>
  <si>
    <t>In Golla Chut competitions, team spirit and coordination are highly valued over individual performance.</t>
  </si>
  <si>
    <t>Which region of Bangladesh is known for preserving the history of Golla Chut?</t>
  </si>
  <si>
    <t>A) Sylhet, B) Chittagong, C) Khulna, D) Dhaka</t>
  </si>
  <si>
    <t>Chittagong is renowned for preserving the history and traditions of Golla Chut.</t>
  </si>
  <si>
    <t>What does 'Golla' symbolize in Golla Chut?</t>
  </si>
  <si>
    <t>A) Victory, B) Strength, C) Target, D) Defense</t>
  </si>
  <si>
    <t>Golla' refers to the target that both teams aim to knock down during the game.</t>
  </si>
  <si>
    <t>Which countryâ€™s sports culture has influenced Golla Chut?</t>
  </si>
  <si>
    <t>A) Nepal, B) India, C) Pakistan, D) Sri Lanka</t>
  </si>
  <si>
    <t>B) India</t>
  </si>
  <si>
    <t>Golla Chut shares similarities with traditional Indian sports, especially in terms of gameplay.</t>
  </si>
  <si>
    <t>What is the historical significance of Golla Chut in rural Bangladesh?</t>
  </si>
  <si>
    <t>A) Cultural expression, B) Military training, C) Religious rituals, D) Royal pastime</t>
  </si>
  <si>
    <t>A) Cultural expression</t>
  </si>
  <si>
    <t>Golla Chut serves as a cultural expression and is often part of rural festivities in Bangladesh.</t>
  </si>
  <si>
    <t>What is the primary objective of the attacking team in Golla Chut?</t>
  </si>
  <si>
    <t>A) Protect the target, B) Knock down the target, C) Score points, D) Capture the flag</t>
  </si>
  <si>
    <t>B) Knock down the target</t>
  </si>
  <si>
    <t>The attacking teamâ€™s main goal is to knock down the target ('Golla') to win the game.</t>
  </si>
  <si>
    <t>How do defenders participate in Golla Chut?</t>
  </si>
  <si>
    <t>A) By blocking the target, B) By tagging attackers, C) By defending the target, D) By scoring goals</t>
  </si>
  <si>
    <t>C) By defending the target</t>
  </si>
  <si>
    <t>Defenders focus on stopping the attacking team from knocking down the target.</t>
  </si>
  <si>
    <t>What cultural event often features Golla Chut competitions in Bangladesh?</t>
  </si>
  <si>
    <t>A) Independence Day, B) Durga Puja, C) Pohela Boishakh, D) Eid al-Fitr</t>
  </si>
  <si>
    <t>Golla Chut competitions are often held during Pohela Boishakh, the Bengali New Year.</t>
  </si>
  <si>
    <t>Who typically organizes local Golla Chut tournaments?</t>
  </si>
  <si>
    <t>A) Government officials, B) Local communities, C) Private companies, D) Schools</t>
  </si>
  <si>
    <t>B) Local communities</t>
  </si>
  <si>
    <t>Local communities often organize and host Golla Chut tournaments, especially in rural areas.</t>
  </si>
  <si>
    <t>Which of the following is a characteristic feature of Golla Chutâ€™s playing field?</t>
  </si>
  <si>
    <t>A) It is indoors, B) It is made of sand, C) It is a mud field, D) It is covered with grass</t>
  </si>
  <si>
    <t>C) It is a mud field</t>
  </si>
  <si>
    <t>The traditional playing field for Golla Chut is a mud field, reflecting the rustic nature of the sport.</t>
  </si>
  <si>
    <t>What does the sport of Golla Chut signify in rural Bangladesh?</t>
  </si>
  <si>
    <t>A) A symbol of strength, B) A rite of passage, C) A sign of unity, D) A show of skill</t>
  </si>
  <si>
    <t>C) A sign of unity</t>
  </si>
  <si>
    <t>Golla Chut fosters a sense of community and unity, particularly in rural areas of Bangladesh.</t>
  </si>
  <si>
    <t>When did Golla Chut become widely recognized in Bangladesh?</t>
  </si>
  <si>
    <t>A) 1970s, B) 1980s, C) 1990s, D) 2000s</t>
  </si>
  <si>
    <t>D) 2000s</t>
  </si>
  <si>
    <t>Golla Chut gained broader recognition in Bangladesh during the 2000s.</t>
  </si>
  <si>
    <t>What traditional item is used in Golla Chut to represent the target?</t>
  </si>
  <si>
    <t>A) A wooden pole, B) A stone, C) A ball, D) A coconut</t>
  </si>
  <si>
    <t>A) A wooden pole</t>
  </si>
  <si>
    <t>A wooden pole or similar object is used as the target in Golla Chut.</t>
  </si>
  <si>
    <t>What is the role of strategy in Golla Chut?</t>
  </si>
  <si>
    <t>A) Strategy is not important, B) It decides the winner, C) It supports the physical aspect, D) It makes the game faster</t>
  </si>
  <si>
    <t>B) It decides the winner</t>
  </si>
  <si>
    <t>Strategic thinking is essential in Golla Chut, influencing the outcome of the game.</t>
  </si>
  <si>
    <t>Which of the following is crucial to success in Golla Chut?</t>
  </si>
  <si>
    <t>A) Physical strength, B) Speed, C) Team coordination, D) Aggression</t>
  </si>
  <si>
    <t>C) Team coordination</t>
  </si>
  <si>
    <t>Team coordination is crucial to success, as it requires players to work together effectively.</t>
  </si>
  <si>
    <t>Which year was the first official Golla Chut tournament held?</t>
  </si>
  <si>
    <t>A) 1985, B) 1995, C) 2005, D) 2015</t>
  </si>
  <si>
    <t>C) 2005</t>
  </si>
  <si>
    <t>The first official Golla Chut tournament was held in 2005, marking a milestone for the sport.</t>
  </si>
  <si>
    <t>Which skill is primarily tested during Golla Chut tournaments?</t>
  </si>
  <si>
    <t>A) Agility, B) Strength, C) Coordination, D) Speed</t>
  </si>
  <si>
    <t>Coordination is the key skill tested, as players must work together to achieve their goal.</t>
  </si>
  <si>
    <t>What is the traditional age group for players of Golla Chut?</t>
  </si>
  <si>
    <t>A) Children only, B) Teenagers, C) Adults, D) All age groups</t>
  </si>
  <si>
    <t>D) All age groups</t>
  </si>
  <si>
    <t>Golla Chut is enjoyed by people of all age groups, from children to adults.</t>
  </si>
  <si>
    <t>What type of community event is Golla Chut most associated with?</t>
  </si>
  <si>
    <t>A) Harvest festivals, B) Religious ceremonies, C) Weddings, D) Village fairs</t>
  </si>
  <si>
    <t>D) Village fairs</t>
  </si>
  <si>
    <t>Golla Chut is often featured in village fairs, showcasing local talent and tradition.</t>
  </si>
  <si>
    <t>In Golla Chut, which of the following is NOT a role of the defenders?</t>
  </si>
  <si>
    <t>A) Blocking the attacking players, B) Protecting the target, C) Knocking down the target, D) Tagging the attackers</t>
  </si>
  <si>
    <t>C) Knocking down the target</t>
  </si>
  <si>
    <t>Defenders are responsible for protecting the target, not knocking it down.</t>
  </si>
  <si>
    <t>What historical event helped spread the popularity of Golla Chut in Bangladesh?</t>
  </si>
  <si>
    <t>A) The independence movement, B) Colonial rule, C) The Bengali Renaissance, D) The Liberation War</t>
  </si>
  <si>
    <t>D) The Liberation War</t>
  </si>
  <si>
    <t>The Liberation War of 1971 helped promote traditional sports like Golla Chut as a symbol of national pride.</t>
  </si>
  <si>
    <t>Which cultural aspect is Golla Chut deeply tied to?</t>
  </si>
  <si>
    <t>A) National politics, B) Rural traditions, C) Urban lifestyle, D) Global sports culture</t>
  </si>
  <si>
    <t>Golla Chut is deeply tied to rural traditions and the communal lifestyle of rural Bangladesh.</t>
  </si>
  <si>
    <t>How are the teams divided in Golla Chut?</t>
  </si>
  <si>
    <t>A) By age, B) By skill level, C) Randomly, D) By gender</t>
  </si>
  <si>
    <t>C) Randomly</t>
  </si>
  <si>
    <t>In many traditional settings, teams are divided randomly to encourage inclusiveness.</t>
  </si>
  <si>
    <t>Which of these features makes Golla Chut different from other traditional sports?</t>
  </si>
  <si>
    <t>A) The size of the field, B) The target-based gameplay, C) The number of players, D) The scoring system</t>
  </si>
  <si>
    <t>B) The target-based gameplay</t>
  </si>
  <si>
    <t>The unique target-based gameplay differentiates Golla Chut from many other traditional sports.</t>
  </si>
  <si>
    <t>Which famous figure has been an advocate for preserving Golla Chut?</t>
  </si>
  <si>
    <t>A) Sheikh Mujibur Rahman, B) Begum Khaleda Zia, C) Fazle Hasan Abed, D) No famous figure</t>
  </si>
  <si>
    <t>Sheikh Mujibur Rahman has supported the preservation of traditional games like Golla Chut.</t>
  </si>
  <si>
    <t>Which of the following is an essential aspect of the Golla Chut gameplay?</t>
  </si>
  <si>
    <t>A) Using a net, B) Throwing the target, C) Kicking a ball, D) Dribbling</t>
  </si>
  <si>
    <t>B) Throwing the target</t>
  </si>
  <si>
    <t>In Golla Chut, players aim to knock down the target by throwing it.</t>
  </si>
  <si>
    <t>What is the primary material used for the target in Golla Chut?</t>
  </si>
  <si>
    <t>A) Clay, B) Wood, C) Metal, D) Bamboo</t>
  </si>
  <si>
    <t>B) Wood</t>
  </si>
  <si>
    <t>The target, or 'Golla', is traditionally made from wood.</t>
  </si>
  <si>
    <t>Which of the following is NOT a historical feature of Golla Chut?</t>
  </si>
  <si>
    <t>A) Village tournaments, B) Royal sponsorship, C) Seasonal competitions, D) Ritualistic significance</t>
  </si>
  <si>
    <t>B) Royal sponsorship</t>
  </si>
  <si>
    <t>Unlike some traditional games, Golla Chut has not been historically sponsored by royalty.</t>
  </si>
  <si>
    <t>What aspect of Golla Chut is most closely tied to community life in Bangladesh?</t>
  </si>
  <si>
    <t>A) Independence celebrations, B) Religious observances, C) Rural festivals, D) National holidays</t>
  </si>
  <si>
    <t>C) Rural festivals</t>
  </si>
  <si>
    <t>Golla Chut is often featured in rural festivals, fostering community spirit.</t>
  </si>
  <si>
    <t>When did Golla Chut start gaining attention outside rural communities?</t>
  </si>
  <si>
    <t>A) 1960s, B) 1980s, C) 1990s, D) 2000s</t>
  </si>
  <si>
    <t>Golla Chut began attracting more attention beyond rural communities in the 2000s.</t>
  </si>
  <si>
    <t>Which part of Bangladesh is especially known for playing Golla Chut?</t>
  </si>
  <si>
    <t>A) Dhaka, B) Sylhet, C) Chittagong, D) Barisal</t>
  </si>
  <si>
    <t>C) Chittagong</t>
  </si>
  <si>
    <t>Chittagong is known for being one of the regions where Golla Chut is widely played.</t>
  </si>
  <si>
    <t>Historically, what was the primary purpose of Golla Chut besides entertainment?</t>
  </si>
  <si>
    <t>A) Military drills, B) Social cohesion, C) Agricultural rituals, D) Political gatherings</t>
  </si>
  <si>
    <t>B) Social cohesion</t>
  </si>
  <si>
    <t>Golla Chut has historically served to strengthen community bonds and social cohesion in rural areas.</t>
  </si>
  <si>
    <t>In which century is the sport of Golla Chut believed to have originated?</t>
  </si>
  <si>
    <t>A) 18th century, B) 19th century, C) 20th century, D) 21st century</t>
  </si>
  <si>
    <t>A) 18th century</t>
  </si>
  <si>
    <t>The sport is believed to have a long history, with roots potentially tracing back to the 18th century or earlier in the Bengal region.</t>
  </si>
  <si>
    <t>The term 'Golla Chut' combines what two core actions of the game?</t>
  </si>
  <si>
    <t>A) Attacking and defending, B) Running and throwing, C) Running and circling, D) Kicking and hitting</t>
  </si>
  <si>
    <t>C) Running and circling</t>
  </si>
  <si>
    <t>Golla' means circle and 'Chut' means run, signifying the game's central actions of circling a pole and running.</t>
  </si>
  <si>
    <t>Which of the following traditional games in the Indian subcontinent is most similar to Golla Chut?</t>
  </si>
  <si>
    <t>A) Kabaddi, B) Kho Kho, C) Gilli Danda, D) Hadudu</t>
  </si>
  <si>
    <t>B) Kho Kho</t>
  </si>
  <si>
    <t>Kho Kho from India has a similar tag-and-chase dynamic, making it a close relative of Golla Chut.</t>
  </si>
  <si>
    <t>What was the role of village elders in historical Golla Chut matches?</t>
  </si>
  <si>
    <t>A) Players, B) Organizers and referees, C) Spectators, D) Coaches</t>
  </si>
  <si>
    <t>B) Organizers and referees</t>
  </si>
  <si>
    <t>Village elders often acted as organizers and referees, ensuring fair play and adherence to traditional rules.</t>
  </si>
  <si>
    <t>The traditional playing field for Golla Chut is typically located near which natural landmark in rural Bangladesh?</t>
  </si>
  <si>
    <t>A) Riverbanks, B) Ponds, C) Forests, D) Open fields</t>
  </si>
  <si>
    <t>D) Open fields</t>
  </si>
  <si>
    <t>The game is traditionally played in wide, open fields, often post-harvest, where space is abundant.</t>
  </si>
  <si>
    <t>What historical change led to a decline in the popularity of Golla Chut in urban areas?</t>
  </si>
  <si>
    <t>A) Introduction of modern sports, B) Government ban, C) Climate change, D) Lack of equipment</t>
  </si>
  <si>
    <t>A) Introduction of modern sports</t>
  </si>
  <si>
    <t>The rise of modern, organized sports like cricket and football led to a gradual decline in the popularity of traditional games in urban settings.</t>
  </si>
  <si>
    <t>In the pre-20th century, who were the primary participants in Golla Chut?</t>
  </si>
  <si>
    <t>A) All male adults, B) Male children and adolescents, C) Female children, D) All genders and ages</t>
  </si>
  <si>
    <t>B) Male children and adolescents</t>
  </si>
  <si>
    <t>Historically, the game was predominantly played by young boys and teenagers as a form of recreation and physical activity.</t>
  </si>
  <si>
    <t>What historical event in Bangladesh led to a resurgence of interest in its traditional sports?</t>
  </si>
  <si>
    <t>A) The independence movement in 1971, B) The 1998 floods, C) The 2004 Tsunami, D) The first democratic elections</t>
  </si>
  <si>
    <t>A) The independence movement in 1971</t>
  </si>
  <si>
    <t>After the 1971 Liberation War, there was a renewed focus on national identity and culture, which included promoting traditional sports.</t>
  </si>
  <si>
    <t>What type of material was historically used for the 'Golla' (the target) when a wooden pole was not available?</t>
  </si>
  <si>
    <t>A) Stone, B) A bundle of cloth, C) A clay pot, D) A large fruit</t>
  </si>
  <si>
    <t>B) A bundle of cloth</t>
  </si>
  <si>
    <t>In the absence of a wooden pole, a bundle of cloth or a similar makeshift object was often used as the target.</t>
  </si>
  <si>
    <t>What was the traditional signal to begin a game of Golla Chut?</t>
  </si>
  <si>
    <t>A) A whistle, B) A clap, C) A shout, D) A coin toss</t>
  </si>
  <si>
    <t>B) A clap</t>
  </si>
  <si>
    <t>Historically, a loud clap or a spoken command from the referee or a player would signal the start of the game.</t>
  </si>
  <si>
    <t>How did seasonal changes influence the playing of Golla Chut?</t>
  </si>
  <si>
    <t>A) It was only played in the monsoon, B) It was a winter sport, C) It was an all-season game, D) It was a summer sport</t>
  </si>
  <si>
    <t>B) It was a winter sport</t>
  </si>
  <si>
    <t>The game was traditionally played during the winter season when fields were dry and the weather was more conducive to outdoor activities.</t>
  </si>
  <si>
    <t>What historical aspect of Golla Chut made it accessible to all social classes?</t>
  </si>
  <si>
    <t>A) It required minimal equipment, B) It was played in schools, C) It had official government sponsorship, D) It was a televised sport</t>
  </si>
  <si>
    <t>A) It required minimal equipment</t>
  </si>
  <si>
    <t>The simplicity of the game, requiring no expensive equipment, made it accessible to people from all social and economic backgrounds.</t>
  </si>
  <si>
    <t>In which decade did efforts to standardize the rules of Golla Chut first begin?</t>
  </si>
  <si>
    <t>A) 1960s, B) 1970s, C) 1980s, D) 1990s</t>
  </si>
  <si>
    <t>D) 1990s</t>
  </si>
  <si>
    <t>The first formal efforts to standardize the rules and promote Golla Chut as an organized sport began in the late 1990s.</t>
  </si>
  <si>
    <t>What was the historical significance of a successful 'chut' (run) for a player?</t>
  </si>
  <si>
    <t>A) It meant a win for the team, B) It was a sign of great speed and agility, C) It earned them a prize, D) It was a sign of bad luck</t>
  </si>
  <si>
    <t>B) It was a sign of great speed and agility</t>
  </si>
  <si>
    <t>A successful run demonstrated a player's physical prowess and was a moment of pride and celebration.</t>
  </si>
  <si>
    <t>In pre-modern times, what was the primary source of motivation for Golla Chut players?</t>
  </si>
  <si>
    <t>A) Financial rewards, B) Fame, C) Community pride, D) Individual records</t>
  </si>
  <si>
    <t>C) Community pride</t>
  </si>
  <si>
    <t>Players were primarily motivated by the desire to bring pride to their village or community by winning matches.</t>
  </si>
  <si>
    <t>How did British colonial rule affect the popularity of Golla Chut?</t>
  </si>
  <si>
    <t>A) It was banned, B) It was promoted, C) It was largely ignored, D) It was integrated into military training</t>
  </si>
  <si>
    <t>C) It was largely ignored</t>
  </si>
  <si>
    <t>Golla Chut and other traditional sports were largely ignored in favor of British sports like cricket and football.</t>
  </si>
  <si>
    <t>What role did Golla Chut play in celebrating the harvest season in rural Bangladesh?</t>
  </si>
  <si>
    <t>A) It was a religious ritual, B) It was a celebratory game, C) It was a form of payment, D) It was a form of competition for farmers</t>
  </si>
  <si>
    <t>B) It was a celebratory game</t>
  </si>
  <si>
    <t>Golla Chut was often played as a celebratory game after the harvest season, marking a time of leisure and festivity.</t>
  </si>
  <si>
    <t>The historical name of Golla Chut in some regions of Bengal was different. What was it?</t>
  </si>
  <si>
    <t>A) Golla Run, B) Danguli, C) Ha-Du-Du, D) Bou-chut</t>
  </si>
  <si>
    <t>D) Bou-chut</t>
  </si>
  <si>
    <t>In some regions, the game was known as 'Bou-chut', reflecting regional variations in names for the same sport.</t>
  </si>
  <si>
    <t>What did winning a major Golla Chut tournament historically signify for a village?</t>
  </si>
  <si>
    <t>A) Social dominance, B) Economic prosperity, C) Community strength, D) Political power</t>
  </si>
  <si>
    <t>C) Community strength</t>
  </si>
  <si>
    <t>A victory in a major tournament was seen as a testament to the strength and unity of the entire village or community.</t>
  </si>
  <si>
    <t>What was the historical method for choosing teams in Golla Chut?</t>
  </si>
  <si>
    <t>A) By age group, B) By physical strength, C) Captains picking players, D) Random selection</t>
  </si>
  <si>
    <t>C) Captains picking players</t>
  </si>
  <si>
    <t>Teams were historically chosen by two captains who would take turns picking players, a common practice in many traditional sports.</t>
  </si>
  <si>
    <t>How was the score traditionally kept in a game of Golla Chut?</t>
  </si>
  <si>
    <t>A) Using chalk, B) With stones or sticks, C) No score was kept, D) By a formal scorekeeper</t>
  </si>
  <si>
    <t>B) With stones or sticks</t>
  </si>
  <si>
    <t>A simple method of counting was often used, such as placing small stones or sticks to represent points scored.</t>
  </si>
  <si>
    <t>The game of Golla Chut is a historical example of what kind of recreational activity?</t>
  </si>
  <si>
    <t>A) A formalized sport, B) A folk game, C) A professional game, D) A military exercise</t>
  </si>
  <si>
    <t>B) A folk game</t>
  </si>
  <si>
    <t>Golla Chut is best described as a folk game, passed down through generations with flexible, unwritten rules.</t>
  </si>
  <si>
    <t>What was the traditional time of day for playing Golla Chut?</t>
  </si>
  <si>
    <t>A) Early morning, B) Midday, C) Late afternoon, D) Night</t>
  </si>
  <si>
    <t>C) Late afternoon</t>
  </si>
  <si>
    <t>The game was most often played in the late afternoon, when the sun was less intense and people had finished their daily work.</t>
  </si>
  <si>
    <t>What historical factor led to Golla Chut being seen as a symbol of rural life?</t>
  </si>
  <si>
    <t>A) Its popularity in cities, B) Its professional leagues, C) Its deep roots in village culture and traditions, D) Its media coverage</t>
  </si>
  <si>
    <t>C) Its deep roots in village culture and traditions</t>
  </si>
  <si>
    <t>Its long history and deep integration into the rhythm of village life made it a powerful symbol of rural culture.</t>
  </si>
  <si>
    <t>What was the role of women in the historical playing of Golla Chut?</t>
  </si>
  <si>
    <t>A) They played separately, B) They played with men, C) They were spectators, D) They did not participate</t>
  </si>
  <si>
    <t>C) They were spectators</t>
  </si>
  <si>
    <t>Historically, women were primarily spectators, though in some regions, separate versions of the game were played by girls.</t>
  </si>
  <si>
    <t>The 'Golla' target in ancient times was often made of what?</t>
  </si>
  <si>
    <t>A) A sacred tree branch, B) A clay figure, C) A bamboo stick, D) A stone</t>
  </si>
  <si>
    <t>C) A bamboo stick</t>
  </si>
  <si>
    <t>A simple bamboo stick was a common and readily available material for the 'Golla' target in many rural settings.</t>
  </si>
  <si>
    <t>What historical aspect of Golla Chut contributed to its endurance over time?</t>
  </si>
  <si>
    <t>A) Its strict rules, B) Its adaptability and informal nature, C) Its official recognition, D) Its professional players</t>
  </si>
  <si>
    <t>B) Its adaptability and informal nature</t>
  </si>
  <si>
    <t>The game's flexible rules and informal nature allowed it to be played anywhere, by anyone, which ensured its survival.</t>
  </si>
  <si>
    <t>What type of conflict resolution was Golla Chut historically used for?</t>
  </si>
  <si>
    <t>A) Resolving land disputes, B) Settling personal feuds, C) Building camaraderie between villages, D) Declaring war</t>
  </si>
  <si>
    <t>C) Building camaraderie between villages</t>
  </si>
  <si>
    <t>Tournaments between different villages often served as a way to build community ties and friendly relations.</t>
  </si>
  <si>
    <t>What historical feature of Golla Chut distinguishes it from modern sports?</t>
  </si>
  <si>
    <t>A) Its use of a ball, B) The emphasis on physical strength, C) Its lack of a commercial element, D) Its gender inclusivity</t>
  </si>
  <si>
    <t>C) Its lack of a commercial element</t>
  </si>
  <si>
    <t>Historically, Golla Chut was played purely for recreation and community bonding, without any commercial aspect.</t>
  </si>
  <si>
    <t>The 'chut' or 'run' in the game's name signifies a historical emphasis on what physical attribute?</t>
  </si>
  <si>
    <t>A) Agility, B) Strength, C) Endurance, D) Flexibility</t>
  </si>
  <si>
    <t>A) Agility</t>
  </si>
  <si>
    <t>The running and dodging required in the game highlights agility as a key historical skill.</t>
  </si>
  <si>
    <t>What was a common prize for winning a Golla Chut tournament in the past?</t>
  </si>
  <si>
    <t>A) Money, B) Livestock, C) A community feast, D) A trophy</t>
  </si>
  <si>
    <t>C) A community feast</t>
  </si>
  <si>
    <t>A community feast or a similar non-monetary reward was a common prize, reinforcing the communal spirit of the game.</t>
  </si>
  <si>
    <t>What historical role did Golla Chut play in the social life of rural youth?</t>
  </si>
  <si>
    <t>A) It was a ritual for marriage, B) It was a rite of passage, C) It was a form of dating, D) It was a way to make friends and socialize</t>
  </si>
  <si>
    <t>D) It was a way to make friends and socialize</t>
  </si>
  <si>
    <t>The game provided a vital platform for young people to interact, build friendships, and develop social skills.</t>
  </si>
  <si>
    <t>What was the traditional attire for Golla Chut players?</t>
  </si>
  <si>
    <t>A) Specific jerseys, B) Modern sportswear, C) Loose-fitting clothing, D) Bare-chested</t>
  </si>
  <si>
    <t>C) Loose-fitting clothing</t>
  </si>
  <si>
    <t>Players traditionally wore simple, loose-fitting clothing that allowed for freedom of movement.</t>
  </si>
  <si>
    <t>In the historical context, what did a player's skill in Golla Chut symbolize?</t>
  </si>
  <si>
    <t>A) His social status, B) His wealth, C) His physical fitness and courage, D) His intelligence</t>
  </si>
  <si>
    <t>C) His physical fitness and courage</t>
  </si>
  <si>
    <t>A skillful player was respected for their physical fitness, speed, and courage in the face of the opposing team.</t>
  </si>
  <si>
    <t>What historical change led to the formalization of rules in Golla Chut?</t>
  </si>
  <si>
    <t>A) Media coverage, B) Government interest, C) The establishment of sports federations, D) Urban migration</t>
  </si>
  <si>
    <t>C) The establishment of sports federations</t>
  </si>
  <si>
    <t>The establishment of sports federations in Bangladesh prompted the need for standardized rules to organize tournaments.</t>
  </si>
  <si>
    <t>What did the circle drawn on the ground in Golla Chut historically represent?</t>
  </si>
  <si>
    <t>A) The boundaries, B) The target area, C) The "home" or safe zone, D) The center of the village</t>
  </si>
  <si>
    <t>C) The "home" or safe zone</t>
  </si>
  <si>
    <t>The circle served as a safe zone for the players of the defending team, from which they could not be tagged.</t>
  </si>
  <si>
    <t>The historical emphasis of Golla Chut was on what aspect of competition?</t>
  </si>
  <si>
    <t>A) Winning at all costs, B) Fair play and honor, C) Individual glory, D) Financial gain</t>
  </si>
  <si>
    <t>B) Fair play and honor</t>
  </si>
  <si>
    <t>The game was historically played with a strong emphasis on fair play, sportsmanship, and personal honor.</t>
  </si>
  <si>
    <t>What was the historical significance of the 'Golla' (target) being a wooden pole?</t>
  </si>
  <si>
    <t>A) It was easily replaceable, B) It was a religious symbol, C) It was a symbol of the community's strength, D) It represented a tree</t>
  </si>
  <si>
    <t>A) It was easily replaceable</t>
  </si>
  <si>
    <t>The use of a simple wooden pole made the game practical and sustainable for rural communities.</t>
  </si>
  <si>
    <t>What was the key historical difference between Golla Chut and modern contact sports?</t>
  </si>
  <si>
    <t>A) Its lack of physical contact, B) Its complex rules, C) Its use of a ball, D) Its larger teams</t>
  </si>
  <si>
    <t>A) Its lack of physical contact</t>
  </si>
  <si>
    <t>Golla Chut, while physical, is not a contact sport, and its rules historically emphasized avoiding direct physical contact.</t>
  </si>
  <si>
    <t>What historical role did Golla Chut play in celebrating the end of a hard work cycle?</t>
  </si>
  <si>
    <t>A) It was a form of payment, B) It was a reward for laborers, C) It was a social activity for relaxation, D) It was a religious ritual</t>
  </si>
  <si>
    <t>C) It was a social activity for relaxation</t>
  </si>
  <si>
    <t>The game served as a form of relaxation and social activity after a period of intense agricultural labor.</t>
  </si>
  <si>
    <t>What was the historical impact of the partition of Bengal on Golla Chut?</t>
  </si>
  <si>
    <t>A) It led to its decline, B) It created different versions of the game, C) It spread the game to new regions, D) It had no impact</t>
  </si>
  <si>
    <t>B) It created different versions of the game</t>
  </si>
  <si>
    <t>The partition led to regional variations and different names for the game in both East and West Bengal.</t>
  </si>
  <si>
    <t>What historical aspect of Golla Chut made it a perfect fit for rural areas?</t>
  </si>
  <si>
    <t>A) It required a large, flat field, B) It could be played in any weather, C) It was easily adaptable to different terrains, D) It required professional equipment</t>
  </si>
  <si>
    <t>A) It required a large, flat field</t>
  </si>
  <si>
    <t>The availability of large, open fields in rural areas made it an ideal location for playing the game.</t>
  </si>
  <si>
    <t>In the historical context, what was a 'champion' of Golla Chut known for?</t>
  </si>
  <si>
    <t>A) His wealth, B) His speed and cunning, C) His leadership skills, D) His education</t>
  </si>
  <si>
    <t>B) His speed and cunning</t>
  </si>
  <si>
    <t>A champion was someone who could outsmart and outrun their opponents, showcasing cunning and speed.</t>
  </si>
  <si>
    <t>How did Golla Chut historically contribute to physical fitness?</t>
  </si>
  <si>
    <t>A) It was a rigorous workout, B) It helped in military training, C) It developed agility and stamina, D) It was a form of weight training</t>
  </si>
  <si>
    <t>C) It developed agility and stamina</t>
  </si>
  <si>
    <t>The constant running, chasing, and dodging helped players develop high levels of agility and stamina.</t>
  </si>
  <si>
    <t>What was the traditional way of resolving disputes during a game of Golla Chut?</t>
  </si>
  <si>
    <t>A) By fighting, B) By calling a formal judge, C) By a discussion among players and elders, D) By a coin toss</t>
  </si>
  <si>
    <t>C) By a discussion among players and elders</t>
  </si>
  <si>
    <t>Disputes were typically settled through a collective discussion, emphasizing community-based conflict resolution.</t>
  </si>
  <si>
    <t>Historically, what did Golla Chut symbolize for the youth of rural Bangladesh?</t>
  </si>
  <si>
    <t>A) A path to wealth, B) A display of strength, C) A rite of passage into adulthood, D) A form of entertainment</t>
  </si>
  <si>
    <t>D) A form of entertainment</t>
  </si>
  <si>
    <t>For young people, the game was a primary source of entertainment and a way to pass time.</t>
  </si>
  <si>
    <t>The name 'Golla Chut' reflects a historical emphasis on what aspect of the game's action?</t>
  </si>
  <si>
    <t>A) The goal, B) The movement, C) The players, D) The field</t>
  </si>
  <si>
    <t>B) The movement</t>
  </si>
  <si>
    <t>The name directly translates to "circle run," emphasizing the central movements of circling and running.</t>
  </si>
  <si>
    <t>What historical function did Golla Chut tournaments serve in pre-modern times?</t>
  </si>
  <si>
    <t>A) Professional sports events, B) Social gatherings and festivals, C) Political rallies, D) Religious ceremonies</t>
  </si>
  <si>
    <t>B) Social gatherings and festivals</t>
  </si>
  <si>
    <t>Tournaments were major social events, drawing crowds from neighboring villages and serving as a focal point for community festivals.</t>
  </si>
  <si>
    <t>What was the historical significance of playing Golla Chut in open spaces?</t>
  </si>
  <si>
    <t>A) It was a sign of wealth, B) It allowed for more spectators, C) It signified freedom and leisure, D) It was for safety reasons</t>
  </si>
  <si>
    <t>C) It signified freedom and leisure</t>
  </si>
  <si>
    <t>Playing in open spaces, post-harvest, historically symbolized a period of freedom from labor and time for leisure.</t>
  </si>
  <si>
    <t>What was the historical reward for a village that produced a champion Golla Chut team?</t>
  </si>
  <si>
    <t>A) A trophy, B) Respect and prestige, C) Financial grants, D) A new village monument</t>
  </si>
  <si>
    <t>B) Respect and prestige</t>
  </si>
  <si>
    <t>The village would earn immense respect and prestige in the region, and its players would be celebrated.</t>
  </si>
  <si>
    <t>The informal nature of historical Golla Chut rules means what?</t>
  </si>
  <si>
    <t>A) They were not serious, B) They were flexible and varied by region, C) They were too complex, D) There were no rules</t>
  </si>
  <si>
    <t>B) They were flexible and varied by region</t>
  </si>
  <si>
    <t>The rules were not written down and were passed verbally, leading to variations in how the game was played across different regions.</t>
  </si>
  <si>
    <t>What historical change influenced the way Golla Chut was played?</t>
  </si>
  <si>
    <t>A) The invention of new equipment, B) The shift from mud to grass fields, C) The introduction of modern scoring, D) The rise of sports clubs</t>
  </si>
  <si>
    <t>D) The rise of sports clubs</t>
  </si>
  <si>
    <t>The formation of sports clubs led to more structured and formalized versions of the game.</t>
  </si>
  <si>
    <t>What was the historical role of storytelling in relation to Golla Chut?</t>
  </si>
  <si>
    <t>A) There were no stories, B) Stories were told about great players and matches, C) Stories were used to teach rules, D) Stories were told about the origins of the game</t>
  </si>
  <si>
    <t>B) Stories were told about great players and matches</t>
  </si>
  <si>
    <t>Tales of legendary players and epic matches were passed down, becoming a part of the game's folklore.</t>
  </si>
  <si>
    <t>The historical version of Golla Chut was often played as a form of what?</t>
  </si>
  <si>
    <t>A) A professional sport, B) A ceremonial ritual, C) A leisure activity, D) A religious practice</t>
  </si>
  <si>
    <t>C) A leisure activity</t>
  </si>
  <si>
    <t>The game was primarily a form of leisure and recreation for people after their daily work was done.</t>
  </si>
  <si>
    <t>What historical aspect of Golla Chut made it a bonding experience for communities?</t>
  </si>
  <si>
    <t>A) The competitive nature, B) The reliance on teamwork and trust, C) The individual performance, D) The strict rules</t>
  </si>
  <si>
    <t>B) The reliance on teamwork and trust</t>
  </si>
  <si>
    <t>The game requires players to trust and work together, which strengthens community bonds.</t>
  </si>
  <si>
    <t>How did historical Golla Chut tournaments contribute to the local economy?</t>
  </si>
  <si>
    <t>A) They generated ticket sales, B) They led to the sale of food and goods at the venue, C) They had no economic impact, D) They provided jobs</t>
  </si>
  <si>
    <t>B) They led to the sale of food and goods at the venue</t>
  </si>
  <si>
    <t>The tournaments drew large crowds, leading to a temporary boost in the local economy through the sale of refreshments and other goods.</t>
  </si>
  <si>
    <t>The historical form of Golla Chut was an example of what kind of physical activity?</t>
  </si>
  <si>
    <t>A) High-impact, B) Low-impact, C) Non-aerobic, D) Aerobic</t>
  </si>
  <si>
    <t>D) Aerobic</t>
  </si>
  <si>
    <t>The continuous running and chasing makes Golla Chut a high-intensity aerobic exercise.</t>
  </si>
  <si>
    <t>What was the historical significance of the captain's role in Golla Chut?</t>
  </si>
  <si>
    <t>A) He was the fastest player, B) He was the referee, C) He was the strategist and leader, D) He was the strongest player</t>
  </si>
  <si>
    <t>C) He was the strategist and leader</t>
  </si>
  <si>
    <t>The captain was historically responsible for devising the team's strategy and leading them to victory.</t>
  </si>
  <si>
    <t>What was the historical impact of Golla Chut on rural social hierarchies?</t>
  </si>
  <si>
    <t>A) It reinforced social status, B) It transcended social status, C) It created a new social class, D) It had no impact</t>
  </si>
  <si>
    <t>B) It transcended social status</t>
  </si>
  <si>
    <t>The game allowed players to gain respect and recognition based on their skill and effort, regardless of their social standing.</t>
  </si>
  <si>
    <t>In the historical context, what did a 'successful' match of Golla Chut look like?</t>
  </si>
  <si>
    <t>A) The winning team had the most points, B) The match ended with no injuries, C) It ended in a large community celebration, D) The match was very long</t>
  </si>
  <si>
    <t>C) It ended in a large community celebration</t>
  </si>
  <si>
    <t>A successful match was one that concluded with a festive atmosphere, celebrating community and sport.</t>
  </si>
  <si>
    <t>What historical development led to the decline of traditional Golla Chut and the rise of a modernized version?</t>
  </si>
  <si>
    <t>A) The popularization of television, B) The establishment of formal sports leagues, C) The decline of rural populations, D) The rise of professional athletes</t>
  </si>
  <si>
    <t>B) The establishment of formal sports leagues</t>
  </si>
  <si>
    <t>Formal sports leagues created a need for standardized rules and professional play, leading to a modernized version of the game.</t>
  </si>
  <si>
    <t>How was the playing of Golla Chut historically passed down from one generation to the next?</t>
  </si>
  <si>
    <t>A) Through written manuals, B) Through formal coaching, C) Through observation and practice, D) Through government-run programs</t>
  </si>
  <si>
    <t>C) Through observation and practice</t>
  </si>
  <si>
    <t>The game was learned informally by watching and playing with older children and adults.</t>
  </si>
  <si>
    <t>What was the historical role of Golla Chut in celebrating local heroes?</t>
  </si>
  <si>
    <t>A) It was a game for heroes only, B) It was used to identify local heroes, C) It was a platform for heroes to be honored, D) It had no role</t>
  </si>
  <si>
    <t>B) It was used to identify local heroes</t>
  </si>
  <si>
    <t>The game served as a platform for players with exceptional skill to emerge as local heroes and be celebrated by their communities.</t>
  </si>
  <si>
    <t>What historical challenge did Golla Chut face with the advent of urbanization?</t>
  </si>
  <si>
    <t>A) Lack of playing fields, B) Lack of players, C) Lack of interest, D) Lack of equipment</t>
  </si>
  <si>
    <t>A) Lack of playing fields</t>
  </si>
  <si>
    <t>The urban environment's lack of large, open spaces made it difficult to play the traditional game, leading to its decline in cities.</t>
  </si>
  <si>
    <t>What is Ha-du-du commonly referred to as in Bangladesh?</t>
  </si>
  <si>
    <t>A) Kabaddi, B) The Bengal Rugby, C) The Bengal Football, D) The Bangladeshi Wrestling</t>
  </si>
  <si>
    <t>B) The Bengal Rugby</t>
  </si>
  <si>
    <t>Ha-du-du is often referred to as 'The Bengal Rugby' because of its physical nature and historical roots.</t>
  </si>
  <si>
    <t>Which region of Bangladesh is Ha-du-du most popularly played?</t>
  </si>
  <si>
    <t>A) Sylhet, B) Chittagong, C) Khulna, D) Rajshahi</t>
  </si>
  <si>
    <t>Ha-du-du is primarily played in the Chittagong region of Bangladesh, where it has deep cultural roots.</t>
  </si>
  <si>
    <t>In which century is Ha-du-du believed to have originated?</t>
  </si>
  <si>
    <t>A) 15th century, B) 16th century, C) 17th century, D) 18th century</t>
  </si>
  <si>
    <t>B) 16th century</t>
  </si>
  <si>
    <t>Ha-du-du is believed to have originated in the 16th century as a traditional rural sport in Bengal.</t>
  </si>
  <si>
    <t>Ha-du-du is similar to which other well-known sport?</t>
  </si>
  <si>
    <t>A) Kabaddi, B) Cricket, C) Football, D) Volleyball</t>
  </si>
  <si>
    <t>A) Kabaddi</t>
  </si>
  <si>
    <t>Ha-du-du shares similarities with Kabaddi, especially in terms of team-based physical gameplay.</t>
  </si>
  <si>
    <t>Which ancient civilization is credited with the early forms of Ha-du-du?</t>
  </si>
  <si>
    <t>A) Maurya Empire, B) Gupta Empire, C) Bengal Kingdom, D) Mughal Empire</t>
  </si>
  <si>
    <t>C) Bengal Kingdom</t>
  </si>
  <si>
    <t>The Bengal Kingdom is credited with early forms of Ha-du-du, which evolved into the modern sport.</t>
  </si>
  <si>
    <t>Ha-du-du was historically played during which significant event?</t>
  </si>
  <si>
    <t>A) Royal festivals, B) Harvest festivals, C) Marriages, D) Political meetings</t>
  </si>
  <si>
    <t>Ha-du-du was often played during harvest festivals as a means of community celebration and physical fitness.</t>
  </si>
  <si>
    <t>In Ha-du-du, how many players are on each team?</t>
  </si>
  <si>
    <t>A) 5, B) 6, C) 7, D) 8</t>
  </si>
  <si>
    <t>C) 7</t>
  </si>
  <si>
    <t>Each team in Ha-du-du consists of 7 players, with one attacking and one defending team.</t>
  </si>
  <si>
    <t>Which historical figure is believed to have played Ha-du-du?</t>
  </si>
  <si>
    <t>A) King Shashanka, B) Raja Krishnachandra, C) Sher Shah Suri, D) Sultan Ghiyasuddin</t>
  </si>
  <si>
    <t>A) King Shashanka</t>
  </si>
  <si>
    <t>King Shashanka is often associated with promoting Ha-du-du during his reign in Bengal.</t>
  </si>
  <si>
    <t>What is the primary objective in a game of Ha-du-du?</t>
  </si>
  <si>
    <t>A) To score goals, B) To tag opponents, C) To chase the ball, D) To defeat the opposing team in a physical contest</t>
  </si>
  <si>
    <t>D) To defeat the opposing team in a physical contest</t>
  </si>
  <si>
    <t>The main objective in Ha-du-du is for players to tag or tackle opponents while avoiding being tagged.</t>
  </si>
  <si>
    <t>Which traditional sport is Ha-du-du often compared to in terms of strategy?</t>
  </si>
  <si>
    <t>A) Chess, B) Kabaddi, C) Rugby, D) Basketball</t>
  </si>
  <si>
    <t>B) Kabaddi</t>
  </si>
  <si>
    <t>Much like Kabaddi, Ha-du-du involves strategy, teamwork, and physical endurance.</t>
  </si>
  <si>
    <t>What is the name of the game when a Ha-du-du player tags an opponent?</t>
  </si>
  <si>
    <t>A) Ha-du, B) Dudu, C) Hudu, D) Du-du</t>
  </si>
  <si>
    <t>A) Ha-du</t>
  </si>
  <si>
    <t>When a player tags an opponent in Ha-du-du, it is known as a 'Ha-du'.</t>
  </si>
  <si>
    <t>Which century saw the first written mention of Ha-du-du?</t>
  </si>
  <si>
    <t>B) 19th century</t>
  </si>
  <si>
    <t>Ha-du-du was first formally mentioned in historical texts in the 19th century in Bengal.</t>
  </si>
  <si>
    <t>Which game element in Ha-du-du requires players to hold their breath?</t>
  </si>
  <si>
    <t>A) The attack phase, B) The defense phase, C) The tackle phase, D) The sprint phase</t>
  </si>
  <si>
    <t>A) The attack phase</t>
  </si>
  <si>
    <t>In Ha-du-du, the attacking player must hold their breath while crossing into the opposing team's area.</t>
  </si>
  <si>
    <t>Ha-du-du was banned by which ruling authority during colonial rule in India?</t>
  </si>
  <si>
    <t>A) The British Government, B) The Mughal Empire, C) The Indian National Congress, D) The Maratha Confederacy</t>
  </si>
  <si>
    <t>A) The British Government</t>
  </si>
  <si>
    <t>The British colonial government banned Ha-du-du for a time, as it was seen as too physical and disruptive.</t>
  </si>
  <si>
    <t>Which international sporting event saw Ha-du-du being played in the 20th century?</t>
  </si>
  <si>
    <t>A) The Commonwealth Games, B) The South Asian Games, C) The Asian Games, D) The Olympics</t>
  </si>
  <si>
    <t>B) The South Asian Games</t>
  </si>
  <si>
    <t>Ha-du-du was featured in the South Asian Games, helping to promote traditional Bangladeshi sports.</t>
  </si>
  <si>
    <t>What kind of field is Ha-du-du typically played on?</t>
  </si>
  <si>
    <t>A) Grass field, B) Concrete court, C) Sand court, D) Muddy ground</t>
  </si>
  <si>
    <t>D) Muddy ground</t>
  </si>
  <si>
    <t>Ha-du-du is traditionally played on a muddy ground, adding to the physical challenge of the sport.</t>
  </si>
  <si>
    <t>Which Bangladeshi sports event holds annual Ha-du-du tournaments?</t>
  </si>
  <si>
    <t>A) Dhaka Open, B) Bangladesh National Games, C) Chittagong Sports Meet, D) Sylhet Cup</t>
  </si>
  <si>
    <t>B) Bangladesh National Games</t>
  </si>
  <si>
    <t>Ha-du-du is regularly played during the Bangladesh National Games, celebrating the country's traditional sports.</t>
  </si>
  <si>
    <t>Which type of clothing is commonly worn by Ha-du-du players?</t>
  </si>
  <si>
    <t>A) Traditional saree, B) Tight-fitting shorts, C) Loose cotton clothes, D) Wrestling attire</t>
  </si>
  <si>
    <t>C) Loose cotton clothes</t>
  </si>
  <si>
    <t>Players typically wear loose cotton clothes that allow for free movement during the physical game.</t>
  </si>
  <si>
    <t>Ha-du-du became officially recognized as a sport in Bangladesh in which year?</t>
  </si>
  <si>
    <t>A) 1955, B) 1971, C) 1985, D) 1990</t>
  </si>
  <si>
    <t>C) 1985</t>
  </si>
  <si>
    <t>Ha-du-du was officially recognized as a sport in Bangladesh in 1985, marking its growth in popularity.</t>
  </si>
  <si>
    <t>Ha-du-du is a part of the cultural heritage of which region of South Asia?</t>
  </si>
  <si>
    <t>A) Punjab, B) Bengal, C) Kerala, D) Gujarat</t>
  </si>
  <si>
    <t>B) Bengal</t>
  </si>
  <si>
    <t>Ha-du-du is an integral part of the cultural heritage of the Bengal region, particularly in Bangladesh.</t>
  </si>
  <si>
    <t>Which animal is sometimes used as a symbol in Ha-du-du tournaments?</t>
  </si>
  <si>
    <t>A) Elephant, B) Lion, C) Tiger, D) Horse</t>
  </si>
  <si>
    <t>C) Tiger</t>
  </si>
  <si>
    <t>The tiger is a symbol of strength and courage, often used in Ha-du-du tournaments to represent the spirit of the game.</t>
  </si>
  <si>
    <t>What role do spectators play in a Ha-du-du game?</t>
  </si>
  <si>
    <t>A) They serve as judges, B) They cheer and motivate teams, C) They act as players' substitutes, D) They provide tactical advice</t>
  </si>
  <si>
    <t>B) They cheer and motivate teams</t>
  </si>
  <si>
    <t>Spectators play a significant role by cheering on players and providing morale-boosting support during the intense matches.</t>
  </si>
  <si>
    <t>In Ha-du-du, what is the term used for the player who attacks the opponent's team?</t>
  </si>
  <si>
    <t>A) The Raider, B) The Runner, C) The Tagger, D) The Chaser</t>
  </si>
  <si>
    <t>A) The Raider</t>
  </si>
  <si>
    <t>The attacking player in Ha-du-du is referred to as the Raider, similar to the term used in Kabaddi.</t>
  </si>
  <si>
    <t>What event led to the popularization of Ha-du-du outside Bangladesh?</t>
  </si>
  <si>
    <t>A) The 1990s World Cup, B) The 2000 Asian Championships, C) The International Ha-du-du Championship, D) The 2014 South Asian Games</t>
  </si>
  <si>
    <t>C) The International Ha-du-du Championship</t>
  </si>
  <si>
    <t>The International Ha-du-du Championship helped popularize the sport beyond Bangladesh, encouraging regional participation.</t>
  </si>
  <si>
    <t>Which governing body oversees the official rules and regulations of Ha-du-du?</t>
  </si>
  <si>
    <t>A) Bangladesh Ha-du-du Association, B) Bangladesh Sports Federation, C) Bangladesh Kabaddi Federation, D) International Ha-du-du Federation</t>
  </si>
  <si>
    <t>A) Bangladesh Ha-du-du Association</t>
  </si>
  <si>
    <t>The Bangladesh Ha-du-du Association is responsible for maintaining the rules and organizing official tournaments.</t>
  </si>
  <si>
    <t>Who is credited with spreading Ha-du-du across Bengal during the British colonial period?</t>
  </si>
  <si>
    <t>A) Swami Vivekananda, B) Rabindranath Tagore, C) Subhas Chandra Bose, D) Siraj-ud-Daula</t>
  </si>
  <si>
    <t>D) Siraj-ud-Daula</t>
  </si>
  <si>
    <t>Siraj-ud-Daula, the last Nawab of Bengal, is credited with promoting Ha-du-du during his reign.</t>
  </si>
  <si>
    <t>Ha-du-du was originally played in which type of social setting?</t>
  </si>
  <si>
    <t>A) Royal courts, B) Rural villages, C) Urban cities, D) Religious temples</t>
  </si>
  <si>
    <t>B) Rural villages</t>
  </si>
  <si>
    <t>Ha-du-du originated in rural villages of Bengal as a folk sport played during local festivities.</t>
  </si>
  <si>
    <t>What is the traditional Bengali term for a player who successfully tags an opponent in Ha-du-du?</t>
  </si>
  <si>
    <t>A) Chha, B) Duda, C) Ha-du, D) Gada</t>
  </si>
  <si>
    <t>C) Ha-du</t>
  </si>
  <si>
    <t>The term 'Ha-du' refers to a successful tag or action in the game, symbolizing victory over the opponent.</t>
  </si>
  <si>
    <t>Which famous Bengali poet wrote about Ha-du-du in one of his poems?</t>
  </si>
  <si>
    <t>A) Kazi Nazrul Islam, B) Rabindranath Tagore, C) Jibanananda Das, D) Michael Madhusudan Dutt</t>
  </si>
  <si>
    <t>B) Rabindranath Tagore</t>
  </si>
  <si>
    <t>Rabindranath Tagore referenced Ha-du-du in his writings, celebrating its cultural significance.</t>
  </si>
  <si>
    <t>Which dynasty is believed to have enjoyed Ha-du-du as part of their royal pastimes?</t>
  </si>
  <si>
    <t>A) Gupta Dynasty, B) Maurya Dynasty, C) Bengal Sultanate, D) Mughals</t>
  </si>
  <si>
    <t>C) Bengal Sultanate</t>
  </si>
  <si>
    <t>The Bengal Sultanate is believed to have introduced Ha-du-du as a recreational activity for its nobility.</t>
  </si>
  <si>
    <t>Ha-du-du's popularity surged in the 1960s due to the rise of which form of media?</t>
  </si>
  <si>
    <t>A) Radio broadcasts, B) Television broadcasts, C) Print media, D) Internet</t>
  </si>
  <si>
    <t>B) Television broadcasts</t>
  </si>
  <si>
    <t>Television broadcasts in the 1960s helped popularize Ha-du-du across the nation, making it a household sport.</t>
  </si>
  <si>
    <t>What unique rule of Ha-du-du distinguishes it from similar sports like Kabaddi?</t>
  </si>
  <si>
    <t>A) Players cannot run, B) The raider holds their breath, C) Players use weapons, D) The field is divided by water</t>
  </si>
  <si>
    <t>B) The raider holds their breath</t>
  </si>
  <si>
    <t>In Ha-du-du, the raider must hold their breath while crossing into the opponent's territory, which is a unique feature.</t>
  </si>
  <si>
    <t>In Ha-du-du, how is the team that scores points typically determined?</t>
  </si>
  <si>
    <t>A) By goals, B) By tagging opponents, C) By possession of the ball, D) By the time taken</t>
  </si>
  <si>
    <t>B) By tagging opponents</t>
  </si>
  <si>
    <t>Points are scored when a player successfully tags an opponent, emphasizing skill and timing.</t>
  </si>
  <si>
    <t>Ha-du-du is believed to have evolved from which ancient form of combat sport?</t>
  </si>
  <si>
    <t>A) Wrestling, B) Archery, C) Jujutsu, D) Kabaddi</t>
  </si>
  <si>
    <t>A) Wrestling</t>
  </si>
  <si>
    <t>Ha-du-du is believed to have evolved from traditional wrestling, with elements of grappling and strategy.</t>
  </si>
  <si>
    <t>Which annual event in Bangladesh features Ha-du-du as a central sport?</t>
  </si>
  <si>
    <t>A) Pohela Boishakh, B) The National Sports Day, C) Durga Puja, D) Eid ul-Fitr</t>
  </si>
  <si>
    <t>B) The National Sports Day</t>
  </si>
  <si>
    <t>Ha-du-du is a key part of the National Sports Day in Bangladesh, celebrated with local tournaments.</t>
  </si>
  <si>
    <t>What is the significance of Ha-du-du in Bangladesh's cultural identity?</t>
  </si>
  <si>
    <t>A) It's a symbol of unity, B) It's a form of meditation, C) It's a sport of kings, D) It's a historical re-enactment</t>
  </si>
  <si>
    <t>A) It's a symbol of unity</t>
  </si>
  <si>
    <t>Ha-du-du serves as a symbol of unity and community in Bangladesh, bringing people together during festivals.</t>
  </si>
  <si>
    <t>What is the main physical skill emphasized in Ha-du-du?</t>
  </si>
  <si>
    <t>A) Endurance, B) Flexibility, C) Strength, D) Agility</t>
  </si>
  <si>
    <t>D) Agility</t>
  </si>
  <si>
    <t>Ha-du-du emphasizes agility, requiring players to quickly move and avoid being tagged while attacking.</t>
  </si>
  <si>
    <t>Which historical event led to a revival of Ha-du-du after its decline during colonial rule?</t>
  </si>
  <si>
    <t>A) The Bengal Renaissance, B) Bangladesh Liberation War, C) The rise of independence, D) The cultural movement of the 1970s</t>
  </si>
  <si>
    <t>B) Bangladesh Liberation War</t>
  </si>
  <si>
    <t>The Bangladesh Liberation War helped revive traditional sports like Ha-du-du, as part of the cultural resurgence post-independence.</t>
  </si>
  <si>
    <t>Ha-du-du is often played on what kind of surface during major tournaments?</t>
  </si>
  <si>
    <t>A) Wooden floor, B) Concrete pavement, C) Muddy or grassy ground, D) Artificial turf</t>
  </si>
  <si>
    <t>C) Muddy or grassy ground</t>
  </si>
  <si>
    <t>Major tournaments of Ha-du-du are traditionally played on muddy or grassy ground, reflecting its rural origins.</t>
  </si>
  <si>
    <t>Ha-du-du's early form can be traced back to which region in ancient Bengal?</t>
  </si>
  <si>
    <t>A) North Bengal, B) South Bengal, C) East Bengal, D) West Bengal</t>
  </si>
  <si>
    <t>B) South Bengal</t>
  </si>
  <si>
    <t>The early form of Ha-du-du originated in the southern parts of Bengal, where it was played in rural communities.</t>
  </si>
  <si>
    <t>Ha-du-du tournaments are typically organized in which season of the year?</t>
  </si>
  <si>
    <t>A) Summer, B) Winter, C) Rainy season, D) Spring</t>
  </si>
  <si>
    <t>C) Rainy season</t>
  </si>
  <si>
    <t>Tournaments are often held during the rainy season when muddy grounds provide an ideal playing surface.</t>
  </si>
  <si>
    <t>Which community is primarily known for playing Ha-du-du in rural Bengal?</t>
  </si>
  <si>
    <t>A) Rajbanshi, B) Bengali Muslims, C) Bengali Hindus, D) The Santals</t>
  </si>
  <si>
    <t>B) Bengali Muslims</t>
  </si>
  <si>
    <t>Bengali Muslims are primarily known for playing Ha-du-du, especially in rural areas of Bengal.</t>
  </si>
  <si>
    <t>Which of the following elements is crucial for the defense in Ha-du-du?</t>
  </si>
  <si>
    <t>A) Holding the breath, B) Protecting the goal, C) Tagging the raider, D) Physical strength</t>
  </si>
  <si>
    <t>C) Tagging the raider</t>
  </si>
  <si>
    <t>The defense's main task in Ha-du-du is to tag the raider before they tag an opponent.</t>
  </si>
  <si>
    <t>Ha-du-du is often referred to as a combination of which two types of sports?</t>
  </si>
  <si>
    <t>A) Wrestling and Football, B) Kabaddi and Rugby, C) Kabaddi and Cricket, D) Football and Basketball</t>
  </si>
  <si>
    <t>B) Kabaddi and Rugby</t>
  </si>
  <si>
    <t>Ha-du-du combines elements of Kabaddi and Rugby, with a focus on tagging and physical endurance.</t>
  </si>
  <si>
    <t>Which form of Ha-du-du is played during winter in Bangladesh?</t>
  </si>
  <si>
    <t>A) Indoor Ha-du-du, B) Snow Ha-du-du, C) Beach Ha-du-du, D) Traditional Ha-du-du</t>
  </si>
  <si>
    <t>A) Indoor Ha-du-du</t>
  </si>
  <si>
    <t>Indoor Ha-du-du is sometimes played during winter months, allowing for year-round participation.</t>
  </si>
  <si>
    <t>Ha-du-du is often used to develop which characteristic in young players?</t>
  </si>
  <si>
    <t>A) Speed, B) Mental toughness, C) Flexibility, D) Teamwork</t>
  </si>
  <si>
    <t>B) Mental toughness</t>
  </si>
  <si>
    <t>Ha-du-du is known for developing mental toughness in players due to its intense and strategic gameplay.</t>
  </si>
  <si>
    <t>Which sport inspired the rule of 'holding one's breath' in Ha-du-du?</t>
  </si>
  <si>
    <t>A) Kabaddi, B) Wrestling, C) Rugby, D) Archery</t>
  </si>
  <si>
    <t>The rule of holding one's breath in Ha-du-du was inspired by Kabaddi, where players must hold their breath during raids.</t>
  </si>
  <si>
    <t>The Ha-du-du Championship is most often held in which part of Bangladesh?</t>
  </si>
  <si>
    <t>A) Dhaka, B) Sylhet, C) Chittagong, D) Khulna</t>
  </si>
  <si>
    <t>A) Dhaka</t>
  </si>
  <si>
    <t>The Ha-du-du Championship is typically held in Dhaka, Bangladesh, as the central hub for the sport.</t>
  </si>
  <si>
    <t>What ancient Bengali text mentions a game resembling Ha-du-du?</t>
  </si>
  <si>
    <t>A) Kautilyaâ€™s Arthashastra, B) Chaitanya Charitamrita, C) Manasollasa, D) Mahabharata</t>
  </si>
  <si>
    <t>B) Chaitanya Charitamrita</t>
  </si>
  <si>
    <t>The Chaitanya Charitamrita mentions a game resembling Ha-du-du as part of Bengal's traditional games.</t>
  </si>
  <si>
    <t>In which region of Bangladesh did Ha-du-du first gain national recognition?</t>
  </si>
  <si>
    <t>D) Dhaka</t>
  </si>
  <si>
    <t>Ha-du-du first gained national recognition in Dhaka, where it became a widely celebrated sport.</t>
  </si>
  <si>
    <t>Which Bengali cultural event often features Ha-du-du as a highlight?</t>
  </si>
  <si>
    <t>A) Pohela Boishakh, B) Durga Puja, C) Eid-ul-Adha, D) Baishakhi Mela</t>
  </si>
  <si>
    <t>A) Pohela Boishakh</t>
  </si>
  <si>
    <t>Pohela Boishakh, the Bengali New Year, often features Ha-du-du as part of the traditional celebrations.</t>
  </si>
  <si>
    <t>What key feature of Ha-du-du distinguishes it from Kabaddi?</t>
  </si>
  <si>
    <t>A) The players do not touch each other, B) Players are allowed to carry weapons, C) Players hold their breath while tagging, D) There is no opposing team</t>
  </si>
  <si>
    <t>C) Players hold their breath while tagging</t>
  </si>
  <si>
    <t>Ha-du-du requires the raider to hold their breath while attempting to tag an opponent, distinguishing it from Kabaddi.</t>
  </si>
  <si>
    <t>Which form of Ha-du-du is most commonly played in rural Bangladesh?</t>
  </si>
  <si>
    <t>A) Beach Ha-du-du, B) Traditional Ha-du-du, C) Indoor Ha-du-du, D) Snow Ha-du-du</t>
  </si>
  <si>
    <t>B) Traditional Ha-du-du</t>
  </si>
  <si>
    <t>The traditional form of Ha-du-du is played in rural Bangladesh, primarily on mud or grassy fields.</t>
  </si>
  <si>
    <t>What type of surface is most commonly used for Ha-du-du tournaments?</t>
  </si>
  <si>
    <t>Ha-du-du tournaments are commonly held on muddy fields, which add a unique challenge to the game.</t>
  </si>
  <si>
    <t>Which historical figure is known for incorporating Ha-du-du into the educational curriculum during the colonial period?</t>
  </si>
  <si>
    <t>A) Raja Ram Mohan Roy, B) Sir Jagadish Chandra Bose, C) Rabindranath Tagore, D) Kazi Nazrul Islam</t>
  </si>
  <si>
    <t>A) Raja Ram Mohan Roy</t>
  </si>
  <si>
    <t>Raja Ram Mohan Roy is known for incorporating Ha-du-du and other traditional sports into the educational curriculum during colonial rule.</t>
  </si>
  <si>
    <t>Ha-du-du is often associated with which type of social function in Bangladesh?</t>
  </si>
  <si>
    <t>A) Religious ceremonies, B) Agricultural festivals, C) Weddings, D) Political rallies</t>
  </si>
  <si>
    <t>B) Agricultural festivals</t>
  </si>
  <si>
    <t>Ha-du-du is commonly played during agricultural festivals, symbolizing strength and unity in rural communities.</t>
  </si>
  <si>
    <t>During which century did Ha-du-du become widely recognized as a professional sport?</t>
  </si>
  <si>
    <t>A) 16th century, B) 18th century, C) 20th century, D) 21st century</t>
  </si>
  <si>
    <t>C) 20th century</t>
  </si>
  <si>
    <t>Ha-du-du gained recognition as a professional sport in the 20th century, thanks to media exposure and tournaments.</t>
  </si>
  <si>
    <t>Which game is considered a precursor to modern-day Ha-du-du?</t>
  </si>
  <si>
    <t>A) Kabaddi, B) Polo, C) Chess, D) Wrestling</t>
  </si>
  <si>
    <t>Ha-du-du evolved from the ancient game of Kabaddi, incorporating similar concepts of raiding and tagging.</t>
  </si>
  <si>
    <t>In what year was the first International Ha-du-du Championship held?</t>
  </si>
  <si>
    <t>A) 1980, B) 1991, C) 2000, D) 2010</t>
  </si>
  <si>
    <t>B) 1991</t>
  </si>
  <si>
    <t>The first International Ha-du-du Championship was held in 1991, marking the sportâ€™s entry into global competitions.</t>
  </si>
  <si>
    <t>Which region of Bangladesh is considered the birthplace of Ha-du-du?</t>
  </si>
  <si>
    <t>A) Dhaka, B) Rajshahi, C) Khulna, D) Barisal</t>
  </si>
  <si>
    <t>Rajshahi is considered the birthplace of Ha-du-du, where the sport originated in rural communities.</t>
  </si>
  <si>
    <t>What historical event in Bangladesh led to the formal recognition of Ha-du-du as the national sport?</t>
  </si>
  <si>
    <t>A) The Language Movement, B) The Liberation War of 1971, C) The Bengal Famine, D) The Partition of Bengal</t>
  </si>
  <si>
    <t>B) The Liberation War of 1971</t>
  </si>
  <si>
    <t>After achieving independence, Bangladesh sought to establish its unique cultural identity, and in 1972, Ha-du-du was declared the national sport to symbolize its heritage.</t>
  </si>
  <si>
    <t>The phrase "Ha-du-du" is an onomatopoeia for what action?</t>
  </si>
  <si>
    <t>A) The sound of a footstep, B) The sound of a tackle, C) The continuous chant of the raider, D) The cheer of the crowd</t>
  </si>
  <si>
    <t>C) The continuous chant of the raider</t>
  </si>
  <si>
    <t>The name "Ha-du-du" comes from the rhyming chant the raider must make on a single breath, which is the defining rule of the game.</t>
  </si>
  <si>
    <t>Before formal rules were established, how was the duration of a Ha-du-du raid often measured?</t>
  </si>
  <si>
    <t>A) By a stopwatch, B) By the number of tags, C) By the number of breaths taken, D) By the raider's ability to hold their breath</t>
  </si>
  <si>
    <t>D) By the raider's ability to hold their breath</t>
  </si>
  <si>
    <t>The core of the game historically revolved around the raider's ability to hold their breath, often with spectators counting or judging the duration.</t>
  </si>
  <si>
    <t>In the history of Ha-du-du, what was the primary purpose of playing the game in rural villages?</t>
  </si>
  <si>
    <t>A) As a competitive sport, B) For physical training for soldiers, C) As a community recreation and bonding activity, D) For gambling and betting</t>
  </si>
  <si>
    <t>C) As a community recreation and bonding activity</t>
  </si>
  <si>
    <t>Historically, Ha-du-du was a form of communal entertainment and a way for villagers to socialize and celebrate during festivals and special occasions.</t>
  </si>
  <si>
    <t>The traditional court for Ha-du-du was often marked by what simple material?</t>
  </si>
  <si>
    <t>A) Chalk, B) Bamboo sticks, C) Sand, D) Rice powder</t>
  </si>
  <si>
    <t>D) Rice powder</t>
  </si>
  <si>
    <t>In rural settings, the court was simply marked on the ground using rice powder or a similar local, readily available material.</t>
  </si>
  <si>
    <t>Which 19th-century social movement in Bengal contributed to the preservation and promotion of Ha-du-du?</t>
  </si>
  <si>
    <t>A) The Brahmo Samaj, B) The Young Bengal Movement, C) The Swadeshi Movement, D) The Bengal Renaissance</t>
  </si>
  <si>
    <t>D) The Bengal Renaissance</t>
  </si>
  <si>
    <t>The Bengal Renaissance was a period of cultural revival that saw renewed interest in traditional arts, literature, and sports like Ha-du-du, as a way to assert Bengali identity.</t>
  </si>
  <si>
    <t>What was the historical term for the defending team's area in a game of Ha-du-du?</t>
  </si>
  <si>
    <t>A) The 'home,' B) The 'den,' C) The 'fort,' D) The 'court'</t>
  </si>
  <si>
    <t>C) The 'fort'</t>
  </si>
  <si>
    <t>The defensive half of the court was historically referred to as the 'fort,' emphasizing the defenders' role in protecting their space from the attacking raider.</t>
  </si>
  <si>
    <t>Ha-du-du's popularity declined during which historical period?</t>
  </si>
  <si>
    <t>A) The Mughal era, B) The British colonial period, C) The late 20th century, D) The 18th century</t>
  </si>
  <si>
    <t>B) The British colonial period</t>
  </si>
  <si>
    <t>The British colonial administration promoted Western sports like cricket and football, leading to a decline in the popularity of many traditional Bengali games, including Ha-du-du.</t>
  </si>
  <si>
    <t>What was the common prize for winning a Ha-du-du tournament in historical rural contexts?</t>
  </si>
  <si>
    <t>A) Money, B) Livestock (e.g., a goat), C) A trophy, D) A title or honor</t>
  </si>
  <si>
    <t>B) Livestock (e.g., a goat)</t>
  </si>
  <si>
    <t>In many rural, agrarian communities, the winners of a Ha-du-du tournament were awarded a goat or other livestock, which was considered a valuable prize.</t>
  </si>
  <si>
    <t>What type of field was used for Ha-du-du during the Bengal Sultanate period?</t>
  </si>
  <si>
    <t>A) Paved courtyards, B) Royal lawns, C) Muddy grounds, D) Sandpits</t>
  </si>
  <si>
    <t>C) Muddy grounds</t>
  </si>
  <si>
    <t>The sport's origins are deeply tied to the rural landscape, and it was primarily played on muddy grounds, which provided a challenging yet safe surface for the physical contact.</t>
  </si>
  <si>
    <t>What was the historical role of village elders in a game of Ha-du-du?</t>
  </si>
  <si>
    <t>A) They acted as referees, B) They were the main players, C) They organized tournaments, D) They provided commentary</t>
  </si>
  <si>
    <t>A) They acted as referees</t>
  </si>
  <si>
    <t>Historically, village elders or respected community members often served as informal referees and judges to ensure fair play and settle disputes.</t>
  </si>
  <si>
    <t>In the 18th century, Ha-du-du was sometimes played as a form of non-violent resolution for which type of conflict?</t>
  </si>
  <si>
    <t>A) Family disputes, B) Land disputes, C) Political disagreements, D) Inter-village rivalry</t>
  </si>
  <si>
    <t>B) Land disputes</t>
  </si>
  <si>
    <t>In some instances, a game of Ha-du-du was used as a symbolic contest to settle land disputes between rival villages, with the winning village gaining the right to the land.</t>
  </si>
  <si>
    <t>Which Bengali folk art form sometimes depicts scenes of Ha-du-du being played?</t>
  </si>
  <si>
    <t>A) Nakshi Kantha, B) Shola art, C) Rickshaw painting, D) Alpona</t>
  </si>
  <si>
    <t>C) Rickshaw painting</t>
  </si>
  <si>
    <t>Rickshaw painting, a popular urban folk art form, often features lively and colorful depictions of traditional Bengali life, including scenes of people playing Ha-du-du.</t>
  </si>
  <si>
    <t>The continuous chanting of "Ha-du-du" by the raider is historically symbolic of what?</t>
  </si>
  <si>
    <t>A) A war cry, B) The life-giving force of a single breath, C) A prayer, D) A victory chant</t>
  </si>
  <si>
    <t>B) The life-giving force of a single breath</t>
  </si>
  <si>
    <t>The chant symbolizes the raider's life force and physical stamina, as the raid can only continue as long as they can hold their breath.</t>
  </si>
  <si>
    <t>Ha-du-du was often played during which natural phenomenon in Bengal?</t>
  </si>
  <si>
    <t>A) Floods, B) Monsoon season, C) Droughts, D) Solar eclipses</t>
  </si>
  <si>
    <t>B) Monsoon season</t>
  </si>
  <si>
    <t>The monsoon season was a traditional time for Ha-du-du, as the softened, muddy ground provided the ideal playing surface, making the game safer and more dynamic.</t>
  </si>
  <si>
    <t>Who was the first recorded Bangladeshi champion of Ha-du-du?</t>
  </si>
  <si>
    <t>A) Anisur Rahman, B) Abdul Jalil, C) Monirul Islam, D) Aminul Haque</t>
  </si>
  <si>
    <t>B) Abdul Jalil</t>
  </si>
  <si>
    <t>Abdul Jalil is a legendary figure in the sport's history, widely considered the first national champion and a key player in its modern professionalization.</t>
  </si>
  <si>
    <t>In ancient times, what was the term for a successful tackle of the raider in Ha-du-du?</t>
  </si>
  <si>
    <t>A) 'Jhatka,' B) 'Dhar,' C) 'Rokho,' D) 'Paka'</t>
  </si>
  <si>
    <t>B) 'Dhar'</t>
  </si>
  <si>
    <t>The word 'Dhar' (meaning 'to hold' or 'to catch') was the traditional term used for a successful tackle by the defenders.</t>
  </si>
  <si>
    <t>What type of literary work from the 19th century first detailed the rules and customs of Ha-du-du?</t>
  </si>
  <si>
    <t>A) A formal rulebook, B) A short story, C) A travelogue, D) An ethnographic study</t>
  </si>
  <si>
    <t>D) An ethnographic study</t>
  </si>
  <si>
    <t>Early historical accounts and detailed descriptions of Ha-du-du can be found in ethnographic and sociological studies of rural Bengal from the 19th century.</t>
  </si>
  <si>
    <t>The establishment of the Bangladesh Kabaddi Federation in 1972 was a key step in Ha-du-du's modern history. What was the federation's initial purpose?</t>
  </si>
  <si>
    <t>A) To promote Ha-du-du internationally, B) To formalize the rules and organize tournaments, C) To train professional players, D) To lobby for government funding</t>
  </si>
  <si>
    <t>B) To formalize the rules and organize tournaments</t>
  </si>
  <si>
    <t>The federation was created to standardize the rules of Ha-du-du and organize official, professional-level competitions across the country.</t>
  </si>
  <si>
    <t>Which traditional instrument was historically played during a Ha-du-du match to raise team spirits?</t>
  </si>
  <si>
    <t>A) The Dhol, B) The Tabla, C) The Sitar, D) The Flute</t>
  </si>
  <si>
    <t>A) The Dhol</t>
  </si>
  <si>
    <t>The Dhol (a double-headed drum) was a common instrument used to create a rhythmic beat and energize the players and spectators during a match.</t>
  </si>
  <si>
    <t>What was the historical significance of the "touch-out" rule in Ha-du-du?</t>
  </si>
  <si>
    <t>A) It was a sign of victory, B) It was a way to end the game, C) It was a way to eliminate opponents, D) It was a way to gain an extra point</t>
  </si>
  <si>
    <t>C) It was a way to eliminate opponents</t>
  </si>
  <si>
    <t>The touch-out rule, where a raider simply tags an opponent and returns, was a fundamental way to eliminate players and score points, a tradition that continues today.</t>
  </si>
  <si>
    <t>The historical practice of playing Ha-du-du barefoot was primarily due to what reason?</t>
  </si>
  <si>
    <t>A) It was a religious custom, B) It was a style choice, C) It improved grip on the muddy ground, D) Shoes were too expensive</t>
  </si>
  <si>
    <t>C) It improved grip on the muddy ground</t>
  </si>
  <si>
    <t>Playing barefoot provided a better grip and more agility on the soft, often slippery, muddy fields where the game was traditionally played.</t>
  </si>
  <si>
    <t>Ha-du-du's historical role in physical training was most notable in which profession?</t>
  </si>
  <si>
    <t>A) Farmers, B) Fishermen, C) Soldiers, D) Weavers</t>
  </si>
  <si>
    <t>The game’s emphasis on strength, agility, and endurance made it an ideal form of physical exercise for farmers and other agricultural workers.</t>
  </si>
  <si>
    <t>What kind of strategic formations were historically used by the defending team in Ha-du-du?</t>
  </si>
  <si>
    <t>A) A single line, B) A semi-circle, C) A scattered formation, D) A 'chain' formation</t>
  </si>
  <si>
    <t>D) A 'chain' formation</t>
  </si>
  <si>
    <t>The defending players often formed a 'chain' by holding hands or linking arms to create a human wall, making it harder for the raider to escape after a tag.</t>
  </si>
  <si>
    <t>What was a common term for a successful raid in historical Ha-du-du?</t>
  </si>
  <si>
    <t>A) 'Jhatka,' B) 'Dhar,' C) 'Paka raid,' D) 'Safal'</t>
  </si>
  <si>
    <t>C) 'Paka raid'</t>
  </si>
  <si>
    <t>A successful raid that results in points and the raider's safe return was traditionally known as a 'paka raid' (a 'ripe' or 'complete' raid).</t>
  </si>
  <si>
    <t>Ha-du-du was historically a popular sport among which demographic in Bengal?</t>
  </si>
  <si>
    <t>A) Young men, B) Elderly men, C) Women, D) Children</t>
  </si>
  <si>
    <t>A) Young men</t>
  </si>
  <si>
    <t>The sport's physical nature and the need for agility and strength made it particularly popular among young men as a way to demonstrate their prowess and fitness.</t>
  </si>
  <si>
    <t>The first formal rules for Ha-du-du were written in what year?</t>
  </si>
  <si>
    <t>A) 1950, B) 1972, C) 1980, D) 1985</t>
  </si>
  <si>
    <t>B) 1972</t>
  </si>
  <si>
    <t>The Bangladesh Kabaddi Federation was formed in 1972, and it was in this year that they laid out the first official rules to standardize the game.</t>
  </si>
  <si>
    <t>What key element of Ha-du-du's rules was adopted from other similar South Asian sports?</t>
  </si>
  <si>
    <t>A) The court dimensions, B) The team size, C) The continuous chant, D) The tackling method</t>
  </si>
  <si>
    <t>C) The continuous chant</t>
  </si>
  <si>
    <t>The rule requiring the raider to chant on a single breath is a core element also found in the Indian game of Kabaddi, from which Ha-du-du is believed to have evolved.</t>
  </si>
  <si>
    <t>What was the historical name for the center line in a Ha-du-du court?</t>
  </si>
  <si>
    <t>A) The 'touch line,' B) The 'mid-line,' C) The 'baulk line,' D) The 'line of life'</t>
  </si>
  <si>
    <t>D) The 'line of life'</t>
  </si>
  <si>
    <t>The center line, which the raider must cross to be safe, was historically and symbolically known as the 'line of life' or 'life line'.</t>
  </si>
  <si>
    <t>What was the main reason for Ha-du-du's decline in urban areas during the late 20th century?</t>
  </si>
  <si>
    <t>A) Lack of proper fields, B) Competition from other sports, C) Lack of interest from the youth, D) High cost of equipment</t>
  </si>
  <si>
    <t>B) Competition from other sports</t>
  </si>
  <si>
    <t>The rise of cricket and football, with their international appeal and better infrastructure, led to a decline in Ha-du-du's popularity in urban areas.</t>
  </si>
  <si>
    <t>The first major national Ha-du-du tournament was held in which city?</t>
  </si>
  <si>
    <t>A) Chittagong, B) Sylhet, C) Dhaka, D) Khulna</t>
  </si>
  <si>
    <t>C) Dhaka</t>
  </si>
  <si>
    <t>The first official national tournament, aimed at popularizing the sport post-independence, was held in the capital city, Dhaka.</t>
  </si>
  <si>
    <t>What historical figure from Bengal's history is often associated with promoting Ha-du-du among the common people?</t>
  </si>
  <si>
    <t>A) Netaji Subhas Chandra Bose, B) Bangabandhu Sheikh Mujibur Rahman, C) Rabindranath Tagore, D) Kazi Nazrul Islam</t>
  </si>
  <si>
    <t>B) Bangabandhu Sheikh Mujibur Rahman</t>
  </si>
  <si>
    <t>Bangabandhu Sheikh Mujibur Rahman, the founding father of Bangladesh, was a strong proponent of traditional Bengali culture and played a key role in the sport's revival.</t>
  </si>
  <si>
    <t>What was the traditional 'uniform' of Ha-du-du players in rural Bengal?</t>
  </si>
  <si>
    <t>A) A lungi, B) A dhoti, C) Loose trousers, D) Shorts</t>
  </si>
  <si>
    <t>A) A lungi</t>
  </si>
  <si>
    <t>Players in rural areas traditionally wore a lungi (a loose garment wrapped around the waist) or simple cotton pants for comfort and ease of movement.</t>
  </si>
  <si>
    <t>What was the historical term for the 'revival' or 're-entry' of a player into the game after being tagged out?</t>
  </si>
  <si>
    <t>A) 'Jibon,' B) 'Punoragomon,' C) 'Fere Asha,' D) 'Muktir'</t>
  </si>
  <si>
    <t>B) 'Punoragomon'</t>
  </si>
  <si>
    <t>Punoragomon' (meaning 'return' or 're-entry') was the traditional term for a player returning to the game after a teammate successfully scored a point.</t>
  </si>
  <si>
    <t>The popularity of Ha-du-du during the Bengal Sultanate was a result of which dynasty's interest in physical fitness?</t>
  </si>
  <si>
    <t>A) The Ilyas Shahi dynasty, B) The Hussain Shahi dynasty, C) The Mughal dynasty, D) The Ghori dynasty</t>
  </si>
  <si>
    <t>A) The Ilyas Shahi dynasty</t>
  </si>
  <si>
    <t>The Ilyas Shahi dynasty was known for its promotion of local Bengali culture and physical arts, which helped popularize sports like Ha-du-du.</t>
  </si>
  <si>
    <t>Ha-du-du was a central theme in which 20th-century Bangladeshi film?</t>
  </si>
  <si>
    <t>A) 'Nawab Siraj-ud-Daula,' B) 'Surer Agun,' C) 'Duhshashon,' D) 'Kabaddi'</t>
  </si>
  <si>
    <t>B) 'Surer Agun'</t>
  </si>
  <si>
    <t>The 1978 film 'Surer Agun' featured Ha-du-du as a prominent theme, helping to capture its essence and cultural significance for a new generation.</t>
  </si>
  <si>
    <t>What was the historical term for the entire team in a Ha-du-du match?</t>
  </si>
  <si>
    <t>A) 'Dal,' B) 'Goshthi,' C) 'Bahini,' D) 'Joutho'</t>
  </si>
  <si>
    <t>A) 'Dal'</t>
  </si>
  <si>
    <t>The word 'Dal' (meaning 'group' or 'team') was and still is the common term used for a team in a game of Ha-du-du.</t>
  </si>
  <si>
    <t>The rule of having a 'bonus line' in modern Ha-du-du was introduced in which decade?</t>
  </si>
  <si>
    <t>C) 1990s</t>
  </si>
  <si>
    <t>The 'bonus line' was introduced in the 1990s to add more dynamism to the game, allowing the raider to score an extra point by touching a specific line.</t>
  </si>
  <si>
    <t>Historically, Ha-du-du matches were often accompanied by what type of folk performance?</t>
  </si>
  <si>
    <t>A) Jari Gaan, B) Baul Gaan, C) Lalon Giti, D) Pala Gaan</t>
  </si>
  <si>
    <t>A) Jari Gaan</t>
  </si>
  <si>
    <t>Jari Gaan (a type of folk ballad) was often sung during Ha-du-du matches, narrating tales of heroism and inspiring the players.</t>
  </si>
  <si>
    <t>What kind of social unity did playing Ha-du-du historically promote in rural Bengal?</t>
  </si>
  <si>
    <t>A) Religious unity, B) Caste unity, C) Inter-village unity, D) Class unity</t>
  </si>
  <si>
    <t>C) Inter-village unity</t>
  </si>
  <si>
    <t>The game was a way for rival villages to compete in a friendly and structured manner, which often led to celebrations and improved relations.</t>
  </si>
  <si>
    <t>What was the historical role of the 'coach' or 'trainer' in a Ha-du-du team?</t>
  </si>
  <si>
    <t>A) A formal coach, B) An older player, C) The team captain, D) An elder of the village</t>
  </si>
  <si>
    <t>D) An elder of the village</t>
  </si>
  <si>
    <t>Historically, the team was led by an experienced player or a respected village elder who would offer strategic advice and mentorship.</t>
  </si>
  <si>
    <t>What was the traditional way of forming two opposing teams in Ha-du-du?</t>
  </si>
  <si>
    <t>A) By a coin toss, B) By a draw, C) By a system of captains picking players, D) By village boundaries</t>
  </si>
  <si>
    <t>C) By a system of captains picking players</t>
  </si>
  <si>
    <t>Historically, two captains would be chosen, who would then take turns picking players for their respective teams, a process known as 'gola'.</t>
  </si>
  <si>
    <t>The first professional Ha-du-du league in Bangladesh was launched in what year?</t>
  </si>
  <si>
    <t>A) 1995, B) 2001, C) 2010, D) 2015</t>
  </si>
  <si>
    <t>C) 2010</t>
  </si>
  <si>
    <t>The Professional Kabaddi League (Ha-du-du League) was launched in 2010, marking a significant step towards the professionalization of the sport.</t>
  </si>
  <si>
    <t>What was the main reason for Ha-du-du's popularity in the 1970s and 80s?</t>
  </si>
  <si>
    <t>A) Government support, B) Media coverage, C) International success, D) Celebrity endorsements</t>
  </si>
  <si>
    <t>B) Media coverage</t>
  </si>
  <si>
    <t>Increased television and radio coverage in the post-independence era brought the sport to a national audience, making it a household name.</t>
  </si>
  <si>
    <t>Historically, what was the most common injury in a game of Ha-du-du?</t>
  </si>
  <si>
    <t>A) Broken bones, B) Sprained ankles, C) Head injuries, D) Cuts and bruises</t>
  </si>
  <si>
    <t>B) Sprained ankles</t>
  </si>
  <si>
    <t>Due to the fast-paced nature of the game and the uneven playing surface, sprained ankles and knees were a very common injury.</t>
  </si>
  <si>
    <t>The first inter-college Ha-du-du tournament was organized in which year?</t>
  </si>
  <si>
    <t>A) 1975, B) 1982, C) 1990, D) 2000</t>
  </si>
  <si>
    <t>B) 1982</t>
  </si>
  <si>
    <t>The first formal inter-college Ha-du-du tournament was held in 1982, further embedding the sport in the educational institutions of Bangladesh.</t>
  </si>
  <si>
    <t>What was the main reason for the British colonial government's disapproval of Ha-du-du?</t>
  </si>
  <si>
    <t>A) It was seen as a threat to their authority, B) It was seen as uncivilized, C) It was too physical and led to injuries, D) It was a symbol of Bengali nationalism</t>
  </si>
  <si>
    <t>D) It was a symbol of Bengali nationalism</t>
  </si>
  <si>
    <t>The British viewed Ha-du-du as a symbol of Bengali nationalism and a rallying point for local communities, which they often sought to suppress.</t>
  </si>
  <si>
    <t>In historical Ha-du-du, the raider would often use what tactic to confuse the defenders?</t>
  </si>
  <si>
    <t>A) Faking a touch, B) Running backward, C) Shouting loudly, D) Throwing mud</t>
  </si>
  <si>
    <t>A) Faking a touch</t>
  </si>
  <si>
    <t>The raider would often 'fake a touch' or a move to confuse the defending players, a tactic that required immense agility and quick thinking.</t>
  </si>
  <si>
    <t>The modern rules of Ha-du-du introduced which new element to increase scoring?</t>
  </si>
  <si>
    <t>A) The 'super tackle,' B) The 'empty raid,' C) The 'bonus point,' D) The 'touch line'</t>
  </si>
  <si>
    <t>A) The 'super tackle'</t>
  </si>
  <si>
    <t>The 'super tackle' rule was introduced to reward the defending team for tackling a raider with only a few players, adding more excitement to the game.</t>
  </si>
  <si>
    <t>What was the primary motivation for playing Ha-du-du in ancient times?</t>
  </si>
  <si>
    <t>A) For social status, B) For physical fitness and entertainment, C) For religious purposes, D) For financial gain</t>
  </si>
  <si>
    <t>B) For physical fitness and entertainment</t>
  </si>
  <si>
    <t>The game was a blend of physical activity and social entertainment, providing a healthy outlet for people in rural communities.</t>
  </si>
  <si>
    <t>What was the historical term for the 'revival' of a player in a game of Ha-du-du?</t>
  </si>
  <si>
    <t>A) 'Jibon,' B) 'Dhamaka,' C) 'Jinda,' D) 'Pherot'</t>
  </si>
  <si>
    <t>A) 'Jibon'</t>
  </si>
  <si>
    <t>The term 'Jibon' (meaning 'life') was used for the revival of a player who had been tagged out, symbolizing their return to the 'life' of the game.</t>
  </si>
  <si>
    <t>In the late 19th century, which social class in Bengal played a key role in preserving Ha-du-du?</t>
  </si>
  <si>
    <t>A) The Zamindars (landlords), B) The peasants, C) The urban elite, D) The British administrators</t>
  </si>
  <si>
    <t>A) The Zamindars (landlords)</t>
  </si>
  <si>
    <t>Many local Zamindars supported and patronized traditional sports like Ha-du-du, organizing tournaments on their land to maintain social ties and local customs.</t>
  </si>
  <si>
    <t>What was the historical role of 'referees' in Ha-du-du before formal rules were established?</t>
  </si>
  <si>
    <t>A) They were called 'panchayats,' B) They were called 'gurus,' C) They were called 'sadhus,' D) They were called 'judges'</t>
  </si>
  <si>
    <t>A) They were called 'panchayats'</t>
  </si>
  <si>
    <t>The refereeing was often handled by a group of village elders, known as the 'Panchayat,' who would collectively make decisions.</t>
  </si>
  <si>
    <t>What was the main reason for playing Ha-du-du during the monsoon season?</t>
  </si>
  <si>
    <t>A) To utilize the muddy ground, B) It was the only time people had free time, C) It was a way to cool down, D) It was a religious ritual</t>
  </si>
  <si>
    <t>A) To utilize the muddy ground</t>
  </si>
  <si>
    <t>The soft, muddy ground created by the monsoon rains made the game safer, reducing the impact of falls and tackles.</t>
  </si>
  <si>
    <t>What was the historical term for the 'line' that the raider had to cross to be safe?</t>
  </si>
  <si>
    <t>A) 'Khat,' B) 'Rekha,' C) 'Simana,' D) 'Lakshman Rekha'</t>
  </si>
  <si>
    <t>D) 'Lakshman Rekha'</t>
  </si>
  <si>
    <t>The safe line was often poetically referred to as the 'Lakshman Rekha,' a term from Hindu mythology that signifies an inviolable boundary.</t>
  </si>
  <si>
    <t>The first official Ha-du-du match with international teams was held in which year?</t>
  </si>
  <si>
    <t>A) 1978, B) 1980, C) 1982, D) 1985</t>
  </si>
  <si>
    <t>A) 1978</t>
  </si>
  <si>
    <t>The first international match was held in 1978 as part of the Asian Games, where Ha-du-du was played as an exhibition sport.</t>
  </si>
  <si>
    <t>The name 'Ha-du-du' is derived from which language?</t>
  </si>
  <si>
    <t>A) Bengali, B) Sanskrit, C) Hindi, D) Persian</t>
  </si>
  <si>
    <t>A) Bengali</t>
  </si>
  <si>
    <t>The name is purely Bengali, an onomatopoeia derived from the unique and continuous chant of the raider.</t>
  </si>
  <si>
    <t>Historically, how were the two teams in a Ha-du-du match often distinguished from each other?</t>
  </si>
  <si>
    <t>A) By wearing different colored clothes, B) By a captain's armband, C) By a different team chant, D) By a team flag</t>
  </si>
  <si>
    <t>B) By a captain's armband</t>
  </si>
  <si>
    <t>A simple captain's armband or a piece of cloth was often used to differentiate the two teams.</t>
  </si>
  <si>
    <t>What was the historical significance of the 'touch' in Ha-du-du?</t>
  </si>
  <si>
    <t>A) It was a sign of respect, B) It was a sign of a point scored, C) It was a signal to the referee, D) It was a way to show a truce</t>
  </si>
  <si>
    <t>B) It was a sign of a point scored</t>
  </si>
  <si>
    <t>The simple act of a raider touching an opponent and returning to their side was the historical and fundamental way of scoring points.</t>
  </si>
  <si>
    <t>What was the role of the crowd or spectators in a historical Ha-du-du match?</t>
  </si>
  <si>
    <t>A) They acted as the third team, B) They were silent observers, C) They were part of the jury, D) They chanted and cheered to motivate players</t>
  </si>
  <si>
    <t>D) They chanted and cheered to motivate players</t>
  </si>
  <si>
    <t>The crowd played a vital role, using chants and loud cheers to create a dynamic atmosphere and encourage their favorite teams.</t>
  </si>
  <si>
    <t>Which dynasty's reign saw the sport of Ha-du-du flourish as a part of folk culture?</t>
  </si>
  <si>
    <t>A) The Sena Dynasty, B) The Pala Dynasty, C) The Mughal Empire, D) The Bengal Sultanate</t>
  </si>
  <si>
    <t>D) The Bengal Sultanate</t>
  </si>
  <si>
    <t>The Bengal Sultanate provided a conducive environment for local folk culture, including Ha-du-du, to thrive and spread throughout the region.</t>
  </si>
  <si>
    <t>What kind of strategic move was historically used by the defending team to trap the raider?</t>
  </si>
  <si>
    <t>A) The 'super chain,' B) The 'group tackle,' C) The 'corner block,' D) The 'human wall'</t>
  </si>
  <si>
    <t>D) The 'human wall'</t>
  </si>
  <si>
    <t>The defenders would often form a tight 'human wall' by linking arms, making it nearly impossible for the raider to escape after a touch.</t>
  </si>
  <si>
    <t>The first major corporate-sponsored Ha-du-du tournament in Bangladesh was held in which city?</t>
  </si>
  <si>
    <t>A) Sylhet, B) Chittagong, C) Dhaka, D) Khulna</t>
  </si>
  <si>
    <t>The first major corporate-sponsored tournament was held in Dhaka, marking the sport's transition from a folk game to a professional one.</t>
  </si>
  <si>
    <t>What was the historical term for a team that had all its players tagged out?</t>
  </si>
  <si>
    <t>A) 'Shunyo,' B) 'Shikar,' C) 'Shorbotosh,' D) 'All Out'</t>
  </si>
  <si>
    <t>D) 'All Out'</t>
  </si>
  <si>
    <t>The term 'All Out', borrowed from Kabaddi, was the historical and still common term for when a team's entire lineup is eliminated.</t>
  </si>
  <si>
    <t>Ha-du-du was originally played as a game of skill and agility. What historical event led to its evolution into a more physical, combat-like sport?</t>
  </si>
  <si>
    <t>A) Inter-village feuds, B) The influence of wrestling, C) The need for physical training, D) The use of new rules</t>
  </si>
  <si>
    <t>B) The influence of wrestling</t>
  </si>
  <si>
    <t>The sport’s physical elements, such as tackling and grappling, were heavily influenced by traditional wrestling, which was also popular in the region.</t>
  </si>
  <si>
    <t>In the historical context of Bengal, what was the primary source of funding for Ha-du-du tournaments?</t>
  </si>
  <si>
    <t>A) Government grants, B) Private sponsors, C) Public donations, D) Wealthy landowners or Zamindars</t>
  </si>
  <si>
    <t>D) Wealthy landowners or Zamindars</t>
  </si>
  <si>
    <t>Wealthy landowners, or Zamindars, were the traditional patrons of village sports, including Ha-du-du, to maintain their social standing and goodwill.</t>
  </si>
  <si>
    <t>What was the key difference between Ha-du-du and its Indian counterpart, Kabaddi, in the 19th century?</t>
  </si>
  <si>
    <t>A) The field size, B) The number of players, C) Ha-du-du was played on a muddy field, D) The continuous chanting and breath-holding rule</t>
  </si>
  <si>
    <t>C) Ha-du-du was played on a muddy field</t>
  </si>
  <si>
    <t>While both sports are similar, Ha-du-du was distinct in its traditional playing surface, which was a muddy field, a key element of its rural identity.</t>
  </si>
  <si>
    <t>What historical period saw the first formal attempt to standardize the rules of Ha-du-du?</t>
  </si>
  <si>
    <t>A) The late 18th century, B) The early 20th century, C) The post-independence era, D) The British colonial period</t>
  </si>
  <si>
    <t>C) The post-independence era</t>
  </si>
  <si>
    <t>The first official attempts to standardize the game came after Bangladesh's independence in 1971, with the formation of the Bangladesh Kabaddi Federation.</t>
  </si>
  <si>
    <t>Historically, how was the duration of a Ha-du-du match determined?</t>
  </si>
  <si>
    <t>A) By a fixed time limit, B) By the number of points scored, C) By a set number of raids, D) By the exhaustion of the players</t>
  </si>
  <si>
    <t>D) By the exhaustion of the players</t>
  </si>
  <si>
    <t>In its traditional form, the game continued until one of the teams was no longer able to play, making endurance a key factor.</t>
  </si>
  <si>
    <t>The strategic use of a 'baulk line' in modern Ha-du-du was adapted from which other sport?</t>
  </si>
  <si>
    <t>A) Wrestling, B) Rugby, C) Football, D) Kabaddi</t>
  </si>
  <si>
    <t>D) Kabaddi</t>
  </si>
  <si>
    <t>The concept of a baulk line, which requires the raider to cross a specific line to make the raid valid, was adopted from the modern rules of Kabaddi.</t>
  </si>
  <si>
    <t>What historical folk tradition in Bengal is often associated with the game of Ha-du-du?</t>
  </si>
  <si>
    <t>A) Baul songs, B) Puppetry, C) Ghatu song, D) Jatra</t>
  </si>
  <si>
    <t>C) Ghatu song</t>
  </si>
  <si>
    <t>Ghatu song, a form of folk music performed during the monsoon season, often accompanied or followed Ha-du-du matches in rural areas.</t>
  </si>
  <si>
    <t>The role of a 'raider' in Ha-du-du is historically a blend of which two types of skills?</t>
  </si>
  <si>
    <t>A) Sprinting and wrestling, B) Agility and strength, C) Teamwork and individual skill, D) Defense and offense</t>
  </si>
  <si>
    <t>B) Agility and strength</t>
  </si>
  <si>
    <t>A raider's success depended on their agility to evade tackles and their strength to break free from the grasp of the defenders.</t>
  </si>
  <si>
    <t>What was the most significant challenge to the survival of Ha-du-du in the late 20th century?</t>
  </si>
  <si>
    <t>A) Lack of government funding, B) Lack of public interest, C) Competition from cricket and football, D) Changes in agricultural practices</t>
  </si>
  <si>
    <t>C) Competition from cricket and football</t>
  </si>
  <si>
    <t>The rise of globally popular sports with professional leagues and media coverage posed the biggest threat to Ha-du-du's traditional dominance.</t>
  </si>
  <si>
    <t>The 'bonus point' rule was introduced to Ha-du-du to encourage which aspect of the game?</t>
  </si>
  <si>
    <t>A) More aggressive defending, B) Longer raids, C) More strategic raiding, D) Faster gameplay</t>
  </si>
  <si>
    <t>C) More strategic raiding</t>
  </si>
  <si>
    <t>The bonus point rule, which rewards a raider for touching a bonus line, was implemented to encourage more strategic and calculated raids rather than simple tags.</t>
  </si>
  <si>
    <t>What historical festival in rural Bangladesh featured Ha-du-du as its main sporting event?</t>
  </si>
  <si>
    <t>A) The "Nouka Baich" (boat race), B) The "Poush Mela" (winter fair), C) The "Lathikhela" (stick fighting), D) The "Rural Games Festival"</t>
  </si>
  <si>
    <t>D) The "Rural Games Festival"</t>
  </si>
  <si>
    <t>Local "Rural Games Festivals," often held during harvest or other community events, made Ha-du-du the centerpiece of the festivities.</t>
  </si>
  <si>
    <t>What historical significance did the 'lobby' area of a Ha-du-du court have?</t>
  </si>
  <si>
    <t>A) It was a safe zone for players, B) It was a spectator area, C) It was a neutral zone for a struggle, D) It was an out-of-bounds area</t>
  </si>
  <si>
    <t>C) It was a neutral zone for a struggle</t>
  </si>
  <si>
    <t>The lobby, a side channel of the court, was a neutral area where the raider and defender could engage in a struggle without being out of bounds.</t>
  </si>
  <si>
    <t>In historical Ha-du-du, the defense was often referred to as what, signifying its role?</t>
  </si>
  <si>
    <t>A) The 'wall,' B) The 'barrier,' C) The 'fort,' D) The 'protectors'</t>
  </si>
  <si>
    <t>A) The 'wall'</t>
  </si>
  <si>
    <t>The defending team, in a formation of linked players, was often referred to as the 'wall' for its solid and impenetrable defense.</t>
  </si>
  <si>
    <t>The first all-women's Ha-du-du tournament was held in which year?</t>
  </si>
  <si>
    <t>A) 1980, B) 1987, C) 1995, D) 2002</t>
  </si>
  <si>
    <t>B) 1987</t>
  </si>
  <si>
    <t>The first official women's tournament was organized in 1987, paving the way for female participation in the sport.</t>
  </si>
  <si>
    <t>What kind of strategic move was known as a 'chain tackle' in historical Ha-du-du?</t>
  </si>
  <si>
    <t>A) Two players tackling at once, B) A single player tackling the raider, C) A series of tackles, D) Three or more players linking arms to tackle the raider</t>
  </si>
  <si>
    <t>D) Three or more players linking arms to tackle the raider</t>
  </si>
  <si>
    <t>A 'chain tackle' was a key defensive strategy where defenders linked arms to collectively tackle and restrain the raider.</t>
  </si>
  <si>
    <t>What was the main reason for Ha-du-du being a popular game among farmers and agricultural workers?</t>
  </si>
  <si>
    <t>A) It required no equipment, B) It could be played anywhere, C) It was a way to pass the time, D) It was a form of physical exercise</t>
  </si>
  <si>
    <t>A) It required no equipment</t>
  </si>
  <si>
    <t>The fact that Ha-du-du requires no special equipment or gear made it highly accessible to people from all economic backgrounds.</t>
  </si>
  <si>
    <t>What was the first country to participate in an international Ha-du-du match against Bangladesh?</t>
  </si>
  <si>
    <t>A) India, B) Sri Lanka, C) Nepal, D) Pakistan</t>
  </si>
  <si>
    <t>India and Bangladesh have a long history of playing against each other, making India the first international opponent for Ha-du-du.</t>
  </si>
  <si>
    <t>Lathi Khela originated as a traditional martial art in which region?</t>
  </si>
  <si>
    <t>A) Punjab, B) Bengal, C) Maharashtra, D) Kerala</t>
  </si>
  <si>
    <t>Lathi Khela has deep roots in Bengal, especially in Bangladesh and West Bengal, India.</t>
  </si>
  <si>
    <t>What was the primary purpose of Lathi Khela in its early days?</t>
  </si>
  <si>
    <t>A) Entertainment, B) Military training, C) Ceremonial dance, D) Spiritual exercise</t>
  </si>
  <si>
    <t>B) Military training</t>
  </si>
  <si>
    <t>Lathi Khela was initially developed as a form of martial training for village defense.</t>
  </si>
  <si>
    <t>Which group in Bangladesh is traditionally known for practicing Lathi Khela?</t>
  </si>
  <si>
    <t>A) Farmers, B) Fishermen, C) Village guards, D) Traders</t>
  </si>
  <si>
    <t>C) Village guards</t>
  </si>
  <si>
    <t>Village guards used Lathi Khela to protect rural areas from bandits and other threats.</t>
  </si>
  <si>
    <t>During British rule in India, Lathi Khela was often used for what purpose?</t>
  </si>
  <si>
    <t>A) Defending against colonial forces, B) Religious ceremonies, C) Celebrations, D) Education</t>
  </si>
  <si>
    <t>A) Defending against colonial forces</t>
  </si>
  <si>
    <t>Lathi fighters sometimes resisted British forces, using their skills in village uprisings.</t>
  </si>
  <si>
    <t>What does the word 'Lathi' mean in the context of Lathi Khela?</t>
  </si>
  <si>
    <t>A) Stick, B) Sword, C) Shield, D) Spear</t>
  </si>
  <si>
    <t>A) Stick</t>
  </si>
  <si>
    <t>In Bengali, 'Lathi' translates to 'stick,' the primary weapon used in this martial art.</t>
  </si>
  <si>
    <t>Which period in history saw the peak of Lathi Khela's popularity in Bengal?</t>
  </si>
  <si>
    <t>A) Ancient era, B) Medieval era, C) 18th-19th century, D) 20th century</t>
  </si>
  <si>
    <t>C) 18th-19th century</t>
  </si>
  <si>
    <t>Lathi Khela was especially popular during the 18th and 19th centuries.</t>
  </si>
  <si>
    <t>Lathi Khela is part of which broader cultural practice in Bangladesh?</t>
  </si>
  <si>
    <t>A) Baul, B) Puthi, C) Martial arts, D) Bengali folk</t>
  </si>
  <si>
    <t>D) Bengali folk</t>
  </si>
  <si>
    <t>Lathi Khela is considered part of Bangladesh's rich folk culture.</t>
  </si>
  <si>
    <t>In Lathi Khela, the stick is typically made from which material?</t>
  </si>
  <si>
    <t>A) Steel, B) Bamboo, C) Iron, D) Oak</t>
  </si>
  <si>
    <t>B) Bamboo</t>
  </si>
  <si>
    <t>Lathi sticks are usually made of bamboo for durability and flexibility.</t>
  </si>
  <si>
    <t>Who traditionally taught Lathi Khela skills in villages?</t>
  </si>
  <si>
    <t>A) Gurus, B) Village elders, C) Spiritual leaders, D) Warriors</t>
  </si>
  <si>
    <t>A) Gurus</t>
  </si>
  <si>
    <t>Gurus, or teachers, were responsible for passing down Lathi Khela techniques.</t>
  </si>
  <si>
    <t>Which of these historical figures is believed to have promoted Lathi Khela?</t>
  </si>
  <si>
    <t>A) Subhas Chandra Bose, B) Tipu Sultan, C) Raja Ram Mohan Roy, D) Ishwar Chandra Vidyasagar</t>
  </si>
  <si>
    <t>A) Subhas Chandra Bose</t>
  </si>
  <si>
    <t>Subhas Chandra Bose encouraged physical training, including Lathi Khela, among youth.</t>
  </si>
  <si>
    <t>Lathi Khela was also used as a form of resistance against which group?</t>
  </si>
  <si>
    <t>A) Mughals, B) British, C) Dutch, D) Portuguese</t>
  </si>
  <si>
    <t>B) British</t>
  </si>
  <si>
    <t>Villagers used Lathi Khela as a means of resistance against British colonial forces.</t>
  </si>
  <si>
    <t>Lathi Khela demonstrations are often held during which type of events in Bangladesh?</t>
  </si>
  <si>
    <t>A) Weddings, B) Harvest festivals, C) National holidays, D) Religious ceremonies</t>
  </si>
  <si>
    <t>Lathi Khela is frequently showcased at rural festivals, especially during harvest celebrations.</t>
  </si>
  <si>
    <t>What is a common length for the bamboo stick used in Lathi Khela?</t>
  </si>
  <si>
    <t>A) 2 feet, B) 4 feet, C) 6 feet, D) 10 feet</t>
  </si>
  <si>
    <t>C) 6 feet</t>
  </si>
  <si>
    <t>The lathi stick is usually around 6 feet long, providing reach and control.</t>
  </si>
  <si>
    <t>Lathi Khela gained renewed attention in Bangladesh during which decade?</t>
  </si>
  <si>
    <t>A) 1950s, B) 1970s, C) 1990s, D) 2010s</t>
  </si>
  <si>
    <t>In the 1990s, Lathi Khela saw a revival as people sought to preserve traditional sports.</t>
  </si>
  <si>
    <t>Which rural structure was historically defended using Lathi Khela skills?</t>
  </si>
  <si>
    <t>A) Forts, B) Ponds, C) Granaries, D) Village borders</t>
  </si>
  <si>
    <t>D) Village borders</t>
  </si>
  <si>
    <t>Villagers used Lathi Khela to defend village borders from external threats.</t>
  </si>
  <si>
    <t>Lathi Khela training often included exercises focused on what key skill?</t>
  </si>
  <si>
    <t>A) Agility, B) Strength, C) Balance, D) All of the above</t>
  </si>
  <si>
    <t>Training emphasized agility, strength, and balance for effective combat.</t>
  </si>
  <si>
    <t>Which of the following was a common motivation for participating in Lathi Khela historically?</t>
  </si>
  <si>
    <t>A) Religious faith, B) Protection, C) Financial gain, D) Fame</t>
  </si>
  <si>
    <t>B) Protection</t>
  </si>
  <si>
    <t>Villagers practiced Lathi Khela primarily to protect their communities.</t>
  </si>
  <si>
    <t>Lathi Khela is similar to which traditional Indian martial art?</t>
  </si>
  <si>
    <t>A) Gatka, B) Kalaripayattu, C) Silambam, D) Thang-ta</t>
  </si>
  <si>
    <t>C) Silambam</t>
  </si>
  <si>
    <t>Silambam, like Lathi Khela, uses stick-based techniques and originates from South India.</t>
  </si>
  <si>
    <t>The word 'Khela' in Lathi Khela translates to what in English?</t>
  </si>
  <si>
    <t>A) Fight, B) Play, C) Stick, D) Move</t>
  </si>
  <si>
    <t>B) Play</t>
  </si>
  <si>
    <t>Khela' means 'play' in Bengali, reflecting the sport-like aspect of the practice.</t>
  </si>
  <si>
    <t>Lathi Khela also served as a form of exercise for which rural community members?</t>
  </si>
  <si>
    <t>A) Students, B) Elders, C) Farmers, D) Merchants</t>
  </si>
  <si>
    <t>C) Farmers</t>
  </si>
  <si>
    <t>Farmers used Lathi Khela for fitness, enhancing their strength for agricultural work.</t>
  </si>
  <si>
    <t>In which type of Bengali folklore is Lathi Khela occasionally referenced?</t>
  </si>
  <si>
    <t>A) Fairy tales, B) Songs, C) Folk dances, D) Epics</t>
  </si>
  <si>
    <t>B) Songs</t>
  </si>
  <si>
    <t>Lathi Khela is sometimes celebrated in Bengali folk songs, highlighting its cultural importance.</t>
  </si>
  <si>
    <t>In which century did Lathi Khela start to gain recognition outside of Bangladesh?</t>
  </si>
  <si>
    <t>A) 16th century, B) 19th century, C) 20th century, D) 21st century</t>
  </si>
  <si>
    <t>Lathi Khela gained international attention in the 20th century as traditional sports were studied.</t>
  </si>
  <si>
    <t>What skill is essential for Lathi Khela besides physical strength?</t>
  </si>
  <si>
    <t>A) Endurance, B) Flexibility, C) Strategy, D) Jumping</t>
  </si>
  <si>
    <t>C) Strategy</t>
  </si>
  <si>
    <t>Strategy is crucial in Lathi Khela to anticipate and counter opponents' moves.</t>
  </si>
  <si>
    <t>In modern times, Lathi Khela has become a symbol of what?</t>
  </si>
  <si>
    <t>A) Resistance, B) Unity, C) Independence, D) Tradition</t>
  </si>
  <si>
    <t>D) Tradition</t>
  </si>
  <si>
    <t>Lathi Khela is valued today as a cultural tradition, preserving Bangladeshâ€™s heritage.</t>
  </si>
  <si>
    <t>Which type of festival often features Lathi Khela demonstrations in Bangladesh?</t>
  </si>
  <si>
    <t>A) New Year's, B) Harvest festivals, C) Marriage celebrations, D) Independence Day</t>
  </si>
  <si>
    <t>Harvest festivals are common occasions for Lathi Khela exhibitions, celebrating community strength.</t>
  </si>
  <si>
    <t>What is the primary weapon used in Lathi Khela?</t>
  </si>
  <si>
    <t>A) Sword, B) Spear, C) Stick, D) Bow</t>
  </si>
  <si>
    <t>C) Stick</t>
  </si>
  <si>
    <t>Lathi Khela's main weapon is a long bamboo stick used for both offense and defense.</t>
  </si>
  <si>
    <t>Lathi Khela emerged in which geographical area of South Asia?</t>
  </si>
  <si>
    <t>A) Western India, B) Southern India, C) Eastern India and Bangladesh, D) Northern India</t>
  </si>
  <si>
    <t>C) Eastern India and Bangladesh</t>
  </si>
  <si>
    <t>Lathi Khela originated in the Bengal region, which includes Bangladesh and parts of India.</t>
  </si>
  <si>
    <t>During colonial times, Lathi Khela was sometimes used to resist which group?</t>
  </si>
  <si>
    <t>A) Portuguese, B) Dutch, C) British, D) French</t>
  </si>
  <si>
    <t>C) British</t>
  </si>
  <si>
    <t>Villagers used Lathi Khela techniques to resist British colonial forces.</t>
  </si>
  <si>
    <t>What is the approximate age of Lathi Khela as a martial art form?</t>
  </si>
  <si>
    <t>A) 100 years, B) 200 years, C) 500 years, D) Over 1000 years</t>
  </si>
  <si>
    <t>D) Over 1000 years</t>
  </si>
  <si>
    <t>Lathi Khela has been practiced for centuries, making it one of the oldest martial arts in the region.</t>
  </si>
  <si>
    <t>Which Bengali folk hero is often associated with Lathi Khela legends?</t>
  </si>
  <si>
    <t>A) Raja Ram Mohan Roy, B) Babu Kunja Narayan, C) Lalon Fakir, D) Siraj-ud-Daulah</t>
  </si>
  <si>
    <t>B) Babu Kunja Narayan</t>
  </si>
  <si>
    <t>Babu Kunja Narayan is a legendary figure who promoted Lathi Khela in Bengali folklore.</t>
  </si>
  <si>
    <t>Lathi Khela has traditionally been practiced by which group within rural communities?</t>
  </si>
  <si>
    <t>A) Elders, B) Young men, C) Women, D) Merchants</t>
  </si>
  <si>
    <t>B) Young men</t>
  </si>
  <si>
    <t>Young men in villages often practiced Lathi Khela for self-defense and community protection.</t>
  </si>
  <si>
    <t>In what setting was Lathi Khela typically taught in villages?</t>
  </si>
  <si>
    <t>A) Schools, B) Fields, C) Homes, D) Temples</t>
  </si>
  <si>
    <t>B) Fields</t>
  </si>
  <si>
    <t>Villagers usually practiced and trained in open fields to perfect Lathi Khela techniques.</t>
  </si>
  <si>
    <t>What aspect of rural life did Lathi Khela support in the past?</t>
  </si>
  <si>
    <t>A) Social gatherings, B) Village defense, C) Entertainment, D) Farming</t>
  </si>
  <si>
    <t>B) Village defense</t>
  </si>
  <si>
    <t>Lathi Khela was primarily used as a means of defense in rural areas.</t>
  </si>
  <si>
    <t>The popularity of Lathi Khela began to decline during which century?</t>
  </si>
  <si>
    <t>A) 16th century, B) 18th century, C) 19th century, D) 20th century</t>
  </si>
  <si>
    <t>D) 20th century</t>
  </si>
  <si>
    <t>With modernization and urbanization, Lathi Khela's popularity declined in the 20th century.</t>
  </si>
  <si>
    <t>Which material is often preferred for making the lathi (stick) used in Lathi Khela?</t>
  </si>
  <si>
    <t>A) Oak wood, B) Iron, C) Teak wood, D) Bamboo</t>
  </si>
  <si>
    <t>D) Bamboo</t>
  </si>
  <si>
    <t>Bamboo is used because of its lightweight yet durable nature, ideal for combat.</t>
  </si>
  <si>
    <t>Which historical event contributed to the decline of Lathi Khela's prominence?</t>
  </si>
  <si>
    <t>A) Industrial Revolution, B) Arrival of firearms, C) British policies, D) Independence</t>
  </si>
  <si>
    <t>C) British policies</t>
  </si>
  <si>
    <t>British colonial policies suppressed traditional martial arts, reducing Lathi Khela's popularity.</t>
  </si>
  <si>
    <t>Lathi Khela is sometimes featured during which type of local competitions?</t>
  </si>
  <si>
    <t>A) School events, B) Village fairs, C) Military drills, D) City festivals</t>
  </si>
  <si>
    <t>B) Village fairs</t>
  </si>
  <si>
    <t>Village fairs often include Lathi Khela displays as part of cultural festivities.</t>
  </si>
  <si>
    <t>How does Lathi Khela differ from most other martial arts?</t>
  </si>
  <si>
    <t>A) It's weapon-based, B) Focuses on defense only, C) No skill required, D) Played in teams</t>
  </si>
  <si>
    <t>A) It's weapon-based</t>
  </si>
  <si>
    <t>Lathi Khela is a stick-based martial art, unlike many unarmed martial arts.</t>
  </si>
  <si>
    <t>Who primarily kept the traditions of Lathi Khela alive through generations?</t>
  </si>
  <si>
    <t>A) Religious leaders, B) Village elders, C) Young warriors, D) Nobles</t>
  </si>
  <si>
    <t>B) Village elders</t>
  </si>
  <si>
    <t>Village elders passed down techniques and values associated with Lathi Khela.</t>
  </si>
  <si>
    <t>Which legendary warrior is sometimes associated with Lathi Khela in folk stories?</t>
  </si>
  <si>
    <t>A) Ramayana's Hanuman, B) Lalon Fakir, C) Behula, D) Baburam Paramhansa</t>
  </si>
  <si>
    <t>A) Ramayana's Hanuman</t>
  </si>
  <si>
    <t>Hanuman's strength and agility are celebrated in stories that resemble Lathi Khela skills.</t>
  </si>
  <si>
    <t>Which of these values is emphasized in traditional Lathi Khela training?</t>
  </si>
  <si>
    <t>A) Generosity, B) Loyalty, C) Bravery, D) Intelligence</t>
  </si>
  <si>
    <t>C) Bravery</t>
  </si>
  <si>
    <t>Bravery is a core value instilled in Lathi Khela practitioners.</t>
  </si>
  <si>
    <t>What is one significant purpose of Lathi Khela demonstrations today?</t>
  </si>
  <si>
    <t>A) Entertainment, B) Military recruitment, C) Cultural preservation, D) Tourist attraction</t>
  </si>
  <si>
    <t>C) Cultural preservation</t>
  </si>
  <si>
    <t>Demonstrations today help preserve and celebrate Lathi Khela as cultural heritage.</t>
  </si>
  <si>
    <t>In which style of combat does Lathi Khela primarily train participants?</t>
  </si>
  <si>
    <t>A) Hand-to-hand combat, B) Close-quarters combat, C) Mounted combat, D) Stick-based fighting</t>
  </si>
  <si>
    <t>D) Stick-based fighting</t>
  </si>
  <si>
    <t>Lathi Khela is distinct for its stick-fighting techniques, using the bamboo lathi.</t>
  </si>
  <si>
    <t>Which item is often paired with the lathi for defense in traditional Lathi Khela?</t>
  </si>
  <si>
    <t>A) Shield, B) Sword, C) Small dagger, D) No pairing</t>
  </si>
  <si>
    <t>A) Shield</t>
  </si>
  <si>
    <t>In some variations, a shield is used with the lathi to enhance defensive techniques.</t>
  </si>
  <si>
    <t>During which period did Lathi Khela see a resurgence in popular interest?</t>
  </si>
  <si>
    <t>A) 1950s, B) 1970s, C) 1990s, D) 2000s</t>
  </si>
  <si>
    <t>In the 1990s, there was renewed interest in preserving traditional sports like Lathi Khela.</t>
  </si>
  <si>
    <t>What purpose did British officials assign to Lathi Khela practitioners in colonial times?</t>
  </si>
  <si>
    <t>A) Guards, B) Police, C) Entertainers, D) Soldiers</t>
  </si>
  <si>
    <t>B) Police</t>
  </si>
  <si>
    <t>The British sometimes employed skilled Lathi Khela practitioners as rural police.</t>
  </si>
  <si>
    <t>Which social aspect was closely connected with Lathi Khela in rural areas?</t>
  </si>
  <si>
    <t>A) Feasts, B) Weddings, C) Village meetings, D) Rituals</t>
  </si>
  <si>
    <t>C) Village meetings</t>
  </si>
  <si>
    <t>Village meetings often included discussions of defense, with Lathi Khela training as a focus.</t>
  </si>
  <si>
    <t>Which other martial art uses similar techniques to Lathi Khela?</t>
  </si>
  <si>
    <t>A) Muay Thai, B) Kalaripayattu, C) Gatka, D) Kung Fu</t>
  </si>
  <si>
    <t>C) Gatka</t>
  </si>
  <si>
    <t>Gatka, practiced by Sikhs, also uses sticks and shares techniques with Lathi Khela.</t>
  </si>
  <si>
    <t>In traditional Lathi Khela, which technique is often practiced first?</t>
  </si>
  <si>
    <t>A) Defensive stance, B) Weapon strike, C) Evading, D) Jumping</t>
  </si>
  <si>
    <t>A) Defensive stance</t>
  </si>
  <si>
    <t>Practitioners first learn to defend and block attacks before offensive techniques.</t>
  </si>
  <si>
    <t>Which governmental body in Bangladesh has promoted Lathi Khela as a cultural heritage?</t>
  </si>
  <si>
    <t>A) Ministry of Education, B) Ministry of Youth and Sports, C) Ministry of Tourism, D) Ministry of Defense</t>
  </si>
  <si>
    <t>B) Ministry of Youth and Sports</t>
  </si>
  <si>
    <t>The Ministry of Youth and Sports has supported initiatives to preserve Lathi Khela.</t>
  </si>
  <si>
    <t>What traditional role did Lathi Khela play in Bengali village disputes?</t>
  </si>
  <si>
    <t>A) Form of punishment, B) Ritual dance, C) Conflict resolution, D) Religious practice</t>
  </si>
  <si>
    <t>C) Conflict resolution</t>
  </si>
  <si>
    <t>Lathi Khela was often used in villages to settle disputes and demonstrate physical prowess peacefully.</t>
  </si>
  <si>
    <t>Lathi Khela has roots in which ancient tradition?</t>
  </si>
  <si>
    <t>A) Military training, B) Religious rites, C) Traditional farming, D) Stone masonry</t>
  </si>
  <si>
    <t>A) Military training</t>
  </si>
  <si>
    <t>It originated from ancient military practices used by villagers for protection and self-defense.</t>
  </si>
  <si>
    <t>Which famous 19th-century Bengali writer mentioned Lathi Khela in his works?</t>
  </si>
  <si>
    <t>A) Rabindranath Tagore, B) Bankim Chandra Chatterjee, C) Kazi Nazrul Islam, D) Lalon Fakir</t>
  </si>
  <si>
    <t>B) Bankim Chandra Chatterjee</t>
  </si>
  <si>
    <t>Bankim Chandra Chatterjee referred to Lathi Khela in his novels, highlighting rural Bengali life.</t>
  </si>
  <si>
    <t>What is a common trait required for success in Lathi Khela?</t>
  </si>
  <si>
    <t>A) Flexibility, B) Brute strength, C) Endurance, D) Agility</t>
  </si>
  <si>
    <t>Lathi Khela requires agility to dodge attacks and effectively counter opponents.</t>
  </si>
  <si>
    <t>In Lathi Khela history, what does the term 'lathial' refer to?</t>
  </si>
  <si>
    <t>A) Warrior, B) Musician, C) Teacher, D) Stick fighter</t>
  </si>
  <si>
    <t>D) Stick fighter</t>
  </si>
  <si>
    <t>Lathial' is a term for those who practice Lathi Khela and are skilled stick fighters.</t>
  </si>
  <si>
    <t>Which body movement is commonly emphasized in Lathi Khela techniques?</t>
  </si>
  <si>
    <t>A) Arm extension, B) Twisting, C) Footwork, D) Jumping</t>
  </si>
  <si>
    <t>C) Footwork</t>
  </si>
  <si>
    <t>Precise footwork is critical in Lathi Khela to maintain balance and avoid attacks.</t>
  </si>
  <si>
    <t>What is the approximate length of a typical lathi stick used in Lathi Khela?</t>
  </si>
  <si>
    <t>A) 1 meter, B) 1.5 meters, C) 2 meters, D) 2.5 meters</t>
  </si>
  <si>
    <t>C) 2 meters</t>
  </si>
  <si>
    <t>The bamboo lathi used in Lathi Khela is usually around 2 meters in length for optimal reach.</t>
  </si>
  <si>
    <t>Lathi Khela was traditionally used in rural Bangladesh for which purpose?</t>
  </si>
  <si>
    <t>A) Hunting, B) Martial competitions, C) Self-defense, D) Entertainment</t>
  </si>
  <si>
    <t>C) Self-defense</t>
  </si>
  <si>
    <t>Villagers used Lathi Khela as a practical form of self-defense against threats.</t>
  </si>
  <si>
    <t>Which element is often included in Lathi Khela performances to enhance drama?</t>
  </si>
  <si>
    <t>A) Loud chanting, B) Music, C) Fireworks, D) Dance</t>
  </si>
  <si>
    <t>B) Music</t>
  </si>
  <si>
    <t>Traditional drum music accompanies Lathi Khela, enhancing its intensity and rhythm.</t>
  </si>
  <si>
    <t>What impact did the British colonial rule have on the practice of Lathi Khela?</t>
  </si>
  <si>
    <t>A) It was promoted, B) It was restricted, C) It became mandatory, D) It was modernized</t>
  </si>
  <si>
    <t>B) It was restricted</t>
  </si>
  <si>
    <t>The British discouraged and restricted Lathi Khela, seeing it as a potential threat.</t>
  </si>
  <si>
    <t>During the time of feudal landlords in medieval Bengal, what was the primary role of a 'lathial'?</t>
  </si>
  <si>
    <t>A) Entertainer for the village, B) Tax collector and guard, C) Spiritual guide, D) Teacher of martial arts</t>
  </si>
  <si>
    <t>B) Tax collector and guard</t>
  </si>
  <si>
    <t>Landlords (zamindars) employed lathials to forcibly collect taxes and provide security for their estates.</t>
  </si>
  <si>
    <t>The word 'lathial' is the term used to describe a practitioner of Lathi Khela. What is the literal meaning of this word?</t>
  </si>
  <si>
    <t>A) One who fights, B) One who wields sticks, C) One who teaches, D) One who runs</t>
  </si>
  <si>
    <t>B) One who wields sticks</t>
  </si>
  <si>
    <t>The term 'lathial' is derived from 'lathi' (stick), signifying a person who is skilled at wielding a stick.</t>
  </si>
  <si>
    <t>In which district of Bangladesh was an annual nationwide Lathi Khela convention historically held?</t>
  </si>
  <si>
    <t>A) Dhaka, B) Kushtia, C) Chittagong, D) Sylhet</t>
  </si>
  <si>
    <t>B) Kushtia</t>
  </si>
  <si>
    <t>Kushtia was the host for an annual nationwide Lathi Khela convention until 1989.</t>
  </si>
  <si>
    <t>What was the name of the mock stick-fight demonstration that was often paired with shields?</t>
  </si>
  <si>
    <t>A) Nori Bari, B) Baoi Jhak, C) Dao Khela, D) Chhuri dance</t>
  </si>
  <si>
    <t>A) Nori Bari</t>
  </si>
  <si>
    <t>Nori Bari was a specific type of mock stick-fight demonstration where sticks could be paired with shields.</t>
  </si>
  <si>
    <t>The decline of Lathi Khela in recent decades has been attributed to what major societal trend?</t>
  </si>
  <si>
    <t>A) Economic hardship, B) Rural migration, C) Urbanization, D) Climate change</t>
  </si>
  <si>
    <t>C) Urbanization</t>
  </si>
  <si>
    <t>The move from rural areas to cities has led to a decline in traditional rural martial arts like Lathi Khela.</t>
  </si>
  <si>
    <t>What was the name of the specific type of mock-group fight performed by lathial troupes?</t>
  </si>
  <si>
    <t>A) Nori Bari, B) Dao Khela, C) Chhuri dance, D) Baoi Jhak</t>
  </si>
  <si>
    <t>D) Baoi Jhak</t>
  </si>
  <si>
    <t>Baoi Jhak was a form of mock group fight performed by lathial teams.</t>
  </si>
  <si>
    <t>Lathi Khela was at one time included in the education system known by what name?</t>
  </si>
  <si>
    <t>A) Bratachari, B) Shadhona, C) Anushilan, D) Bangiya Byayam Samiti</t>
  </si>
  <si>
    <t>A) Bratachari</t>
  </si>
  <si>
    <t>Lathi Khela training was once part of the Bratachari system of education, founded by Gurusaday Dutta.</t>
  </si>
  <si>
    <t>In addition to stick fighting, lathial groups were also known to learn the arts of mock fighting with what other weapons?</t>
  </si>
  <si>
    <t>A) Spears and axes, B) Daggers and swords, C) Machetes and swords, D) Bows and arrows</t>
  </si>
  <si>
    <t>C) Machetes and swords</t>
  </si>
  <si>
    <t>Lathials often learned Dao Khela (machete fighting) and Fara Khela (sword fighting) as part of their training.</t>
  </si>
  <si>
    <t>What was the name of the movement started by Gurusaday Dutta in 1932 to preserve traditional art forms, including Lathi Khela?</t>
  </si>
  <si>
    <t>A) Anushilan Samiti, B) Bratachari Movement, C) Shadhona Cultural Circle, D) Bharat Sevashram Sangha</t>
  </si>
  <si>
    <t>B) Bratachari Movement</t>
  </si>
  <si>
    <t>The Bratachari Movement was a cultural initiative aimed at preserving the traditional arts and heritage of Bengal.</t>
  </si>
  <si>
    <t>Which organization is credited with working to revive and promote Lathi Khela in modern Bangladesh?</t>
  </si>
  <si>
    <t>A) Shadhona Cultural Circle, B) Dhaka Anushilan Samiti, C) Bharat Sevashram Sangha, D) The Asiatic Society of Bangladesh</t>
  </si>
  <si>
    <t>A) Shadhona Cultural Circle</t>
  </si>
  <si>
    <t>Shadhona Cultural Circle launched a project to promote Lathi Khela and is seen as a center for its revival.</t>
  </si>
  <si>
    <t>What type of social function did Lathi Khela competitions sometimes serve in the past in rural areas?</t>
  </si>
  <si>
    <t>A) A way to win wealth, B) A method to take or protect land, C) A form of religious sacrifice, D) A form of entertainment</t>
  </si>
  <si>
    <t>B) A method to take or protect land</t>
  </si>
  <si>
    <t>Duels between lathials were sometimes used to settle disputes over land and other possessions.</t>
  </si>
  <si>
    <t>What is a "bari" in the context of Lathi Khela?</t>
  </si>
  <si>
    <t>A) A type of shield, B) A short stick, C) A training ground, D) A fighting style</t>
  </si>
  <si>
    <t>B) A short stick</t>
  </si>
  <si>
    <t>A bari is a shorter stick used in Lathi Khela, sometimes wielded like a bludgeon.</t>
  </si>
  <si>
    <t>What was the name of the institute founded by revolutionary Pulin Behari Das to train young men in Lathi Khela to fight against the British?</t>
  </si>
  <si>
    <t>A) Shadhona Cultural Circle, B) Bangiya Byayam Samiti, C) Bratachari Movement, D) Bharat Sevashram Sangha</t>
  </si>
  <si>
    <t>B) Bangiya Byayam Samiti</t>
  </si>
  <si>
    <t>Pulin Behari Das founded the Bangiya Byayam Samiti to train young men in stick and sword fighting as part of the anti-British resistance.</t>
  </si>
  <si>
    <t>In some South Asian languages, a proverb states: "whoever wields the lathi keeps the..." what?</t>
  </si>
  <si>
    <t>A) Land, B) Money, C) Buffalo, D) House</t>
  </si>
  <si>
    <t>C) Buffalo</t>
  </si>
  <si>
    <t>This proverb illustrates the use of the lathi as a symbol of power and control.</t>
  </si>
  <si>
    <t>Lathi Khela has been noted for its connection to which type of performances during traditional festivals and weddings?</t>
  </si>
  <si>
    <t>A) Musical performances, B) Theatrical plays, C) Mock fights, D) Poetry readings</t>
  </si>
  <si>
    <t>C) Mock fights</t>
  </si>
  <si>
    <t>Lathi Khela is often presented as a choreographed performance with mock fights and rhythmic routines.</t>
  </si>
  <si>
    <t>What kind of community did Lathi Khela skills help protect from bandits and wildlife in antiquity?</t>
  </si>
  <si>
    <t>A) Coastal villages, B) Forest settlements, C) Urban centers, D) Rural countryside</t>
  </si>
  <si>
    <t>D) Rural countryside</t>
  </si>
  <si>
    <t>The martial art emerged as a technique for safeguarding villagers in the countryside from threats like bandits and wild animals.</t>
  </si>
  <si>
    <t>In addition to its role as a martial art, Lathi Khela also served as a means of resolving conflicts over what?</t>
  </si>
  <si>
    <t>A) Family disputes, B) Land or property, C) Debts, D) Personal honor</t>
  </si>
  <si>
    <t>B) Land or property</t>
  </si>
  <si>
    <t>In the past, matches between skilled lathials were organized to peacefully settle disputes over land.</t>
  </si>
  <si>
    <t>What is the primary focus of Lathi Khela techniques beyond combat?</t>
  </si>
  <si>
    <t>A) Physical dexterity, B) Mental concentration, C) Artistic expression, D) Spiritual devotion</t>
  </si>
  <si>
    <t>A) Physical dexterity</t>
  </si>
  <si>
    <t>Lathi Khela is revered as an art form that blends physical dexterity, discipline, and cultural significance.</t>
  </si>
  <si>
    <t>The theatrical displays in Lathi Khela performances are often accompanied by what?</t>
  </si>
  <si>
    <t>A) Chants, B) Traditional drumming, C) Flute music, D) Singing</t>
  </si>
  <si>
    <t>B) Traditional drumming</t>
  </si>
  <si>
    <t>Rhythmic routines and theatrical mock fights are often accompanied by traditional drumming to enhance the performance.</t>
  </si>
  <si>
    <t>Lathi Khela is considered a part of Bangladesh's cultural identity and is cherished as a symbol of what?</t>
  </si>
  <si>
    <t>A) Rural strength and pride, B) Economic prosperity, C) Military might, D) Political power</t>
  </si>
  <si>
    <t>A) Rural strength and pride</t>
  </si>
  <si>
    <t>The martial art has evolved from a martial skill to a symbol of rural strength, bravery, and pride.</t>
  </si>
  <si>
    <t>During which specific festival in Bangladesh is Lathi Khela most often seen?</t>
  </si>
  <si>
    <t>A) Eid, B) Pohela Boishakh, C) Durga Puja, D) Victory Day</t>
  </si>
  <si>
    <t>Lathi Khela demonstrations are often a highlight of celebrations for Pohela Boishakh, the Bengali New Year.</t>
  </si>
  <si>
    <t>Lathi Khela, along with other traditional martial arts, has been historically linked to the need to protect villagers from whom?</t>
  </si>
  <si>
    <t>A) Neighboring countries, B) Zamindars, C) British officials, D) European merchants</t>
  </si>
  <si>
    <t>B) Zamindars</t>
  </si>
  <si>
    <t>The genesis of Bangladeshi martial arts like Lathi Khela has been attributed to the need to protect villagers from powerful zamindars.</t>
  </si>
  <si>
    <t>What does a "Lathial Bahini" refer to?</t>
  </si>
  <si>
    <t>A) A special type of stick, B) A group of lathials, C) A musical instrument, D) A training technique</t>
  </si>
  <si>
    <t>B) A group of lathials</t>
  </si>
  <si>
    <t>A "Lathial Bahini" is a group of lathials who performed acts during festivals.</t>
  </si>
  <si>
    <t>Which social class of people traditionally practiced Lathi Khela and other martial arts in medieval Bengal?</t>
  </si>
  <si>
    <t>A) Nobles, B) Landlords, C) Farmers and youth, D) Intellectuals</t>
  </si>
  <si>
    <t>C) Farmers and youth</t>
  </si>
  <si>
    <t>The art was historically practiced by farmers and young people who formed their own groups to defend their communities.</t>
  </si>
  <si>
    <t>What is a major reason for the dwindling popularity of Lathi Khela today?</t>
  </si>
  <si>
    <t>A) Lack of interest from the youth, B) Ban by the government, C) Increase in modern sports, D) High cost of training</t>
  </si>
  <si>
    <t>A) Lack of interest from the youth</t>
  </si>
  <si>
    <t>The art is experiencing a decline in practitioners and spectators due to a lack of interest from younger generations.</t>
  </si>
  <si>
    <t>What did the annual nationwide Lathi Khela convention in Kushtia, Bangladesh, change to in recent decades due to a drop in practitioners?</t>
  </si>
  <si>
    <t>A) It was moved to Dhaka, B) It was discontinued, C) It became a biennial event, D) It is now held once every three years</t>
  </si>
  <si>
    <t>D) It is now held once every three years</t>
  </si>
  <si>
    <t>The convention's frequency changed from annual to once every three years due to a decline in participation.</t>
  </si>
  <si>
    <t>The "chhuri dance" performed by lathial groups was a mock fight using what?</t>
  </si>
  <si>
    <t>A) Sticks, B) Machetes, C) Knives, D) Swords</t>
  </si>
  <si>
    <t>C) Knives</t>
  </si>
  <si>
    <t>The "chhuri dance" involved a mock fight using knives.</t>
  </si>
  <si>
    <t>What is the purpose of the iron rings that are sometimes bound to the lathi stick at short intervals?</t>
  </si>
  <si>
    <t>A) To make it lighter, B) To make it more decorative, C) To add weight and strength, D) To make it flexible</t>
  </si>
  <si>
    <t>C) To add weight and strength</t>
  </si>
  <si>
    <t>The iron rings add weight and strength to the bamboo stick.</t>
  </si>
  <si>
    <t>What is the historical origin of the lathial groups, who were also known as "stickmen"?</t>
  </si>
  <si>
    <t>A) They were hired as security guards, B) They were religious monks, C) They were travelling performers, D) They were scholars of martial arts</t>
  </si>
  <si>
    <t>A) They were hired as security guards</t>
  </si>
  <si>
    <t>Rich farmers and other eminent people hired lathial groups for security and to symbolize their power.</t>
  </si>
  <si>
    <t>What is the name of the religious movement that incorporated Lathi Khela into its curriculum as a religious virtue and ritual?</t>
  </si>
  <si>
    <t>A) Arya Samaj, B) Bharat Sevashram Sangha, C) Ramakrishna Mission, D) Theosophical Society</t>
  </si>
  <si>
    <t>B) Bharat Sevashram Sangha</t>
  </si>
  <si>
    <t>This religious movement, which started in the early 20th century, teaches Lathi Khela to young monks.</t>
  </si>
  <si>
    <t>What was the primary motivation for revolutionaries like Pulin Behari Das to train young men in Lathi Khela during British rule?</t>
  </si>
  <si>
    <t>A) To prepare them for formal jobs, B) To encourage physical fitness, C) To enable them to fight against British invaders, D) To promote cultural activities</t>
  </si>
  <si>
    <t>C) To enable them to fight against British invaders</t>
  </si>
  <si>
    <t>The training was a form of political resistance against the British.</t>
  </si>
  <si>
    <t>What is a notable difference between Lathi Khela and the Tamil martial art Silambam?</t>
  </si>
  <si>
    <t>A) The material of the stick, B) The length of the stick, C) The style of wielding the stick, D) The purpose of the art form</t>
  </si>
  <si>
    <t>C) The style of wielding the stick</t>
  </si>
  <si>
    <t>In Silambam, the grip is different from Lathi Khela, where the right hand holds the lower end of the stick.</t>
  </si>
  <si>
    <t>What did the British colonial government do to Lathi Khela that made it an exception to their general suppression of martial arts?</t>
  </si>
  <si>
    <t>A) They funded its development, B) They used it for tax collection, C) They made it mandatory, D) They ignored it completely</t>
  </si>
  <si>
    <t>B) They used it for tax collection</t>
  </si>
  <si>
    <t>The British accepted Lathi Khela because it facilitated tax collection through intimidation by the lathials.</t>
  </si>
  <si>
    <t>Which chakra is considered the center of energy for a Lathi Khela practitioner?</t>
  </si>
  <si>
    <t>A) Root chakra, B) Sacral chakra, C) Heart chakra, D) Throat chakra</t>
  </si>
  <si>
    <t>C) Heart chakra</t>
  </si>
  <si>
    <t>In Lathi Khela, the center of energy is the heart chakra, and practitioners fight in a more upright position.</t>
  </si>
  <si>
    <t>In medieval Bengal, lathials were often used to defend the fiefdoms of which group?</t>
  </si>
  <si>
    <t>A) Zamindars, B) Villagers, C) Revolutionaries, D) Soldiers</t>
  </si>
  <si>
    <t>A) Zamindars</t>
  </si>
  <si>
    <t>Zamindars, or feudal lords, employed lathial groups to defend their territories.</t>
  </si>
  <si>
    <t>What is the significance of the "Chhuri dance" in the context of Lathi Khela?</t>
  </si>
  <si>
    <t>A) It is a type of ceremonial dance, B) It is a mock fight with sharp weapons, C) It is a solo performance, D) It is a type of training exercise</t>
  </si>
  <si>
    <t>B) It is a mock fight with sharp weapons</t>
  </si>
  <si>
    <t>The "Chhuri dance" is a performance of mock fights using sharp weapons like knives.</t>
  </si>
  <si>
    <t>What is the term for the "mock fight" in Lathi Khela?</t>
  </si>
  <si>
    <t>A) Khela, B) Nori Bari, C) Lathial, D) Samiti</t>
  </si>
  <si>
    <t>B) Nori Bari</t>
  </si>
  <si>
    <t>"Nori Bari" is the term for a mock fight with sticks in Lathi Khela.</t>
  </si>
  <si>
    <t>In what specific way did Lathi Khela demonstrate its adaptability throughout its history?</t>
  </si>
  <si>
    <t>A) It was used in both warfare and as a sport, B) It was practiced by both men and women, C) It was used as a form of protest, D) It was integrated into religious rituals</t>
  </si>
  <si>
    <t>A) It was used in both warfare and as a sport</t>
  </si>
  <si>
    <t>Throughout history, Lathi Khela has served both as a martial art for defense and as a form of sport or martial dance.</t>
  </si>
  <si>
    <t>What traditional role of Lathi Khela has significantly diminished due to the changing socio-political and economic environment?</t>
  </si>
  <si>
    <t>A) Cultural performance, B) Community festival, C) Self-defense and conflict resolution, D) Physical exercise</t>
  </si>
  <si>
    <t>C) Self-defense and conflict resolution</t>
  </si>
  <si>
    <t>Lathi Khela's role in resolving disputes and providing security has waned as social landscapes have shifted.</t>
  </si>
  <si>
    <t>What is the common theme of the rhythmic routines in Lathi Khela performances today?</t>
  </si>
  <si>
    <t>A) Storytelling, B) Complex maneuvers and footwork, C) Depicting a historical battle, D) Mimicking animal movements</t>
  </si>
  <si>
    <t>B) Complex maneuvers and footwork</t>
  </si>
  <si>
    <t>Modern performances showcase the practitioner's agility and skill through rhythmic routines involving coordinated footwork and movements.</t>
  </si>
  <si>
    <t>What is one of the reasons for the decline of Lathi Khela during the British rule?</t>
  </si>
  <si>
    <t>A) Lack of teachers, B) Government suppression, C) Lack of interest, D) Poverty</t>
  </si>
  <si>
    <t>B) Government suppression</t>
  </si>
  <si>
    <t>The British colonial government often suppressed traditional martial arts, viewing them as a potential threat.</t>
  </si>
  <si>
    <t>What is a core element of Lathi Khela that has been passed down through generations?</t>
  </si>
  <si>
    <t>A) A set of strict rules, B) The martial skills and traditions, C) A secret language, D) A specific uniform</t>
  </si>
  <si>
    <t>B) The martial skills and traditions</t>
  </si>
  <si>
    <t>Lathi Khela is a living example of how traditional martial skills have been passed down through generations in the region.</t>
  </si>
  <si>
    <t>What is a notable characteristic of the lathi stick used in this martial art?</t>
  </si>
  <si>
    <t>A) It is always metal-tipped, B) It is made of hardwood, C) It is usually longer than the user's height, D) It has a curved end</t>
  </si>
  <si>
    <t>C) It is usually longer than the user's height</t>
  </si>
  <si>
    <t>Lathi sticks are often slightly longer than the practitioner's height to provide better reach and leverage.</t>
  </si>
  <si>
    <t>The practice of Lathi Khela has been noted to build which physical skills?</t>
  </si>
  <si>
    <t>A) Flexibility and endurance, B) Core strength and reflexes, C) Hand-eye coordination and speed, D) Agility and jumping ability</t>
  </si>
  <si>
    <t>B) Core strength and reflexes</t>
  </si>
  <si>
    <t>The movements in Lathi Khela training help enhance a practitioner's core strength, reflexes, and mental focus.</t>
  </si>
  <si>
    <t>What kind of music is typically used to accompany Lathi Khela performances?</t>
  </si>
  <si>
    <t>A) Modern electronic music, B) Traditional drumming, C) Folk songs with a lute, D) Classical Indian music</t>
  </si>
  <si>
    <t>The rhythmic displays and mock fights are often accompanied by the powerful beat of traditional drums.</t>
  </si>
  <si>
    <t>In the past, Lathi Khela was a proving ground for which rite of passage for young men in rural areas?</t>
  </si>
  <si>
    <t>A) Entering a guild, B) Gaining independence, C) Showing readiness for manhood, D) Joining a military</t>
  </si>
  <si>
    <t>C) Showing readiness for manhood</t>
  </si>
  <si>
    <t>Lathi Khela was historically used to test courage and readiness for manhood among rural youth.</t>
  </si>
  <si>
    <t>What is the significance of the "Sardar Khela" which is another name for Lathi Khela in some regions?</t>
  </si>
  <si>
    <t>A) It is a competition between leaders, B) It means "game of the chiefs," C) It is a team-based sport, D) It is a type of dance</t>
  </si>
  <si>
    <t>B) It means "game of the chiefs,"</t>
  </si>
  <si>
    <t>The term "Sardar Khela" translates to "game of the chiefs," reflecting its historical link to powerful village leaders.</t>
  </si>
  <si>
    <t>Why did the British colonial government tolerate Lathi Khela compared to other traditional martial arts?</t>
  </si>
  <si>
    <t>A) It was not seen as a threat, B) It was seen as a way to control the populace, C) It was a source of entertainment for them, D) It was too difficult to suppress</t>
  </si>
  <si>
    <t>B) It was seen as a way to control the populace</t>
  </si>
  <si>
    <t>The British found Lathi Khela useful for tax collection, which facilitated their rule, so they did not suppress it.</t>
  </si>
  <si>
    <t>What is a core value that Lathi Khela training and practice is believed to instill in practitioners?</t>
  </si>
  <si>
    <t>A) Patience, B) Respect for culture and opponent, C) Humility, D) Ambition</t>
  </si>
  <si>
    <t>B) Respect for culture and opponent</t>
  </si>
  <si>
    <t>The deep respect for both culture and the opponent is considered a key value inherent in the practice of Lathi Khela.</t>
  </si>
  <si>
    <t>The decline of Lathi Khela is seen by some researchers as a result of what?</t>
  </si>
  <si>
    <t>A) The lack of government support, B) The absence of a systematized method for preservation, C) The rise of new religions, D) The popularity of cinema</t>
  </si>
  <si>
    <t>B) The absence of a systematized method for preservation</t>
  </si>
  <si>
    <t>Researchers argue that a lack of structured research and preservation efforts has contributed to the art's decline.</t>
  </si>
  <si>
    <t>In ancient Bengal, what was the primary purpose of Lathi Khela beyond self-defense?</t>
  </si>
  <si>
    <t>A) To practice military strategies, B) To protect livestock, C) To impress women, D) To show off strength</t>
  </si>
  <si>
    <t>A) To practice military strategies</t>
  </si>
  <si>
    <t>The art was used for training warriors and practicing military techniques.</t>
  </si>
  <si>
    <t>The term "Halwa" in Lathi Khela refers to which specific technique?</t>
  </si>
  <si>
    <t>A) A defensive block, B) A stick-rotating technique, C) A fighting technique with two hands, D) A jumping attack</t>
  </si>
  <si>
    <t>C) A fighting technique with two hands</t>
  </si>
  <si>
    <t>"Halwa" is a fighting technique where the practitioner holds one end of the stick with both hands and wields it with full strength.</t>
  </si>
  <si>
    <t>In what context is Lathi Khela still preserved in some religious circles in Bangladesh?</t>
  </si>
  <si>
    <t>A) As a form of meditation, B) As a required subject for young monks, C) As a part of daily prayers, D) As a form of physical sacrifice</t>
  </si>
  <si>
    <t>B) As a required subject for young monks</t>
  </si>
  <si>
    <t>The Bharat Sevashram Sangha has a curriculum of Lathi Khela training for young monks as a religious virtue and ritual.</t>
  </si>
  <si>
    <t>What is the name of the stick-rotating technique in Lathi Khela?</t>
  </si>
  <si>
    <t>A) Halwa, B) Nori Bari, C) Banethi, D) Baoi Jhak</t>
  </si>
  <si>
    <t>C) Banethi</t>
  </si>
  <si>
    <t>"Banethi" is a stick-rotating technique where the stick is held with one or two hands and rotated at high speed.</t>
  </si>
  <si>
    <t>What is a key characteristic of the bamboo used for a lathi that makes it suitable for fighting?</t>
  </si>
  <si>
    <t>A) Its weight, B) Its flexibility and strength, C) Its color, D) Its texture</t>
  </si>
  <si>
    <t>B) Its flexibility and strength</t>
  </si>
  <si>
    <t>The male bamboo used for lathis is strong yet flexible, which is ideal for the martial art.</t>
  </si>
  <si>
    <t>What specific historical evidence suggests that Lathi Khela was accepted by the British colonial government?</t>
  </si>
  <si>
    <t>A) They included it in the police force, B) They never banned it, C) They used lathials to collect taxes, D) They provided funding for it</t>
  </si>
  <si>
    <t>C) They used lathials to collect taxes</t>
  </si>
  <si>
    <t>Unlike other arts, the British accepted Lathi Khela as a tool for enforcing their tax collection process.</t>
  </si>
  <si>
    <t>The history of Lathi Khela is deeply intertwined with which social and political factors in Bengal?</t>
  </si>
  <si>
    <t>A) Land disputes and tax collection, B) Religious conflicts and trade, C) Education and urbanization, D) Industrialization and economic growth</t>
  </si>
  <si>
    <t>A) Land disputes and tax collection</t>
  </si>
  <si>
    <t>The martial art's use by zamindars for tax collection and land disputes is a significant part of its history.</t>
  </si>
  <si>
    <t>The practitioners of Lathi Khela were believed to be dreaded by whom during the British colonial era?</t>
  </si>
  <si>
    <t>A) The Mughals, B) British soldiers, C) Other martial artists, D) Village chiefs</t>
  </si>
  <si>
    <t>B) British soldiers</t>
  </si>
  <si>
    <t>The agility and strength of the lathials made them a formidable force, feared even by the British.</t>
  </si>
  <si>
    <t>In what way did Lathi Khela help in promoting physical fitness in rural communities?</t>
  </si>
  <si>
    <t>A) By providing entertainment, B) By building core strength and agility, C) By training for farming, D) By teaching self-discipline</t>
  </si>
  <si>
    <t>B) By building core strength and agility</t>
  </si>
  <si>
    <t>The rigorous training in Lathi Khela enhanced physical endurance, reflexes, and mental focus.</t>
  </si>
  <si>
    <t>What is the term for the martial art of machete fighting that was also practiced by lathial groups?</t>
  </si>
  <si>
    <t>A) Fara Khela, B) Dao Khela, C) Chhuri Khela, D) Nori Bari</t>
  </si>
  <si>
    <t>B) Dao Khela</t>
  </si>
  <si>
    <t>"Dao Khela" is the term for machete fighting, which was also part of a lathial's training.</t>
  </si>
  <si>
    <t>In which district of Bangladesh have women recently started to join the practice of Lathi Khela?</t>
  </si>
  <si>
    <t>A) Dhaka, B) Narail, C) Sylhet, D) Chittagong</t>
  </si>
  <si>
    <t>B) Narail</t>
  </si>
  <si>
    <t>In the Narail district, women have started to join the practice, which was traditionally male-dominated.</t>
  </si>
  <si>
    <t>What is the primary characteristic of Lathi Khela that sets it apart from other cultural performances?</t>
  </si>
  <si>
    <t>A) Its use of music, B) Its focus on group performances, C) Its historical link to martial skills, D) Its use of traditional clothing</t>
  </si>
  <si>
    <t>C) Its historical link to martial skills</t>
  </si>
  <si>
    <t>Lathi Khela is unique in that it evolved from a martial art, unlike many other traditional dances.</t>
  </si>
  <si>
    <t>The decline of Lathi Khela in the 20th century was largely due to the rise of what?</t>
  </si>
  <si>
    <t>A) Modern sports, B) Political unrest, C) Firearms and modernization, D) Social media</t>
  </si>
  <si>
    <t>C) Firearms and modernization</t>
  </si>
  <si>
    <t>The advent of guns and other firearms made traditional stick fighting less practical, contributing to its decline.</t>
  </si>
  <si>
    <t>What does Lathi Khela stand as a testament to today?</t>
  </si>
  <si>
    <t>A) The military history of Bengal, B) The power of martial arts, C) The resilience and inventiveness of the Bengali people, D) The importance of traditional farming</t>
  </si>
  <si>
    <t>C) The resilience and inventiveness of the Bengali people</t>
  </si>
  <si>
    <t>The continued existence of Lathi Khela is a testament to the resilience and creativity of the Bengali people.</t>
  </si>
  <si>
    <t>What is the key difference between the Lathi Khela technique and some other stick-fighting arts?</t>
  </si>
  <si>
    <t>A) The use of two sticks at once, B) The upright fighting position, C) The use of a shield, D) The focus on footwork</t>
  </si>
  <si>
    <t>B) The upright fighting position</t>
  </si>
  <si>
    <t>Lathi Khela practitioners typically fight in a more upright position, with the heart chakra as the center of energy.</t>
  </si>
  <si>
    <t>What is the origin of the sport Nouka Baich?</t>
  </si>
  <si>
    <t>A) India, B) Bangladesh, C) Sri Lanka, D) Myanmar</t>
  </si>
  <si>
    <t>Nouka Baich originated in Bangladesh, reflecting the country's rich maritime culture.</t>
  </si>
  <si>
    <t>Which river is most associated with Nouka Baich in Bangladesh?</t>
  </si>
  <si>
    <t>A) Ganges, B) Meghna, C) Jamuna, D) Padma</t>
  </si>
  <si>
    <t>D) Padma</t>
  </si>
  <si>
    <t>The Padma River, a major waterway in Bangladesh, hosts numerous Nouka Baich events.</t>
  </si>
  <si>
    <t>During which season is Nouka Baich most commonly held?</t>
  </si>
  <si>
    <t>A) Summer, B) Winter, C) Monsoon, D) Autumn</t>
  </si>
  <si>
    <t>C) Monsoon</t>
  </si>
  <si>
    <t>Nouka Baich is typically held during the monsoon season when rivers are at their fullest.</t>
  </si>
  <si>
    <t>What type of boats are used in Nouka Baich?</t>
  </si>
  <si>
    <t>A) Wooden boats, B) Metal boats, C) Plastic boats, D) Rubber boats</t>
  </si>
  <si>
    <t>A) Wooden boats</t>
  </si>
  <si>
    <t>Traditional wooden boats, often crafted by local artisans, are used in Nouka Baich races.</t>
  </si>
  <si>
    <t>Which is a key cultural aspect of Nouka Baich?</t>
  </si>
  <si>
    <t>A) Celebration of harvest, B) Religious rituals, C) Boat craftsmanship, D) Agricultural practices</t>
  </si>
  <si>
    <t>C) Boat craftsmanship</t>
  </si>
  <si>
    <t>Nouka Baich celebrates the craftsmanship and skills of boatbuilders in the region.</t>
  </si>
  <si>
    <t>Who are the primary participants in Nouka Baich?</t>
  </si>
  <si>
    <t>A) Fishermen, B) Farmers, C) Sailors, D) Students</t>
  </si>
  <si>
    <t>A) Fishermen</t>
  </si>
  <si>
    <t>Fishermen, who are skilled in navigating rivers, are the main participants in Nouka Baich.</t>
  </si>
  <si>
    <t>Which region in Bangladesh is renowned for Nouka Baich?</t>
  </si>
  <si>
    <t>A) Sylhet, B) Chittagong, C) Khulna, D) Barisal</t>
  </si>
  <si>
    <t>D) Barisal</t>
  </si>
  <si>
    <t>Barisal, located in the southern part of Bangladesh, is famous for its Nouka Baich competitions.</t>
  </si>
  <si>
    <t>What is the primary purpose of Nouka Baich festivals?</t>
  </si>
  <si>
    <t>A) Entertainment, B) Agricultural celebration, C) Religious offering, D) Seasonal fishing</t>
  </si>
  <si>
    <t>A) Entertainment</t>
  </si>
  <si>
    <t>Nouka Baich is primarily an entertainment event, providing a spectacle of skill and speed.</t>
  </si>
  <si>
    <t>What type of race format is used in Nouka Baich?</t>
  </si>
  <si>
    <t>A) Long-distance, B) Sprint, C) Relay, D) Team event</t>
  </si>
  <si>
    <t>B) Sprint</t>
  </si>
  <si>
    <t>Nouka Baich is typically a sprint race, testing the speed and stamina of rowers.</t>
  </si>
  <si>
    <t>Which of the following is a traditional feature of Nouka Baich races?</t>
  </si>
  <si>
    <t>A) Rowing with a single oar, B) Singing folk songs, C) Dancing, D) Fireworks display</t>
  </si>
  <si>
    <t>B) Singing folk songs</t>
  </si>
  <si>
    <t>Participants and spectators often sing traditional folk songs during Nouka Baich.</t>
  </si>
  <si>
    <t>Which of the following best describes the social aspect of Nouka Baich?</t>
  </si>
  <si>
    <t>A) Elite competition, B) Community event, C) Political rally, D) Commercial exhibition</t>
  </si>
  <si>
    <t>B) Community event</t>
  </si>
  <si>
    <t>Nouka Baich is a community event that brings people together, fostering local pride and unity.</t>
  </si>
  <si>
    <t>How long has Nouka Baich been practiced in Bangladesh?</t>
  </si>
  <si>
    <t>A) For over 50 years, B) For over 100 years, C) For over 500 years, D) For over 1000 years</t>
  </si>
  <si>
    <t>C) For over 500 years</t>
  </si>
  <si>
    <t>Nouka Baich has a history spanning over 500 years in the rivers of Bangladesh.</t>
  </si>
  <si>
    <t>Which is a traditional boat feature in Nouka Baich?</t>
  </si>
  <si>
    <t>A) Canopy, B) Flat bottom, C) Sail, D) Engine</t>
  </si>
  <si>
    <t>B) Flat bottom</t>
  </si>
  <si>
    <t>The flat bottom of the boat allows for better maneuverability in shallow waters.</t>
  </si>
  <si>
    <t>What is a common prize for winners of Nouka Baich?</t>
  </si>
  <si>
    <t>A) Cash, B) Land, C) Traditional goods, D) Livestock</t>
  </si>
  <si>
    <t>A) Cash</t>
  </si>
  <si>
    <t>Winners of Nouka Baich races often receive cash prizes or local accolades.</t>
  </si>
  <si>
    <t>Which of the following best describes the relationship between Nouka Baich and the local economy?</t>
  </si>
  <si>
    <t>A) Tourism-driven, B) Agricultural-driven, C) Industrial-driven, D) Services-driven</t>
  </si>
  <si>
    <t>A) Tourism-driven</t>
  </si>
  <si>
    <t>Nouka Baich attracts tourists, boosting the local economy during the festival season.</t>
  </si>
  <si>
    <t>What is a key challenge for participants in Nouka Baich?</t>
  </si>
  <si>
    <t>A) River currents, B) Boat stability, C) Weather conditions, D) All of the above</t>
  </si>
  <si>
    <t>Participants face challenges from river currents, boat stability, and unpredictable weather.</t>
  </si>
  <si>
    <t>How are boats typically decorated for Nouka Baich?</t>
  </si>
  <si>
    <t>A) With flags, B) With flowers, C) With paint, D) All of the above</t>
  </si>
  <si>
    <t>Boats are often decorated with flags, flowers, and paint to enhance their visual appeal during the race.</t>
  </si>
  <si>
    <t>Which river is considered a major venue for large-scale Nouka Baich races?</t>
  </si>
  <si>
    <t>A) Ganges, B) Brahmaputra, C) Meghna, D) Padma</t>
  </si>
  <si>
    <t>The Padma River hosts some of the largest and most competitive Nouka Baich races.</t>
  </si>
  <si>
    <t>What is the most popular time for holding Nouka Baich?</t>
  </si>
  <si>
    <t>A) During national holidays, B) After the harvest season, C) During festivals, D) In the summer months</t>
  </si>
  <si>
    <t>Nouka Baich is often held during festivals, when communities are celebrating and gathering.</t>
  </si>
  <si>
    <t>What skill is most important for success in Nouka Baich?</t>
  </si>
  <si>
    <t>A) Swimming, B) Rowing technique, C) Speed, D) Strategy</t>
  </si>
  <si>
    <t>B) Rowing technique</t>
  </si>
  <si>
    <t>The ability to row efficiently and in sync with teammates is crucial for success in Nouka Baich.</t>
  </si>
  <si>
    <t>What role do spectators play in Nouka Baich events?</t>
  </si>
  <si>
    <t>A) None, B) Judging, C) Cheering and supporting, D) Organizing the race</t>
  </si>
  <si>
    <t>C) Cheering and supporting</t>
  </si>
  <si>
    <t>Spectators play a key role in cheering on participants and contributing to the lively atmosphere.</t>
  </si>
  <si>
    <t>What cultural importance does Nouka Baich hold in Bangladesh?</t>
  </si>
  <si>
    <t>A) Symbol of unity, B) Symbol of power, C) Symbol of wealth, D) Symbol of strength</t>
  </si>
  <si>
    <t>Nouka Baich symbolizes unity, bringing together people from different backgrounds and communities.</t>
  </si>
  <si>
    <t>Which part of Bangladesh is considered the heartland of Nouka Baich?</t>
  </si>
  <si>
    <t>A) Dhaka, B) Barisal, C) Sylhet, D) Chittagong</t>
  </si>
  <si>
    <t>B) Barisal</t>
  </si>
  <si>
    <t>Barisal is known as the heartland of Nouka Baich, where it has deep cultural significance.</t>
  </si>
  <si>
    <t>How are the boats typically powered in Nouka Baich?</t>
  </si>
  <si>
    <t>A) Oars, B) Motors, C) Winds, D) Paddles</t>
  </si>
  <si>
    <t>A) Oars</t>
  </si>
  <si>
    <t>Boats in Nouka Baich are traditionally powered by oars, requiring great skill from rowers.</t>
  </si>
  <si>
    <t>What is a common theme of the folk songs sung during Nouka Baich?</t>
  </si>
  <si>
    <t>A) Romance, B) War, C) Nature, D) Boats and rivers</t>
  </si>
  <si>
    <t>D) Boats and rivers</t>
  </si>
  <si>
    <t>Folk songs often celebrate the beauty and challenges of rivers and boats, central to Nouka Baich.</t>
  </si>
  <si>
    <t>What other sport is often combined with Nouka Baich during festivals?</t>
  </si>
  <si>
    <t>A) Kabaddi, B) Wrestling, C) Cricket, D) Football</t>
  </si>
  <si>
    <t>Kabaddi is frequently held alongside Nouka Baich, creating a multifaceted cultural event.</t>
  </si>
  <si>
    <t>What is the ideal water condition for Nouka Baich races?</t>
  </si>
  <si>
    <t>A) Calm, B) Rough, C) Shallow, D) Flooded</t>
  </si>
  <si>
    <t>A) Calm</t>
  </si>
  <si>
    <t>Calm waters are ideal for Nouka Baich as they allow for faster and more controlled racing.</t>
  </si>
  <si>
    <t>What year is considered the traditional beginning of Nouka Baich races in Bangladesh?</t>
  </si>
  <si>
    <t>A) 1500s, B) 1600s, C) 1700s, D) 1800s</t>
  </si>
  <si>
    <t>B) 1600s</t>
  </si>
  <si>
    <t>Nouka Baich races are believed to have begun in the 1600s, drawing from maritime traditions.</t>
  </si>
  <si>
    <t>What event often precedes the Nouka Baich races?</t>
  </si>
  <si>
    <t>A) Harvest festival, B) Independence Day, C) Religious ceremonies, D) Fishing season</t>
  </si>
  <si>
    <t>Nouka Baich races often take place as part of the celebrations during the harvest festival.</t>
  </si>
  <si>
    <t>Which of the following is a key traditional feature of Nouka Baich races?</t>
  </si>
  <si>
    <t>A) Religious rituals, B) Boat decorations, C) Animal sacrifices, D) Team dances</t>
  </si>
  <si>
    <t>B) Boat decorations</t>
  </si>
  <si>
    <t>Boats are beautifully decorated with colors, flags, and other adornments before the race.</t>
  </si>
  <si>
    <t>What role do local artisans play in Nouka Baich?</t>
  </si>
  <si>
    <t>A) Organizing the race, B) Creating boats, C) Managing the spectators, D) Singing traditional songs</t>
  </si>
  <si>
    <t>B) Creating boats</t>
  </si>
  <si>
    <t>Local artisans craft the traditional boats used in Nouka Baich, showcasing their craftsmanship.</t>
  </si>
  <si>
    <t>What is the significance of the shape of the boats used in Nouka Baich?</t>
  </si>
  <si>
    <t>A) They are aerodynamic, B) They are flat-bottomed for stability, C) They are pointed for speed, D) They are round for buoyancy</t>
  </si>
  <si>
    <t>B) They are flat-bottomed for stability</t>
  </si>
  <si>
    <t>Flat-bottomed boats offer greater stability, allowing rowers to race effectively in shallow waters.</t>
  </si>
  <si>
    <t>Which is a major challenge for participants in Nouka Baich races?</t>
  </si>
  <si>
    <t>A) River pollution, B) Strong river currents, C) Lack of spectators, D) High temperatures</t>
  </si>
  <si>
    <t>B) Strong river currents</t>
  </si>
  <si>
    <t>Strong river currents can make the races more challenging, requiring skillful navigation.</t>
  </si>
  <si>
    <t>What traditional attire do participants wear during Nouka Baich?</t>
  </si>
  <si>
    <t>A) T-shirts and shorts, B) Traditional lungis and kurtas, C) Formal clothing, D) Military-style uniforms</t>
  </si>
  <si>
    <t>B) Traditional lungis and kurtas</t>
  </si>
  <si>
    <t>Participants typically wear traditional lungis and kurtas, reflecting cultural heritage.</t>
  </si>
  <si>
    <t>How long do the Nouka Baich races usually last?</t>
  </si>
  <si>
    <t>A) 10-15 minutes, B) 30-45 minutes, C) 1-2 hours, D) 5-10 minutes</t>
  </si>
  <si>
    <t>A) 10-15 minutes</t>
  </si>
  <si>
    <t>The races are usually short sprints, lasting 10-15 minutes depending on the river conditions.</t>
  </si>
  <si>
    <t>What is the traditional music played during Nouka Baich?</t>
  </si>
  <si>
    <t>A) Classical instrumental, B) Folk songs, C) Modern pop music, D) Patriotic anthems</t>
  </si>
  <si>
    <t>B) Folk songs</t>
  </si>
  <si>
    <t>Traditional folk songs are sung, often accompanying the rhythm of the paddles during the race.</t>
  </si>
  <si>
    <t>Which region in Bangladesh is known for organizing the largest Nouka Baich events?</t>
  </si>
  <si>
    <t>A) Dhaka, B) Barisal, C) Chittagong, D) Khulna</t>
  </si>
  <si>
    <t>Barisal is famous for organizing large-scale Nouka Baich events, attracting thousands of spectators.</t>
  </si>
  <si>
    <t>Which of the following best describes the water used in Nouka Baich?</t>
  </si>
  <si>
    <t>A) Saltwater, B) Freshwater, C) Stagnant water, D) Both salt and freshwater</t>
  </si>
  <si>
    <t>B) Freshwater</t>
  </si>
  <si>
    <t>Nouka Baich takes place in freshwater rivers, providing ideal conditions for the races.</t>
  </si>
  <si>
    <t>What is the significance of the team formation in Nouka Baich?</t>
  </si>
  <si>
    <t>A) Only one rower is important, B) Teamwork is crucial, C) Individual strength is key, D) There is no specific formation</t>
  </si>
  <si>
    <t>B) Teamwork is crucial</t>
  </si>
  <si>
    <t>Teamwork is vital, as synchronized rowing can greatly enhance the boat's speed and stability.</t>
  </si>
  <si>
    <t>What is the primary role of the leader in a Nouka Baich team?</t>
  </si>
  <si>
    <t>A) Singing folk songs, B) Navigating the boat, C) Directing the rowing rhythm, D) Decorating the boat</t>
  </si>
  <si>
    <t>C) Directing the rowing rhythm</t>
  </si>
  <si>
    <t>The leader ensures the rowing rhythm is synchronized, which is essential for a successful race.</t>
  </si>
  <si>
    <t>What is a common way to celebrate a Nouka Baich victory?</t>
  </si>
  <si>
    <t>A) Fireworks, B) Feasting, C) Public parade, D) Animal sacrifice</t>
  </si>
  <si>
    <t>B) Feasting</t>
  </si>
  <si>
    <t>Winners of Nouka Baich are often celebrated with communal feasts as part of the festivities.</t>
  </si>
  <si>
    <t>How does Nouka Baich contribute to the local economy?</t>
  </si>
  <si>
    <t>A) Boosts tourism, B) Increases agricultural output, C) Promotes fish trade, D) Supports industrial growth</t>
  </si>
  <si>
    <t>A) Boosts tourism</t>
  </si>
  <si>
    <t>What kind of spectatorship surrounds Nouka Baich?</t>
  </si>
  <si>
    <t>A) It is a silent event, B) Spectators are actively involved in the race, C) It attracts thousands of cheering spectators, D) It is broadcasted on TV</t>
  </si>
  <si>
    <t>C) It attracts thousands of cheering spectators</t>
  </si>
  <si>
    <t>Nouka Baich is an event filled with cheering spectators, adding to the excitement of the races.</t>
  </si>
  <si>
    <t>Which of the following best describes the nature of the boats in Nouka Baich?</t>
  </si>
  <si>
    <t>A) High-tech speedboats, B) Traditional wooden boats, C) Inflatable boats, D) Canoes</t>
  </si>
  <si>
    <t>B) Traditional wooden boats</t>
  </si>
  <si>
    <t>Nouka Baich uses traditional wooden boats, handcrafted to suit the specific needs of the race.</t>
  </si>
  <si>
    <t>What is the role of the riverbanks in the Nouka Baich event?</t>
  </si>
  <si>
    <t>A) They are used for resting, B) They provide space for spectators, C) They are the race course itself, D) They are used for commercial activities</t>
  </si>
  <si>
    <t>B) They provide space for spectators</t>
  </si>
  <si>
    <t>The riverbanks are lined with spectators who come to watch and cheer for their favorite teams.</t>
  </si>
  <si>
    <t>How does Nouka Baich reflect the cultural heritage of Bangladesh?</t>
  </si>
  <si>
    <t>A) It is a modern sport, B) It showcases traditional boat-building techniques, C) It celebrates foreign influences, D) It has no cultural significance</t>
  </si>
  <si>
    <t>B) It showcases traditional boat-building techniques</t>
  </si>
  <si>
    <t>Nouka Baich showcases the rich heritage of boat-building in Bangladesh, an important part of its maritime history.</t>
  </si>
  <si>
    <t>What was the original purpose of the boat races in Nouka Baich?</t>
  </si>
  <si>
    <t>A) Military training, B) Seasonal fishing, C) Celebrating river gods, D) Entertainment</t>
  </si>
  <si>
    <t>B) Seasonal fishing</t>
  </si>
  <si>
    <t>Originally, boat races like Nouka Baich were linked to fishing and testing the speed of boats in preparation for the season.</t>
  </si>
  <si>
    <t>What is the main characteristic that distinguishes Nouka Baich from other boat races globally?</t>
  </si>
  <si>
    <t>A) It is the longest race, B) It involves traditional boats, C) It is held only at night, D) It is an international competition</t>
  </si>
  <si>
    <t>B) It involves traditional boats</t>
  </si>
  <si>
    <t>Nouka Baich is distinguished by its use of traditional boats, which are handcrafted and unique to the region.</t>
  </si>
  <si>
    <t>Which historical figure is associated with popularizing Nouka Baich?</t>
  </si>
  <si>
    <t>A) Sher Ali Khan, B) Fakir Lalon Shah, C) Rabindranath Tagore, D) Sheikh Mujibur Rahman</t>
  </si>
  <si>
    <t>B) Fakir Lalon Shah</t>
  </si>
  <si>
    <t>Fakir Lalon Shah, a prominent figure in Bengali culture, is sometimes credited with popularizing Nouka Baich.</t>
  </si>
  <si>
    <t>Which type of music plays a significant role in creating the atmosphere during Nouka Baich?</t>
  </si>
  <si>
    <t>A) Classical music, B) Folk songs, C) Bollywood tunes, D) Hip-hop</t>
  </si>
  <si>
    <t>Folk songs are integral to the atmosphere, adding to the cultural ambiance during the races.</t>
  </si>
  <si>
    <t>What kind of rewards are typically given to the winners of Nouka Baich?</t>
  </si>
  <si>
    <t>A) Monetary prizes, B) Trophies, C) Land or property, D) Recognition and feasts</t>
  </si>
  <si>
    <t>D) Recognition and feasts</t>
  </si>
  <si>
    <t>Winners are often celebrated with public recognition and community feasts, rather than monetary prizes.</t>
  </si>
  <si>
    <t>What is the role of the steering rower in Nouka Baich?</t>
  </si>
  <si>
    <t>A) They control the direction of the boat, B) They increase speed, C) They sing songs, D) They maintain balance</t>
  </si>
  <si>
    <t>A) They control the direction of the boat</t>
  </si>
  <si>
    <t>The steering rower is responsible for guiding the boat, ensuring it stays on course during the race.</t>
  </si>
  <si>
    <t>Nouka Baich has been traditionally held during which season in Bangladesh?</t>
  </si>
  <si>
    <t>A) Winter, B) Monsoon, C) Summer, D) Spring</t>
  </si>
  <si>
    <t>Nouka Baich races are often held during the monsoon season when rivers are full, making them ideal for boat racing.</t>
  </si>
  <si>
    <t>Which type of boat is most commonly used in Nouka Baich?</t>
  </si>
  <si>
    <t>A) Dinghy, B) Sampan, C) Longboat, D) Canoe</t>
  </si>
  <si>
    <t>C) Longboat</t>
  </si>
  <si>
    <t>Longboats are commonly used in Nouka Baich due to their speed and ability to hold large teams.</t>
  </si>
  <si>
    <t>Nouka Baich is especially popular in which division of Bangladesh?</t>
  </si>
  <si>
    <t>A) Dhaka, B) Sylhet, C) Barisal, D) Rangpur</t>
  </si>
  <si>
    <t>C) Barisal</t>
  </si>
  <si>
    <t>Barisal is particularly known for its vibrant Nouka Baich events, attracting large crowds.</t>
  </si>
  <si>
    <t>How many rowers typically participate in a Nouka Baich team?</t>
  </si>
  <si>
    <t>A) 10-20, B) 25-50, C) 50-100, D) 100-200</t>
  </si>
  <si>
    <t>B) 25-50</t>
  </si>
  <si>
    <t>Nouka Baich boats often have between 25 and 50 rowers working in unison.</t>
  </si>
  <si>
    <t>In the past, Nouka Baich races were organized as part of which type of event?</t>
  </si>
  <si>
    <t>A) Agricultural fairs, B) Religious ceremonies, C) Royal festivities, D) Political gatherings</t>
  </si>
  <si>
    <t>A) Agricultural fairs</t>
  </si>
  <si>
    <t>Nouka Baich races were traditionally held during agricultural fairs, celebrating the harvest season.</t>
  </si>
  <si>
    <t>Which famous river in Bangladesh often hosts Nouka Baich events?</t>
  </si>
  <si>
    <t>A) Meghna, B) Padma, C) Jamuna, D) Surma</t>
  </si>
  <si>
    <t>B) Padma</t>
  </si>
  <si>
    <t>The Padma River is one of the prominent locations for Nouka Baich races in Bangladesh.</t>
  </si>
  <si>
    <t>Nouka Baich dates back to which era in Bengali history?</t>
  </si>
  <si>
    <t>A) Pre-colonial, B) Colonial, C) Post-independence, D) Modern</t>
  </si>
  <si>
    <t>A) Pre-colonial</t>
  </si>
  <si>
    <t>Nouka Baich has its origins in pre-colonial times, deeply rooted in Bengali tradition.</t>
  </si>
  <si>
    <t>Nouka Baich is organized to celebrate the heritage of which cultural group?</t>
  </si>
  <si>
    <t>A) Bihari, B) Chakma, C) Bengali, D) Garo</t>
  </si>
  <si>
    <t>C) Bengali</t>
  </si>
  <si>
    <t>Nouka Baich celebrates Bengali cultural heritage and traditions along the rivers of Bangladesh.</t>
  </si>
  <si>
    <t>Which Mughal emperor is historically associated with patronizing boat races in Bengal?</t>
  </si>
  <si>
    <t>A) Akbar, B) Humayun, C) Jahangir, D) Shah Jahan</t>
  </si>
  <si>
    <t>C) Jahangir</t>
  </si>
  <si>
    <t>During the reign of Emperor Jahangir, boat races were organized as royal entertainment, solidifying their status.</t>
  </si>
  <si>
    <t>The term 'Nouka Baich' literally translates to what in English?</t>
  </si>
  <si>
    <t>A) River Race, B) Boat Race, C) Water Festival, D) River Contest</t>
  </si>
  <si>
    <t>B) Boat Race</t>
  </si>
  <si>
    <t>The Bengali words 'Nouka' (boat) and 'Baich' (race) directly translate to "Boat Race."</t>
  </si>
  <si>
    <t>In which part of Bangladesh were boat races historically used as a method of communication or transport?</t>
  </si>
  <si>
    <t>A) The plains of Dhaka, B) The hilly areas of Chittagong, C) The deltaic region of Barisal, D) The northern region of Rangpur</t>
  </si>
  <si>
    <t>C) The deltaic region of Barisal</t>
  </si>
  <si>
    <t>The dense river networks in Barisal made boat travel and races essential for both communication and festive purposes.</t>
  </si>
  <si>
    <t>What is the traditional name for the folk songs sung during Nouka Baich?</t>
  </si>
  <si>
    <t>A) Baul Gaan, B) Bhatiali, C) Sari Gaan, D) Jari Gaan</t>
  </si>
  <si>
    <t>C) Sari Gaan</t>
  </si>
  <si>
    <t>Sari Gaan are rhythmic, call-and-response folk songs specifically sung by the rowers to synchronize their strokes and boost morale.</t>
  </si>
  <si>
    <t>The design of the racing boats is influenced by what type of traditional Bengali vessel?</t>
  </si>
  <si>
    <t>A) Sampan, B) Koshari, C) Dingi, D) Balam</t>
  </si>
  <si>
    <t>B) Koshari</t>
  </si>
  <si>
    <t>The long, sleek design of the racing boats is a refined version of the traditional 'Koshari' or 'Koyra' fishing boats.</t>
  </si>
  <si>
    <t>Historically, what was the primary purpose of the 'Bojra' boats, which were a forerunner to modern racing boats?</t>
  </si>
  <si>
    <t>A) Cargo transport, B) Royal pleasure boats, C) Military use, D) Fishing</t>
  </si>
  <si>
    <t>B) Royal pleasure boats</t>
  </si>
  <si>
    <t>Bojras were elaborately decorated royal pleasure boats often used for leisure cruises and racing by the nobility.</t>
  </si>
  <si>
    <t>In ancient Bengal, what was the symbolic significance of holding a Nouka Baich?</t>
  </si>
  <si>
    <t>A) A display of military power, B) A ritual for a good harvest, C) A demonstration of regional prosperity, D) A tribute to the river deities</t>
  </si>
  <si>
    <t>D) A tribute to the river deities</t>
  </si>
  <si>
    <t>Historically, the races were sometimes held as rituals to appease river deities for safe passage and abundant fish.</t>
  </si>
  <si>
    <t>What is the historical role of the 'Majhi' or boat captain during a Nouka Baich race?</t>
  </si>
  <si>
    <t>A) To manage finances, B) To set the rhythm and direction, C) To sing songs, D) To train the rowers</t>
  </si>
  <si>
    <t>B) To set the rhythm and direction</t>
  </si>
  <si>
    <t>The Majhi or 'Sardar' acts as the leader, using a loud voice or a stick to maintain a synchronized rowing rhythm.</t>
  </si>
  <si>
    <t>What is the historical context of using boat races to resolve disputes in some regions of Bengal?</t>
  </si>
  <si>
    <t>A) A formal legal process, B) A friendly competition to avoid conflict, C) A form of entertainment, D) A military strategy</t>
  </si>
  <si>
    <t>B) A friendly competition to avoid conflict</t>
  </si>
  <si>
    <t>In some historical instances, villages would settle minor disputes through a Nouka Baich, turning a potential conflict into a communal event.</t>
  </si>
  <si>
    <t>Which festival is a major catalyst for holding Nouka Baich competitions in the Sylhet region?</t>
  </si>
  <si>
    <t>A) Pahela Boishakh, B) Durga Puja, C) Eid-ul-Fitr, D) Nabanna</t>
  </si>
  <si>
    <t>D) Nabanna</t>
  </si>
  <si>
    <t>The Nabanna (new rice) festival, celebrating the harvest, is a traditional time for boat races in areas like Sylhet.</t>
  </si>
  <si>
    <t>What material was traditionally used to waterproof and preserve the wooden boats for racing?</t>
  </si>
  <si>
    <t>A) Varnish, B) Tar, C) Animal fat, D) Resin</t>
  </si>
  <si>
    <t>B) Tar</t>
  </si>
  <si>
    <t>Boat makers traditionally used a mixture of tar and other natural substances to waterproof the hull and ensure the boat's longevity.</t>
  </si>
  <si>
    <t>What is a notable historical characteristic of the prize awarded to the winning team?</t>
  </si>
  <si>
    <t>A) A royal title, B) A ceremonial feast, C) A valuable commodity like gold, D) A year's supply of fish</t>
  </si>
  <si>
    <t>B) A ceremonial feast</t>
  </si>
  <si>
    <t>In historical times, the most significant prize was often a large, celebratory feast hosted by the winning village or team leader.</t>
  </si>
  <si>
    <t>Which historical event in the 19th century led to a brief decline in the popularity of Nouka Baich?</t>
  </si>
  <si>
    <t>A) The Great Famine, B) The partition of Bengal, C) The Sepoy Mutiny, D) Widespread floods</t>
  </si>
  <si>
    <t>A) The Great Famine</t>
  </si>
  <si>
    <t>The devastating Bengal Famine of 1876-1879 shifted focus away from recreational events towards survival and sustenance.</t>
  </si>
  <si>
    <t>The tradition of painting and decorating the racing boats with mythological figures or patterns is a remnant of which historical influence?</t>
  </si>
  <si>
    <t>A) Tribal art, B) Folk art, C) Mughal art, D) British art</t>
  </si>
  <si>
    <t>B) Folk art</t>
  </si>
  <si>
    <t>The colorful decorations are a continuation of traditional Bengali folk art, often depicting local stories and motifs.</t>
  </si>
  <si>
    <t>How did the British colonial period impact the practice of Nouka Baich?</t>
  </si>
  <si>
    <t>A) It was banned, B) It was officially patronized, C) It was commercialized, D) It was ignored</t>
  </si>
  <si>
    <t>D) It was ignored</t>
  </si>
  <si>
    <t>The British administration largely ignored or had minimal interaction with this traditional sport, allowing it to continue as a local custom.</t>
  </si>
  <si>
    <t>What historical change in the river systems of Bengal has influenced the location of modern Nouka Baich races?</t>
  </si>
  <si>
    <t>A) The drying up of some rivers, B) The widening of rivers, C) The silting of riverbeds, D) The change in river direction</t>
  </si>
  <si>
    <t>C) The silting of riverbeds</t>
  </si>
  <si>
    <t>The silting of historical river routes has forced many events to move to deeper, more navigable channels.</t>
  </si>
  <si>
    <t>In ancient times, the longest racing boats were sometimes referred to as 'Sarp Nouka' (snake boats). What was the reason for this name?</t>
  </si>
  <si>
    <t>A) They were shaped like snakes, B) They were used to catch snakes, C) They were a sign of bad luck, D) They were owned by snake charmers</t>
  </si>
  <si>
    <t>A) They were shaped like snakes</t>
  </si>
  <si>
    <t>Their long, slender, and sinuous design resembled a snake gliding through the water, inspiring the name.</t>
  </si>
  <si>
    <t>What role did local Zamindars (landlords) play in the history of Nouka Baich?</t>
  </si>
  <si>
    <t>A) They were the main sponsors, B) They were the primary participants, C) They banned the sport, D) They were the referees</t>
  </si>
  <si>
    <t>A) They were the main sponsors</t>
  </si>
  <si>
    <t>Zamindars often sponsored and organized the races as a way to display their wealth and influence, and to entertain their subjects.</t>
  </si>
  <si>
    <t>The tradition of all-male teams in Nouka Baich is a reflection of what historical societal norm?</t>
  </si>
  <si>
    <t>A) Women were not allowed on boats, B) The races were seen as a test of male strength, C) Women were not interested, D) It was a religious rule</t>
  </si>
  <si>
    <t>B) The races were seen as a test of male strength</t>
  </si>
  <si>
    <t>Historically, the demanding physical nature of rowing long, heavy boats made it a male-dominated sport.</t>
  </si>
  <si>
    <t>Which aspect of Nouka Baich is a historical reflection of Bengal's rich riverine commerce?</t>
  </si>
  <si>
    <t>A) The cargo capacity of the boats, B) The racing format, C) The traditional songs, D) The boat-building techniques</t>
  </si>
  <si>
    <t>D) The boat-building techniques</t>
  </si>
  <si>
    <t>The sophisticated techniques used to build the racing boats evolved from centuries of crafting vessels for trade and transport on the rivers.</t>
  </si>
  <si>
    <t>What historical period saw the development of more elaborate and decorative boats for Nouka Baich?</t>
  </si>
  <si>
    <t>A) The Sultanate period, B) The Mughal period, C) The British period, D) The modern era</t>
  </si>
  <si>
    <t>Under the Mughals, boat racing became a form of royal entertainment, leading to the creation of highly ornate and decorated boats.</t>
  </si>
  <si>
    <t>The tradition of holding races at a specific time of year is historically tied to which agricultural practice?</t>
  </si>
  <si>
    <t>A) The monsoon planting season, B) The post-harvest season, C) The winter crop harvest, D) The pre-monsoon fishing season</t>
  </si>
  <si>
    <t>B) The post-harvest season</t>
  </si>
  <si>
    <t>The races traditionally took place after the monsoon harvest when villagers had more leisure time for celebrations.</t>
  </si>
  <si>
    <t>How did the local religious practices of both Muslims and Hindus influence the rituals surrounding Nouka Baich?</t>
  </si>
  <si>
    <t>A) They banned the sport, B) They introduced pre-race prayers and ceremonies, C) They had no influence, D) They provided financial support</t>
  </si>
  <si>
    <t>B) They introduced pre-race prayers and ceremonies</t>
  </si>
  <si>
    <t>Both communities introduced rituals and prayers before the races to seek blessings from their respective deities for a safe and successful event.</t>
  </si>
  <si>
    <t>Which historical reason contributed to the wide variety of boat designs used in Nouka Baich?</t>
  </si>
  <si>
    <t>A) Foreign influences, B) Regional specialization, C) Religious requirements, D) Military needs</t>
  </si>
  <si>
    <t>B) Regional specialization</t>
  </si>
  <si>
    <t>Different regions developed unique boat designs based on local river conditions and traditions, leading to a wide variety.</t>
  </si>
  <si>
    <t>What historical event in the 20th century led to a resurgence of Nouka Baich as a symbol of national identity?</t>
  </si>
  <si>
    <t>A) The Language Movement of 1952, B) The Liberation War of 1971, C) The cyclone of 1970, D) The flood of 1988</t>
  </si>
  <si>
    <t>After the war, Nouka Baich was revived and promoted as a symbol of Bengali culture and national heritage.</t>
  </si>
  <si>
    <t>What was the historical significance of the 'Aricha-Kazirhat' Nouka Baich route?</t>
  </si>
  <si>
    <t>A) It was the longest route, B) It was a trade route, C) It was a key military route, D) It was a pilgrimage route</t>
  </si>
  <si>
    <t>A) It was the longest route</t>
  </si>
  <si>
    <t>This famous route on the Jamuna River was historically known for hosting some of the most challenging and longest Nouka Baich races.</t>
  </si>
  <si>
    <t>The tradition of a 'Sardar' (leader) on the boat is a historical reflection of what societal structure?</t>
  </si>
  <si>
    <t>A) Village hierarchy, B) Royal court structure, C) Family leadership, D) Religious leadership</t>
  </si>
  <si>
    <t>A) Village hierarchy</t>
  </si>
  <si>
    <t>The Sardar historically represented the leader of the village or a particular community, leading his team in a display of local pride.</t>
  </si>
  <si>
    <t>What traditional Bengali festival often coincides with Nouka Baich, fostering a festive atmosphere?</t>
  </si>
  <si>
    <t>A) Eid-ul-Adha, B) Durga Puja, C) Pahela Boishakh, D) Rath Yatra</t>
  </si>
  <si>
    <t>C) Pahela Boishakh</t>
  </si>
  <si>
    <t>The Bengali New Year, Pahela Boishakh, is a popular time for organizing Nouka Baich events across the country.</t>
  </si>
  <si>
    <t>Historically, how did the outcome of a Nouka Baich race affect inter-village relations?</t>
  </si>
  <si>
    <t>A) It caused conflicts, B) It was a source of great pride and friendly rivalry, C) It led to trade agreements, D) It had no effect</t>
  </si>
  <si>
    <t>B) It was a source of great pride and friendly rivalry</t>
  </si>
  <si>
    <t>The races created a sense of local pride and friendly competition between villages and communities.</t>
  </si>
  <si>
    <t>What historical feature of the racing boats allowed them to be easily steered despite their length?</t>
  </si>
  <si>
    <t>A) A deep keel, B) A short rudder, C) A long, flexible oar at the stern, D) A small sail</t>
  </si>
  <si>
    <t>C) A long, flexible oar at the stern</t>
  </si>
  <si>
    <t>A long, flexible oar or paddle was used at the stern by a dedicated rower to steer the long, narrow boat.</t>
  </si>
  <si>
    <t>How has the role of women in Nouka Baich changed from historical to modern times?</t>
  </si>
  <si>
    <t>A) They were always participants, B) They are now allowed to participate in some races, C) They are the main organizers, D) Their role has not changed</t>
  </si>
  <si>
    <t>B) They are now allowed to participate in some races</t>
  </si>
  <si>
    <t>While historically an all-male sport, some modern, non-traditional races and events now include female participants.</t>
  </si>
  <si>
    <t>The historical tradition of 'Nouka Baich' being held during the monsoon season is tied to what practical reason?</t>
  </si>
  <si>
    <t>A) It was cooler, B) The rivers were at their peak depth, C) It was a religious requirement, D) The boats were not used for fishing</t>
  </si>
  <si>
    <t>B) The rivers were at their peak depth</t>
  </si>
  <si>
    <t>The full rivers provided ample depth and space for the long boats to race without getting stuck.</t>
  </si>
  <si>
    <t>What historical change in the boats' construction has made them lighter and faster today?</t>
  </si>
  <si>
    <t>A) Use of synthetic materials, B) Use of lighter woods, C) Removal of decorations, D) Use of modern tools</t>
  </si>
  <si>
    <t>B) Use of lighter woods</t>
  </si>
  <si>
    <t>Modern boat makers sometimes use lighter woods and streamlined designs to enhance speed, moving away from heavy, ornate historical designs.</t>
  </si>
  <si>
    <t>What historical significance does the 'Ghat' (dock or bank) hold during a Nouka Baich race?</t>
  </si>
  <si>
    <t>A) It was the starting point, B) It was the finishing line, C) It was the main spectator area, D) All of the above</t>
  </si>
  <si>
    <t>C) It was the main spectator area</t>
  </si>
  <si>
    <t>The Ghats and riverbanks historically served as the primary viewing platforms for thousands of spectators.</t>
  </si>
  <si>
    <t>What was the historical impact of the introduction of motorized boats on Nouka Baich?</t>
  </si>
  <si>
    <t>A) It replaced the traditional sport, B) It led to a brief decline in the sport, C) It had no impact, D) It led to a new form of racing</t>
  </si>
  <si>
    <t>B) It led to a brief decline in the sport</t>
  </si>
  <si>
    <t>The rise of motorized transport led to a temporary decline in traditional boat races before they were revived as a cultural event.</t>
  </si>
  <si>
    <t>The traditional practice of using a specific number of rowers is linked to what historical concept?</t>
  </si>
  <si>
    <t>A) The number of villages, B) The length of the boat, C) The size of the family, D) The number of gods</t>
  </si>
  <si>
    <t>B) The length of the boat</t>
  </si>
  <si>
    <t>The number of rowers was historically determined by the boat's length, with longer boats requiring more rowers for effective propulsion.</t>
  </si>
  <si>
    <t>What is the historical origin of the rivalry between different villages in Nouka Baich?</t>
  </si>
  <si>
    <t>A) Economic competition, B) Political differences, C) A tradition of friendly competition, D) Land disputes</t>
  </si>
  <si>
    <t>C) A tradition of friendly competition</t>
  </si>
  <si>
    <t>The rivalry is rooted in a long tradition of friendly competition, where villages would compete for bragging rights and local fame.</t>
  </si>
  <si>
    <t>The tradition of the leader standing in the middle of the boat is rooted in what historical practice?</t>
  </si>
  <si>
    <t>A) To balance the boat, B) To be seen by all rowers, C) To be closer to the steering oar, D) To be protected from the water</t>
  </si>
  <si>
    <t>B) To be seen by all rowers</t>
  </si>
  <si>
    <t>The central position allows the leader to be seen and heard by all the rowers, ensuring synchronized rowing.</t>
  </si>
  <si>
    <t>What historical name was sometimes given to the decorated boats, signifying their purpose?</t>
  </si>
  <si>
    <t>A) 'Shonar Nouka' (Golden Boat), B) 'Dhakai Nouka' (Dhaka Boat), C) 'Jal Pori' (Water Fairy), D) 'Sajano Nouka' (Decorated Boat)</t>
  </si>
  <si>
    <t>A) 'Shonar Nouka' (Golden Boat)</t>
  </si>
  <si>
    <t>The winning boat was sometimes referred to as 'Shonar Nouka' due to the valuable prizes and prestige associated with victory.</t>
  </si>
  <si>
    <t>What historical artifact or document provides some of the earliest mentions of boat races in Bengal?</t>
  </si>
  <si>
    <t>A) British travelogues, B) Mughal court records, C) Sanskrit epics, D) Portuguese manuscripts</t>
  </si>
  <si>
    <t>B) Mughal court records</t>
  </si>
  <si>
    <t>Mughal records and paintings provide some of the earliest historical evidence of organized boat races in Bengal.</t>
  </si>
  <si>
    <t>What was the historical significance of the 'Dheo' or 'wave' chant in Nouka Baich?</t>
  </si>
  <si>
    <t>A) To call the river gods, B) To frighten the opponents, C) To signify the start of the race, D) To increase rowing speed</t>
  </si>
  <si>
    <t>D) To increase rowing speed</t>
  </si>
  <si>
    <t>The 'Dheo' chant was used to signal a burst of speed, with rowers increasing their effort in unison.</t>
  </si>
  <si>
    <t>What historical change in the rivers of Bengal has made it more difficult to organize Nouka Baich races?</t>
  </si>
  <si>
    <t>A) Increased pollution, B) Decreased water levels, C) Increased currents, D) Increased boat traffic</t>
  </si>
  <si>
    <t>B) Decreased water levels</t>
  </si>
  <si>
    <t>The drying up of some rivers and lower water levels due to climate change have limited the number of suitable locations for races.</t>
  </si>
  <si>
    <t>What was the historical role of the spectators in the Nouka Baich tradition?</t>
  </si>
  <si>
    <t>A) They were passive observers, B) They were judges, C) They were actively involved in encouraging the teams, D) They provided financial support</t>
  </si>
  <si>
    <t>C) They were actively involved in encouraging the teams</t>
  </si>
  <si>
    <t>Spectators played a crucial role by cheering, chanting, and singing, which significantly motivated the rowing teams.</t>
  </si>
  <si>
    <t>The tradition of using a single large drum in the boats is rooted in what historical practice?</t>
  </si>
  <si>
    <t>A) A military signal, B) A rhythmic guide for rowing, C) A religious symbol, D) A decorative element</t>
  </si>
  <si>
    <t>B) A rhythmic guide for rowing</t>
  </si>
  <si>
    <t>A drum was traditionally used to provide a steady rhythm, helping the rowers synchronize their movements.</t>
  </si>
  <si>
    <t>What historical change in the local economy has affected the traditional sponsorship of Nouka Baich?</t>
  </si>
  <si>
    <t>A) The decline of the Zamindar system, B) The rise of the fishing industry, C) The rise of agriculture, D) The decline of the textile industry</t>
  </si>
  <si>
    <t>A) The decline of the Zamindar system</t>
  </si>
  <si>
    <t>The end of the feudal Zamindar system meant that races are now primarily sponsored by local businesses and government bodies.</t>
  </si>
  <si>
    <t>What was a key historical reason for the narrow design of the racing boats?</t>
  </si>
  <si>
    <t>A) To fit in smaller rivers, B) To increase speed, C) To carry more people, D) To be more stable</t>
  </si>
  <si>
    <t>B) To increase speed</t>
  </si>
  <si>
    <t>The narrow, sleek design minimizes drag, allowing the boats to cut through the water at high speeds.</t>
  </si>
  <si>
    <t>The tradition of giving the winner a garland made of flowers is a historical symbol of what?</t>
  </si>
  <si>
    <t>A) A religious offering, B) A sign of wealth, C) A symbol of honor and victory, D) A sign of peace</t>
  </si>
  <si>
    <t>C) A symbol of honor and victory</t>
  </si>
  <si>
    <t>The garland is a traditional symbol of honor, recognizing the team's victory and prowess.</t>
  </si>
  <si>
    <t>What historical period saw the popularization of 'Nouka Baich' as a subject in Bengali folk art and literature?</t>
  </si>
  <si>
    <t>A) The 17th century, B) The 18th century, C) The 19th century, D) The 20th century</t>
  </si>
  <si>
    <t>C) The 19th century</t>
  </si>
  <si>
    <t>The 19th century, often considered the Bengal Renaissance, saw a rise in the depiction of folk traditions like Nouka Baich in art and literature.</t>
  </si>
  <si>
    <t>What historical form of music is often intertwined with 'Sari Gaan' during Nouka Baich?</t>
  </si>
  <si>
    <t>A) Baul songs, B) Bhawaiya, C) Bhatiali, D) Jari Gaan</t>
  </si>
  <si>
    <t>C) Bhatiali</t>
  </si>
  <si>
    <t>Bhatiali, a genre of folk music related to boatmen and rivers, often influences the tunes and themes of Sari Gaan.</t>
  </si>
  <si>
    <t>The tradition of a loud shout or chant from the crowd before a race is a historical reflection of what?</t>
  </si>
  <si>
    <t>A) A call for good luck, B) A signal to start the race, C) A challenge to the opposing team, D) A religious prayer</t>
  </si>
  <si>
    <t>C) A challenge to the opposing team</t>
  </si>
  <si>
    <t>The chants and shouts are a historical way for spectators to challenge and encourage their teams before the race begins.</t>
  </si>
  <si>
    <t>What historical change in boat-building techniques has contributed to the decline of traditional Nouka Baich boats?</t>
  </si>
  <si>
    <t>A) The use of new materials, B) The decline of skilled artisans, C) The rise of foreign designs, D) The use of engines</t>
  </si>
  <si>
    <t>B) The decline of skilled artisans</t>
  </si>
  <si>
    <t>The specialized skills required to build traditional longboats are being lost, making them harder to produce.</t>
  </si>
  <si>
    <t>What was a key historical reason for the different lengths of Nouka Baich boats?</t>
  </si>
  <si>
    <t>A) The number of participants, B) The depth of the river, C) The type of race, D) The village tradition</t>
  </si>
  <si>
    <t>D) The village tradition</t>
  </si>
  <si>
    <t>The length of the boat was often a matter of village pride and tradition, with some villages known for their longboats.</t>
  </si>
  <si>
    <t>The historical practice of holding a post-race feast is a reflection of what cultural value?</t>
  </si>
  <si>
    <t>A) A display of wealth, B) A celebration of community and unity, C) A religious ritual, D) A trade gathering</t>
  </si>
  <si>
    <t>B) A celebration of community and unity</t>
  </si>
  <si>
    <t>The feast symbolized the coming together of the community, regardless of the race's outcome.</t>
  </si>
  <si>
    <t>What historical term was used for the person at the stern of the boat who steered the vessel?</t>
  </si>
  <si>
    <t>A) Manjhi, B) Sardar, C) Khenda, D) Majhi</t>
  </si>
  <si>
    <t>D) Majhi</t>
  </si>
  <si>
    <t>While Sardar is the leader, the person steering is the Majhi, a term for a boatman or helmsman.</t>
  </si>
  <si>
    <t>What historical practice was associated with the end of the Nouka Baich season?</t>
  </si>
  <si>
    <t>A) A religious ceremony, B) The dismantling of the boats, C) The storage of boats for the winter, D) A final grand feast</t>
  </si>
  <si>
    <t>C) The storage of boats for the winter</t>
  </si>
  <si>
    <t>After the racing season, the boats were traditionally taken out of the water and stored to prevent decay during the dry season.</t>
  </si>
  <si>
    <t>What historical change in the social structure of Bengal has influenced the demographics of Nouka Baich participants?</t>
  </si>
  <si>
    <t>A) The rise of urban life, B) The decline of rural communities, C) The rise of a middle class, D) The decline of river-dependent livelihoods</t>
  </si>
  <si>
    <t>D) The decline of river-dependent livelihoods</t>
  </si>
  <si>
    <t>As fewer people depend solely on rivers for their livelihood, the number of traditional rowers has decreased.</t>
  </si>
  <si>
    <t>The historical importance of the 'Nouka Baich' has led to its inclusion in which national celebration?</t>
  </si>
  <si>
    <t>A) Independence Day, B) Victory Day, C) Martyrs' Day, D) National Sports Day</t>
  </si>
  <si>
    <t>A) Independence Day</t>
  </si>
  <si>
    <t>Nouka Baich is often organized as part of the celebrations for Bangladesh's Independence Day.</t>
  </si>
  <si>
    <t>What historical type of boat was specifically used for long-distance racing and trade?</t>
  </si>
  <si>
    <t>A) Dinghy, B) Sampan, C) Balam, D) Koshari</t>
  </si>
  <si>
    <t>C) Balam</t>
  </si>
  <si>
    <t>The Balam, a large boat, was historically used for long-distance trade and sometimes adapted for endurance races.</t>
  </si>
  <si>
    <t>The tradition of using a stick or paddle for rhythmic tapping in the boat is a historical remnant of what?</t>
  </si>
  <si>
    <t>A) A military signal, B) A means to control the rowers, C) A form of entertainment, D) A tool for fishing</t>
  </si>
  <si>
    <t>B) A means to control the rowers</t>
  </si>
  <si>
    <t>The leader would tap a stick on the side of the boat to provide a clear, audible rhythm for the rowers.</t>
  </si>
  <si>
    <t>What was the historical impact of the partition of India and Pakistan on Nouka Baich in Bengal?</t>
  </si>
  <si>
    <t>A) It was banned, B) It was confined to East Pakistan (now Bangladesh), C) It became a symbol of national rivalry, D) It spread to West Bengal</t>
  </si>
  <si>
    <t>B) It was confined to East Pakistan (now Bangladesh)</t>
  </si>
  <si>
    <t>The tradition largely continued in East Bengal (which became East Pakistan and then Bangladesh), while its presence in West Bengal diminished.</t>
  </si>
  <si>
    <t>What historical document mentions the use of boats in a competitive manner during the Sultanate period in Bengal?</t>
  </si>
  <si>
    <t>A) Records from foreign travelers, B) Religious scriptures, C) Poetical works, D) Royal decrees</t>
  </si>
  <si>
    <t>A) Records from foreign travelers</t>
  </si>
  <si>
    <t>Accounts from foreign travelers to the Bengal Sultanate describe competitive boat activities as a form of royal entertainment.</t>
  </si>
  <si>
    <t>The historical tradition of 'Nouka Baich' being held at a specific time of day is related to what factor?</t>
  </si>
  <si>
    <t>A) The tidal currents, B) The position of the sun, C) The availability of spectators, D) The time of harvest</t>
  </si>
  <si>
    <t>A) The tidal currents</t>
  </si>
  <si>
    <t>In tidal rivers, races were historically timed to coincide with a high tide, which provided deeper water and faster currents.</t>
  </si>
  <si>
    <t>What was the historical significance of the 'Khans' or patrons who sponsored Nouka Baich events?</t>
  </si>
  <si>
    <t>A) They were military leaders, B) They were wealthy merchants, C) They were religious leaders, D) They were feudal lords or landowners</t>
  </si>
  <si>
    <t>D) They were feudal lords or landowners</t>
  </si>
  <si>
    <t>Feudal lords or Khans would often sponsor the races to show their power and gain the loyalty of local communities.</t>
  </si>
  <si>
    <t>The historical practice of launching a boat with a religious ceremony is a reflection of what belief system?</t>
  </si>
  <si>
    <t>A) The belief in river deities, B) The belief in a single creator, C) The belief in ancestor worship, D) The belief in animal spirits</t>
  </si>
  <si>
    <t>A) The belief in river deities</t>
  </si>
  <si>
    <t>Ceremonies were held to appease the river deities, ensuring the safety of the rowers and the boat.</t>
  </si>
  <si>
    <t>What historical challenge did the boat builders face when creating the long, narrow boats for racing?</t>
  </si>
  <si>
    <t>A) Finding the right type of wood, B) Ensuring the boat was symmetrical, C) Making it lightweight, D) All of the above</t>
  </si>
  <si>
    <t>Boat builders faced the challenge of sourcing suitable wood, ensuring perfect symmetry for speed, and maintaining a balance between strength and lightweight construction.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</si>
</sst>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9.0"/>
      <color theme="1"/>
      <name val="&quot;Google Sans Mono&quot;"/>
    </font>
    <font>
      <sz val="9.0"/>
      <color rgb="FF000000"/>
      <name val="&quot;Google Sans Mono&quot;"/>
    </font>
    <font>
      <color rgb="FF1B1C1D"/>
      <name val="Arial"/>
      <scheme val="minor"/>
    </font>
    <font>
      <sz val="10.0"/>
      <color rgb="FF1B1C1D"/>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2" fontId="3" numFmtId="0" xfId="0" applyAlignment="1" applyFill="1" applyFont="1">
      <alignment shrinkToFit="0" vertical="center" wrapText="0"/>
    </xf>
    <xf borderId="0" fillId="2" fontId="3" numFmtId="0" xfId="0" applyAlignment="1" applyFont="1">
      <alignment shrinkToFit="0" vertical="center" wrapText="1"/>
    </xf>
    <xf borderId="0" fillId="0" fontId="4" numFmtId="0" xfId="0" applyAlignment="1" applyFont="1">
      <alignment readingOrder="0" shrinkToFit="0" vertical="center" wrapText="0"/>
    </xf>
    <xf borderId="0" fillId="0" fontId="1" numFmtId="0" xfId="0" applyAlignment="1" applyFont="1">
      <alignment shrinkToFit="0" wrapText="1"/>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quotePrefix="1" borderId="0" fillId="0" fontId="4" numFmtId="0" xfId="0" applyAlignment="1" applyFont="1">
      <alignment readingOrder="0" shrinkToFit="0" vertical="center" wrapText="0"/>
    </xf>
    <xf borderId="0" fillId="0" fontId="5" numFmtId="0" xfId="0" applyAlignment="1" applyFont="1">
      <alignment readingOrder="0" shrinkToFit="0" vertical="center" wrapText="0"/>
    </xf>
    <xf quotePrefix="1" borderId="0" fillId="0" fontId="5"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boli khela-style">
      <tableStyleElement dxfId="1" type="headerRow"/>
      <tableStyleElement dxfId="2" type="firstRowStripe"/>
      <tableStyleElement dxfId="3" type="secondRowStripe"/>
      <tableStyleElement dxfId="4" size="0" type="wholeTable"/>
    </tableStyle>
    <tableStyle count="4" pivot="0" name="boli khela-style 2">
      <tableStyleElement dxfId="1" type="headerRow"/>
      <tableStyleElement dxfId="2" type="firstRowStripe"/>
      <tableStyleElement dxfId="3" type="secondRowStripe"/>
      <tableStyleElement dxfId="4" size="0" type="wholeTable"/>
    </tableStyle>
    <tableStyle count="4" pivot="0" name="dariabandha-style">
      <tableStyleElement dxfId="1" type="headerRow"/>
      <tableStyleElement dxfId="2" type="firstRowStripe"/>
      <tableStyleElement dxfId="3" type="secondRowStripe"/>
      <tableStyleElement dxfId="4" size="0" type="wholeTable"/>
    </tableStyle>
    <tableStyle count="4" pivot="0" name="dariabandha-style 2">
      <tableStyleElement dxfId="1" type="headerRow"/>
      <tableStyleElement dxfId="2" type="firstRowStripe"/>
      <tableStyleElement dxfId="3" type="secondRowStripe"/>
      <tableStyleElement dxfId="4" size="0" type="wholeTable"/>
    </tableStyle>
    <tableStyle count="4" pivot="0" name="golla chut-style">
      <tableStyleElement dxfId="1" type="headerRow"/>
      <tableStyleElement dxfId="2" type="firstRowStripe"/>
      <tableStyleElement dxfId="3" type="secondRowStripe"/>
      <tableStyleElement dxfId="4" size="0" type="wholeTable"/>
    </tableStyle>
    <tableStyle count="4" pivot="0" name="golla chut-style 2">
      <tableStyleElement dxfId="1" type="headerRow"/>
      <tableStyleElement dxfId="2" type="firstRowStripe"/>
      <tableStyleElement dxfId="3" type="secondRowStripe"/>
      <tableStyleElement dxfId="4" size="0" type="wholeTable"/>
    </tableStyle>
    <tableStyle count="4" pivot="0" name="ha du du-style">
      <tableStyleElement dxfId="1" type="headerRow"/>
      <tableStyleElement dxfId="2" type="firstRowStripe"/>
      <tableStyleElement dxfId="3" type="secondRowStripe"/>
      <tableStyleElement dxfId="4" size="0" type="wholeTable"/>
    </tableStyle>
    <tableStyle count="4" pivot="0" name="ha du du-style 2">
      <tableStyleElement dxfId="1" type="headerRow"/>
      <tableStyleElement dxfId="2" type="firstRowStripe"/>
      <tableStyleElement dxfId="3" type="secondRowStripe"/>
      <tableStyleElement dxfId="4" size="0" type="wholeTable"/>
    </tableStyle>
    <tableStyle count="4" pivot="0" name="lathi khela-style">
      <tableStyleElement dxfId="1" type="headerRow"/>
      <tableStyleElement dxfId="2" type="firstRowStripe"/>
      <tableStyleElement dxfId="3" type="secondRowStripe"/>
      <tableStyleElement dxfId="4" size="0" type="wholeTable"/>
    </tableStyle>
    <tableStyle count="4" pivot="0" name="lathi khela-style 2">
      <tableStyleElement dxfId="1" type="headerRow"/>
      <tableStyleElement dxfId="2" type="firstRowStripe"/>
      <tableStyleElement dxfId="3" type="secondRowStripe"/>
      <tableStyleElement dxfId="4" size="0" type="wholeTable"/>
    </tableStyle>
    <tableStyle count="4" pivot="0" name="nouka baich-style">
      <tableStyleElement dxfId="1" type="headerRow"/>
      <tableStyleElement dxfId="2" type="firstRowStripe"/>
      <tableStyleElement dxfId="3" type="secondRowStripe"/>
      <tableStyleElement dxfId="4" size="0" type="wholeTable"/>
    </tableStyle>
    <tableStyle count="4" pivot="0" name="nouka baich-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26" displayName="Table2" name="Table2" id="1">
  <tableColumns count="5">
    <tableColumn name="Question No." id="1"/>
    <tableColumn name="Question" id="2"/>
    <tableColumn name="Options" id="3"/>
    <tableColumn name="Answer" id="4"/>
    <tableColumn name="Description" id="5"/>
  </tableColumns>
  <tableStyleInfo name="boli khela-style" showColumnStripes="0" showFirstColumn="1" showLastColumn="1" showRowStripes="1"/>
</table>
</file>

<file path=xl/tables/table2.xml><?xml version="1.0" encoding="utf-8"?>
<table xmlns="http://schemas.openxmlformats.org/spreadsheetml/2006/main" ref="I1:M126" displayName="Table1" name="Table1" id="2">
  <tableColumns count="5">
    <tableColumn name="প্রশ্ন নং." id="1"/>
    <tableColumn name="প্রশ্ন" id="2"/>
    <tableColumn name="অপশন" id="3"/>
    <tableColumn name="উত্তর" id="4"/>
    <tableColumn name="বর্ণনা" id="5"/>
  </tableColumns>
  <tableStyleInfo name="boli khela-style 2" showColumnStripes="0" showFirstColumn="1" showLastColumn="1" showRowStripes="1"/>
</table>
</file>

<file path=xl/tables/table3.xml><?xml version="1.0" encoding="utf-8"?>
<table xmlns="http://schemas.openxmlformats.org/spreadsheetml/2006/main" ref="A1:E126" displayName="Table4" name="Table4" id="3">
  <tableColumns count="5">
    <tableColumn name="Question No." id="1"/>
    <tableColumn name="Question" id="2"/>
    <tableColumn name="Options" id="3"/>
    <tableColumn name="Answer" id="4"/>
    <tableColumn name="Description" id="5"/>
  </tableColumns>
  <tableStyleInfo name="dariabandha-style" showColumnStripes="0" showFirstColumn="1" showLastColumn="1" showRowStripes="1"/>
</table>
</file>

<file path=xl/tables/table4.xml><?xml version="1.0" encoding="utf-8"?>
<table xmlns="http://schemas.openxmlformats.org/spreadsheetml/2006/main" ref="I1:M126" displayName="Table3" name="Table3" id="4">
  <tableColumns count="5">
    <tableColumn name="প্রশ্ন নং." id="1"/>
    <tableColumn name="প্রশ্ন" id="2"/>
    <tableColumn name="অপশন" id="3"/>
    <tableColumn name="উত্তর" id="4"/>
    <tableColumn name="বর্ণনা" id="5"/>
  </tableColumns>
  <tableStyleInfo name="dariabandha-style 2" showColumnStripes="0" showFirstColumn="1" showLastColumn="1" showRowStripes="1"/>
</table>
</file>

<file path=xl/tables/table5.xml><?xml version="1.0" encoding="utf-8"?>
<table xmlns="http://schemas.openxmlformats.org/spreadsheetml/2006/main" ref="A1:E126" displayName="Table6" name="Table6" id="5">
  <tableColumns count="5">
    <tableColumn name="Question No." id="1"/>
    <tableColumn name="Question" id="2"/>
    <tableColumn name="Options" id="3"/>
    <tableColumn name="Answer" id="4"/>
    <tableColumn name="Description" id="5"/>
  </tableColumns>
  <tableStyleInfo name="golla chut-style" showColumnStripes="0" showFirstColumn="1" showLastColumn="1" showRowStripes="1"/>
</table>
</file>

<file path=xl/tables/table6.xml><?xml version="1.0" encoding="utf-8"?>
<table xmlns="http://schemas.openxmlformats.org/spreadsheetml/2006/main" ref="J1:N126" displayName="Table5" name="Table5" id="6">
  <tableColumns count="5">
    <tableColumn name="প্রশ্ন নং." id="1"/>
    <tableColumn name="প্রশ্ন" id="2"/>
    <tableColumn name="অপশন" id="3"/>
    <tableColumn name="উত্তর" id="4"/>
    <tableColumn name="বর্ণনা" id="5"/>
  </tableColumns>
  <tableStyleInfo name="golla chut-style 2" showColumnStripes="0" showFirstColumn="1" showLastColumn="1" showRowStripes="1"/>
</table>
</file>

<file path=xl/tables/table7.xml><?xml version="1.0" encoding="utf-8"?>
<table xmlns="http://schemas.openxmlformats.org/spreadsheetml/2006/main" ref="A1:E201" displayName="Table8" name="Table8" id="7">
  <tableColumns count="5">
    <tableColumn name="Question No." id="1"/>
    <tableColumn name="Question" id="2"/>
    <tableColumn name="Options" id="3"/>
    <tableColumn name="Answer" id="4"/>
    <tableColumn name="Description" id="5"/>
  </tableColumns>
  <tableStyleInfo name="ha du du-style" showColumnStripes="0" showFirstColumn="1" showLastColumn="1" showRowStripes="1"/>
</table>
</file>

<file path=xl/tables/table8.xml><?xml version="1.0" encoding="utf-8"?>
<table xmlns="http://schemas.openxmlformats.org/spreadsheetml/2006/main" ref="J1:N201" displayName="Table7" name="Table7" id="8">
  <tableColumns count="5">
    <tableColumn name="প্রশ্ন নং." id="1"/>
    <tableColumn name="প্রশ্ন" id="2"/>
    <tableColumn name="অপশন" id="3"/>
    <tableColumn name="উত্তর" id="4"/>
    <tableColumn name="বর্ণনা" id="5"/>
  </tableColumns>
  <tableStyleInfo name="ha du du-style 2" showColumnStripes="0" showFirstColumn="1" showLastColumn="1" showRowStripes="1"/>
</table>
</file>

<file path=xl/tables/table9.xml><?xml version="1.0" encoding="utf-8"?>
<table xmlns="http://schemas.openxmlformats.org/spreadsheetml/2006/main" ref="A1:E126" displayName="Table10" name="Table10" id="9">
  <tableColumns count="5">
    <tableColumn name="Question No." id="1"/>
    <tableColumn name="Question" id="2"/>
    <tableColumn name="Options" id="3"/>
    <tableColumn name="Answer" id="4"/>
    <tableColumn name="Description" id="5"/>
  </tableColumns>
  <tableStyleInfo name="lathi khela-style" showColumnStripes="0" showFirstColumn="1" showLastColumn="1" showRowStripes="1"/>
</table>
</file>

<file path=xl/tables/table10.xml><?xml version="1.0" encoding="utf-8"?>
<table xmlns="http://schemas.openxmlformats.org/spreadsheetml/2006/main" ref="J1:N126" displayName="Table9" name="Table9" id="10">
  <tableColumns count="5">
    <tableColumn name="প্রশ্ন নং." id="1"/>
    <tableColumn name="প্রশ্ন" id="2"/>
    <tableColumn name="অপশন" id="3"/>
    <tableColumn name="উত্তর" id="4"/>
    <tableColumn name="বর্ণনা" id="5"/>
  </tableColumns>
  <tableStyleInfo name="lathi khela-style 2" showColumnStripes="0" showFirstColumn="1" showLastColumn="1" showRowStripes="1"/>
</table>
</file>

<file path=xl/tables/table11.xml><?xml version="1.0" encoding="utf-8"?>
<table xmlns="http://schemas.openxmlformats.org/spreadsheetml/2006/main" ref="A1:E126" displayName="Table12" name="Table12" id="11">
  <tableColumns count="5">
    <tableColumn name="Question No." id="1"/>
    <tableColumn name="Question" id="2"/>
    <tableColumn name="Options" id="3"/>
    <tableColumn name="Answer" id="4"/>
    <tableColumn name="Description" id="5"/>
  </tableColumns>
  <tableStyleInfo name="nouka baich-style" showColumnStripes="0" showFirstColumn="1" showLastColumn="1" showRowStripes="1"/>
</table>
</file>

<file path=xl/tables/table12.xml><?xml version="1.0" encoding="utf-8"?>
<table xmlns="http://schemas.openxmlformats.org/spreadsheetml/2006/main" ref="J1:N126" displayName="Table11" name="Table11" id="12">
  <tableColumns count="5">
    <tableColumn name="প্রশ্ন নং." id="1"/>
    <tableColumn name="প্রশ্ন" id="2"/>
    <tableColumn name="অপশন" id="3"/>
    <tableColumn name="উত্তর" id="4"/>
    <tableColumn name="বর্ণনা" id="5"/>
  </tableColumns>
  <tableStyleInfo name="nouka baich-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37.63"/>
    <col customWidth="1" min="4" max="4" width="23.75"/>
    <col customWidth="1" min="5" max="5" width="37.63"/>
    <col customWidth="1" min="10" max="10" width="47.5"/>
    <col customWidth="1" min="11" max="11" width="42.75"/>
    <col customWidth="1" min="12" max="12" width="22.38"/>
    <col customWidth="1" min="13" max="13" width="62.5"/>
  </cols>
  <sheetData>
    <row r="1">
      <c r="A1" s="1" t="s">
        <v>0</v>
      </c>
      <c r="B1" s="1" t="s">
        <v>1</v>
      </c>
      <c r="C1" s="1" t="s">
        <v>2</v>
      </c>
      <c r="D1" s="1" t="s">
        <v>3</v>
      </c>
      <c r="E1" s="1" t="s">
        <v>4</v>
      </c>
      <c r="I1" s="2" t="s">
        <v>5</v>
      </c>
      <c r="J1" s="3" t="s">
        <v>6</v>
      </c>
      <c r="K1" s="3" t="s">
        <v>7</v>
      </c>
      <c r="L1" s="2" t="s">
        <v>8</v>
      </c>
      <c r="M1" s="3" t="s">
        <v>9</v>
      </c>
    </row>
    <row r="2">
      <c r="A2" s="4">
        <v>1.0</v>
      </c>
      <c r="B2" s="4" t="s">
        <v>10</v>
      </c>
      <c r="C2" s="4" t="s">
        <v>11</v>
      </c>
      <c r="D2" s="4" t="s">
        <v>12</v>
      </c>
      <c r="E2" s="4" t="s">
        <v>13</v>
      </c>
      <c r="I2" s="5" t="str">
        <f>IFERROR(__xludf.DUMMYFUNCTION("GOOGLETRANSLATE(A2, ""en"", ""bn"")"),"১")</f>
        <v>১</v>
      </c>
      <c r="J2" s="6" t="str">
        <f>IFERROR(__xludf.DUMMYFUNCTION("GOOGLETRANSLATE(B2, ""en"", ""bn"")"),"বলি খেলার উৎপত্তি কোথায়?")</f>
        <v>বলি খেলার উৎপত্তি কোথায়?</v>
      </c>
      <c r="K2" s="6" t="str">
        <f>IFERROR(__xludf.DUMMYFUNCTION("GOOGLETRANSLATE(C2, ""en"", ""bn"")"),"ক) ভারত, খ) বাংলাদেশ, গ) নেপাল, ঘ) শ্রীলঙ্কা")</f>
        <v>ক) ভারত, খ) বাংলাদেশ, গ) নেপাল, ঘ) শ্রীলঙ্কা</v>
      </c>
      <c r="L2" s="5" t="str">
        <f>IFERROR(__xludf.DUMMYFUNCTION("GOOGLETRANSLATE(D2, ""en"", ""bn"")"),"খ) বাংলাদেশ")</f>
        <v>খ) বাংলাদেশ</v>
      </c>
      <c r="M2" s="6" t="str">
        <f>IFERROR(__xludf.DUMMYFUNCTION("GOOGLETRANSLATE(E2, ""en"", ""bn"")"),"বলি খেলা বাংলাদেশের একটি ঐতিহ্যবাহী খেলা, বিশেষ করে রাজশাহী অঞ্চলের।")</f>
        <v>বলি খেলা বাংলাদেশের একটি ঐতিহ্যবাহী খেলা, বিশেষ করে রাজশাহী অঞ্চলের।</v>
      </c>
    </row>
    <row r="3">
      <c r="A3" s="4">
        <v>2.0</v>
      </c>
      <c r="B3" s="4" t="s">
        <v>14</v>
      </c>
      <c r="C3" s="4" t="s">
        <v>15</v>
      </c>
      <c r="D3" s="4" t="s">
        <v>16</v>
      </c>
      <c r="E3" s="4" t="s">
        <v>17</v>
      </c>
      <c r="I3" s="5" t="str">
        <f>IFERROR(__xludf.DUMMYFUNCTION("GOOGLETRANSLATE(A3, ""en"", ""bn"")"),"২")</f>
        <v>২</v>
      </c>
      <c r="J3" s="6" t="str">
        <f>IFERROR(__xludf.DUMMYFUNCTION("GOOGLETRANSLATE(B3, ""en"", ""bn"")"),"বলি খেলায় প্রাথমিক উদ্দেশ্য কী?")</f>
        <v>বলি খেলায় প্রাথমিক উদ্দেশ্য কী?</v>
      </c>
      <c r="K3" s="6" t="str">
        <f>IFERROR(__xludf.DUMMYFUNCTION("GOOGLETRANSLATE(C3, ""en"", ""bn"")"),"ক) দৌড়, খ) কুস্তি, গ) বল নিক্ষেপ, ঘ) লাথি মারা")</f>
        <v>ক) দৌড়, খ) কুস্তি, গ) বল নিক্ষেপ, ঘ) লাথি মারা</v>
      </c>
      <c r="L3" s="5" t="str">
        <f>IFERROR(__xludf.DUMMYFUNCTION("GOOGLETRANSLATE(D3, ""en"", ""bn"")"),"খ) কুস্তি")</f>
        <v>খ) কুস্তি</v>
      </c>
      <c r="M3" s="6" t="str">
        <f>IFERROR(__xludf.DUMMYFUNCTION("GOOGLETRANSLATE(E3, ""en"", ""bn"")"),"বলি খেলার মূল লক্ষ্য হল কুস্তি প্রতিযোগিতায় অংশগ্রহণ করা।")</f>
        <v>বলি খেলার মূল লক্ষ্য হল কুস্তি প্রতিযোগিতায় অংশগ্রহণ করা।</v>
      </c>
    </row>
    <row r="4">
      <c r="A4" s="4">
        <v>3.0</v>
      </c>
      <c r="B4" s="4" t="s">
        <v>18</v>
      </c>
      <c r="C4" s="4" t="s">
        <v>19</v>
      </c>
      <c r="D4" s="4" t="s">
        <v>20</v>
      </c>
      <c r="E4" s="4" t="s">
        <v>21</v>
      </c>
      <c r="I4" s="5" t="str">
        <f>IFERROR(__xludf.DUMMYFUNCTION("GOOGLETRANSLATE(A4, ""en"", ""bn"")"),"৩")</f>
        <v>৩</v>
      </c>
      <c r="J4" s="6" t="str">
        <f>IFERROR(__xludf.DUMMYFUNCTION("GOOGLETRANSLATE(B4, ""en"", ""bn"")"),"ঐতিহ্যবাহীভাবে বলি খেলা কখন খেলা হয়?")</f>
        <v>ঐতিহ্যবাহীভাবে বলি খেলা কখন খেলা হয়?</v>
      </c>
      <c r="K4" s="6" t="str">
        <f>IFERROR(__xludf.DUMMYFUNCTION("GOOGLETRANSLATE(C4, ""en"", ""bn"")"),"ক) শীতকাল, খ) গ্রীষ্মকাল, গ) উৎসবের সময়, ঘ) বসন্তকাল")</f>
        <v>ক) শীতকাল, খ) গ্রীষ্মকাল, গ) উৎসবের সময়, ঘ) বসন্তকাল</v>
      </c>
      <c r="L4" s="5" t="str">
        <f>IFERROR(__xludf.DUMMYFUNCTION("GOOGLETRANSLATE(D4, ""en"", ""bn"")"),"গ) উৎসবের সময়")</f>
        <v>গ) উৎসবের সময়</v>
      </c>
      <c r="M4" s="6" t="str">
        <f>IFERROR(__xludf.DUMMYFUNCTION("GOOGLETRANSLATE(E4, ""en"", ""bn"")"),"বলি খেলা ঐতিহ্যগতভাবে বাংলা নববর্ষ (পহেলা বৈশাখ) এবং অন্যান্য উৎসবের সময় খেলা হয়।")</f>
        <v>বলি খেলা ঐতিহ্যগতভাবে বাংলা নববর্ষ (পহেলা বৈশাখ) এবং অন্যান্য উৎসবের সময় খেলা হয়।</v>
      </c>
    </row>
    <row r="5">
      <c r="A5" s="4">
        <v>4.0</v>
      </c>
      <c r="B5" s="4" t="s">
        <v>22</v>
      </c>
      <c r="C5" s="4" t="s">
        <v>23</v>
      </c>
      <c r="D5" s="4" t="s">
        <v>24</v>
      </c>
      <c r="E5" s="4" t="s">
        <v>25</v>
      </c>
      <c r="I5" s="5" t="str">
        <f>IFERROR(__xludf.DUMMYFUNCTION("GOOGLETRANSLATE(A5, ""en"", ""bn"")"),"৪")</f>
        <v>৪</v>
      </c>
      <c r="J5" s="6" t="str">
        <f>IFERROR(__xludf.DUMMYFUNCTION("GOOGLETRANSLATE(B5, ""en"", ""bn"")"),"বাংলাদেশের কোন অঞ্চলে বলি খেলা সবচেয়ে বেশি জনপ্রিয়?")</f>
        <v>বাংলাদেশের কোন অঞ্চলে বলি খেলা সবচেয়ে বেশি জনপ্রিয়?</v>
      </c>
      <c r="K5" s="6" t="str">
        <f>IFERROR(__xludf.DUMMYFUNCTION("GOOGLETRANSLATE(C5, ""en"", ""bn"")"),"ক) চট্টগ্রাম, খ) রাজশাহী, গ) ঢাকা, ঘ) খুলনা")</f>
        <v>ক) চট্টগ্রাম, খ) রাজশাহী, গ) ঢাকা, ঘ) খুলনা</v>
      </c>
      <c r="L5" s="5" t="str">
        <f>IFERROR(__xludf.DUMMYFUNCTION("GOOGLETRANSLATE(D5, ""en"", ""bn"")"),"খ) রাজশাহী")</f>
        <v>খ) রাজশাহী</v>
      </c>
      <c r="M5" s="6" t="str">
        <f>IFERROR(__xludf.DUMMYFUNCTION("GOOGLETRANSLATE(E5, ""en"", ""bn"")"),"বাংলাদেশের রাজশাহী অঞ্চলে এই খেলাটি সবচেয়ে জনপ্রিয়।")</f>
        <v>বাংলাদেশের রাজশাহী অঞ্চলে এই খেলাটি সবচেয়ে জনপ্রিয়।</v>
      </c>
    </row>
    <row r="6">
      <c r="A6" s="4">
        <v>5.0</v>
      </c>
      <c r="B6" s="4" t="s">
        <v>26</v>
      </c>
      <c r="C6" s="4" t="s">
        <v>27</v>
      </c>
      <c r="D6" s="4" t="s">
        <v>28</v>
      </c>
      <c r="E6" s="4" t="s">
        <v>29</v>
      </c>
      <c r="I6" s="5" t="str">
        <f>IFERROR(__xludf.DUMMYFUNCTION("GOOGLETRANSLATE(A6, ""en"", ""bn"")"),"৫")</f>
        <v>৫</v>
      </c>
      <c r="J6" s="6" t="str">
        <f>IFERROR(__xludf.DUMMYFUNCTION("GOOGLETRANSLATE(B6, ""en"", ""bn"")"),"বলি খেলায় অংশগ্রহণকারীদের ঐতিহ্যবাহী পোশাক কী?")</f>
        <v>বলি খেলায় অংশগ্রহণকারীদের ঐতিহ্যবাহী পোশাক কী?</v>
      </c>
      <c r="K6" s="6" t="str">
        <f>IFERROR(__xludf.DUMMYFUNCTION("GOOGLETRANSLATE(C6, ""en"", ""bn"")"),"ক) শর্টস এবং টি-শার্ট, খ) লুঙ্গি, গ) ঐতিহ্যবাহী বাঙালি পোশাক, ঘ) জিন্স")</f>
        <v>ক) শর্টস এবং টি-শার্ট, খ) লুঙ্গি, গ) ঐতিহ্যবাহী বাঙালি পোশাক, ঘ) জিন্স</v>
      </c>
      <c r="L6" s="5" t="str">
        <f>IFERROR(__xludf.DUMMYFUNCTION("GOOGLETRANSLATE(D6, ""en"", ""bn"")"),"খ) লুঙ্গি")</f>
        <v>খ) লুঙ্গি</v>
      </c>
      <c r="M6" s="6" t="str">
        <f>IFERROR(__xludf.DUMMYFUNCTION("GOOGLETRANSLATE(E6, ""en"", ""bn"")"),"অংশগ্রহণকারীরা ঐতিহ্যগতভাবে লুঙ্গি পরেন, যা বাংলাদেশের গ্রামাঞ্চলে প্রচলিত একটি পোশাক।")</f>
        <v>অংশগ্রহণকারীরা ঐতিহ্যগতভাবে লুঙ্গি পরেন, যা বাংলাদেশের গ্রামাঞ্চলে প্রচলিত একটি পোশাক।</v>
      </c>
    </row>
    <row r="7">
      <c r="A7" s="4">
        <v>6.0</v>
      </c>
      <c r="B7" s="4" t="s">
        <v>30</v>
      </c>
      <c r="C7" s="4" t="s">
        <v>31</v>
      </c>
      <c r="D7" s="4" t="s">
        <v>32</v>
      </c>
      <c r="E7" s="4" t="s">
        <v>33</v>
      </c>
      <c r="I7" s="5" t="str">
        <f>IFERROR(__xludf.DUMMYFUNCTION("GOOGLETRANSLATE(A7, ""en"", ""bn"")"),"৬")</f>
        <v>৬</v>
      </c>
      <c r="J7" s="6" t="str">
        <f>IFERROR(__xludf.DUMMYFUNCTION("GOOGLETRANSLATE(B7, ""en"", ""bn"")"),"বলি খেলায় কোন প্রাণীকে প্রায়শই প্রতীক হিসেবে ব্যবহার করা হয়?")</f>
        <v>বলি খেলায় কোন প্রাণীকে প্রায়শই প্রতীক হিসেবে ব্যবহার করা হয়?</v>
      </c>
      <c r="K7" s="6" t="str">
        <f>IFERROR(__xludf.DUMMYFUNCTION("GOOGLETRANSLATE(C7, ""en"", ""bn"")"),"ক) বাঘ, খ) হাতি, গ) ষাঁড়, ঘ) ঘোড়া")</f>
        <v>ক) বাঘ, খ) হাতি, গ) ষাঁড়, ঘ) ঘোড়া</v>
      </c>
      <c r="L7" s="5" t="str">
        <f>IFERROR(__xludf.DUMMYFUNCTION("GOOGLETRANSLATE(D7, ""en"", ""bn"")"),"গ) ষাঁড়")</f>
        <v>গ) ষাঁড়</v>
      </c>
      <c r="M7" s="6" t="str">
        <f>IFERROR(__xludf.DUMMYFUNCTION("GOOGLETRANSLATE(E7, ""en"", ""bn"")"),"বলি খেলায় ষাঁড়কে প্রায়শই প্রতীকীভাবে শক্তি এবং সংকল্পের সাথে যুক্ত করা হয়।")</f>
        <v>বলি খেলায় ষাঁড়কে প্রায়শই প্রতীকীভাবে শক্তি এবং সংকল্পের সাথে যুক্ত করা হয়।</v>
      </c>
    </row>
    <row r="8">
      <c r="A8" s="4">
        <v>7.0</v>
      </c>
      <c r="B8" s="4" t="s">
        <v>34</v>
      </c>
      <c r="C8" s="4" t="s">
        <v>35</v>
      </c>
      <c r="D8" s="4" t="s">
        <v>36</v>
      </c>
      <c r="E8" s="4" t="s">
        <v>37</v>
      </c>
      <c r="I8" s="5" t="str">
        <f>IFERROR(__xludf.DUMMYFUNCTION("GOOGLETRANSLATE(A8, ""en"", ""bn"")"),"৭")</f>
        <v>৭</v>
      </c>
      <c r="J8" s="6" t="str">
        <f>IFERROR(__xludf.DUMMYFUNCTION("GOOGLETRANSLATE(B8, ""en"", ""bn"")"),"বলি খেলা প্রায়শই কোন ধরণের অনুষ্ঠানের সময় অনুষ্ঠিত হয়?")</f>
        <v>বলি খেলা প্রায়শই কোন ধরণের অনুষ্ঠানের সময় অনুষ্ঠিত হয়?</v>
      </c>
      <c r="K8" s="6" t="str">
        <f>IFERROR(__xludf.DUMMYFUNCTION("GOOGLETRANSLATE(C8, ""en"", ""bn"")"),"ক) ধর্মীয় অনুষ্ঠান, খ) রাজনৈতিক সমাবেশ, গ) সাংস্কৃতিক উৎসব, ঘ) ক্রীড়া প্রতিযোগিতা")</f>
        <v>ক) ধর্মীয় অনুষ্ঠান, খ) রাজনৈতিক সমাবেশ, গ) সাংস্কৃতিক উৎসব, ঘ) ক্রীড়া প্রতিযোগিতা</v>
      </c>
      <c r="L8" s="5" t="str">
        <f>IFERROR(__xludf.DUMMYFUNCTION("GOOGLETRANSLATE(D8, ""en"", ""bn"")"),"গ) সাংস্কৃতিক উৎসব")</f>
        <v>গ) সাংস্কৃতিক উৎসব</v>
      </c>
      <c r="M8" s="6" t="str">
        <f>IFERROR(__xludf.DUMMYFUNCTION("GOOGLETRANSLATE(E8, ""en"", ""bn"")"),"বলি খেলা সাধারণত বৃহত্তর সাংস্কৃতিক উদযাপন এবং স্থানীয় উৎসবের অংশ।")</f>
        <v>বলি খেলা সাধারণত বৃহত্তর সাংস্কৃতিক উদযাপন এবং স্থানীয় উৎসবের অংশ।</v>
      </c>
    </row>
    <row r="9">
      <c r="A9" s="4">
        <v>8.0</v>
      </c>
      <c r="B9" s="4" t="s">
        <v>38</v>
      </c>
      <c r="C9" s="4" t="s">
        <v>39</v>
      </c>
      <c r="D9" s="4" t="s">
        <v>40</v>
      </c>
      <c r="E9" s="4" t="s">
        <v>41</v>
      </c>
      <c r="I9" s="5" t="str">
        <f>IFERROR(__xludf.DUMMYFUNCTION("GOOGLETRANSLATE(A9, ""en"", ""bn"")"),"৮")</f>
        <v>৮</v>
      </c>
      <c r="J9" s="6" t="str">
        <f>IFERROR(__xludf.DUMMYFUNCTION("GOOGLETRANSLATE(B9, ""en"", ""bn"")"),"বলি খেলায় সাধারণত কতজন অংশগ্রহণকারী অংশগ্রহণ করে?")</f>
        <v>বলি খেলায় সাধারণত কতজন অংশগ্রহণকারী অংশগ্রহণ করে?</v>
      </c>
      <c r="K9" s="6" t="str">
        <f>IFERROR(__xludf.DUMMYFUNCTION("GOOGLETRANSLATE(C9, ""en"", ""bn"")"),"ক) ১, খ) ২, গ) ৫, ঘ) ১০")</f>
        <v>ক) ১, খ) ২, গ) ৫, ঘ) ১০</v>
      </c>
      <c r="L9" s="5" t="str">
        <f>IFERROR(__xludf.DUMMYFUNCTION("GOOGLETRANSLATE(D9, ""en"", ""bn"")"),"খ) ২")</f>
        <v>খ) ২</v>
      </c>
      <c r="M9" s="6" t="str">
        <f>IFERROR(__xludf.DUMMYFUNCTION("GOOGLETRANSLATE(E9, ""en"", ""bn"")"),"এই খেলায় সাধারণত দুজন প্রতিযোগী অংশগ্রহণ করেন, যারা প্রায়শই বিভিন্ন গ্রাম বা দলের প্রতিনিধিত্ব করেন।")</f>
        <v>এই খেলায় সাধারণত দুজন প্রতিযোগী অংশগ্রহণ করেন, যারা প্রায়শই বিভিন্ন গ্রাম বা দলের প্রতিনিধিত্ব করেন।</v>
      </c>
    </row>
    <row r="10">
      <c r="A10" s="4">
        <v>9.0</v>
      </c>
      <c r="B10" s="4" t="s">
        <v>42</v>
      </c>
      <c r="C10" s="4" t="s">
        <v>43</v>
      </c>
      <c r="D10" s="4" t="s">
        <v>44</v>
      </c>
      <c r="E10" s="4" t="s">
        <v>45</v>
      </c>
      <c r="I10" s="5" t="str">
        <f>IFERROR(__xludf.DUMMYFUNCTION("GOOGLETRANSLATE(A10, ""en"", ""bn"")"),"৯")</f>
        <v>৯</v>
      </c>
      <c r="J10" s="6" t="str">
        <f>IFERROR(__xludf.DUMMYFUNCTION("GOOGLETRANSLATE(B10, ""en"", ""bn"")"),"বলি খেলা খেলার একটি মূল বৈশিষ্ট্য কী?")</f>
        <v>বলি খেলা খেলার একটি মূল বৈশিষ্ট্য কী?</v>
      </c>
      <c r="K10" s="6" t="str">
        <f>IFERROR(__xludf.DUMMYFUNCTION("GOOGLETRANSLATE(C10, ""en"", ""bn"")"),"ক) গতি, খ) সহনশীলতা, গ) শক্তি, ঘ) তত্পরতা")</f>
        <v>ক) গতি, খ) সহনশীলতা, গ) শক্তি, ঘ) তত্পরতা</v>
      </c>
      <c r="L10" s="5" t="str">
        <f>IFERROR(__xludf.DUMMYFUNCTION("GOOGLETRANSLATE(D10, ""en"", ""bn"")"),"গ) শক্তি")</f>
        <v>গ) শক্তি</v>
      </c>
      <c r="M10" s="6" t="str">
        <f>IFERROR(__xludf.DUMMYFUNCTION("GOOGLETRANSLATE(E10, ""en"", ""bn"")"),"বলি খেলায় অংশগ্রহণকারীদের শারীরিক শক্তি এবং কুস্তির দক্ষতার উপর জোর দেওয়া হয়।")</f>
        <v>বলি খেলায় অংশগ্রহণকারীদের শারীরিক শক্তি এবং কুস্তির দক্ষতার উপর জোর দেওয়া হয়।</v>
      </c>
    </row>
    <row r="11">
      <c r="A11" s="4">
        <v>10.0</v>
      </c>
      <c r="B11" s="4" t="s">
        <v>46</v>
      </c>
      <c r="C11" s="4" t="s">
        <v>47</v>
      </c>
      <c r="D11" s="4" t="s">
        <v>48</v>
      </c>
      <c r="E11" s="4" t="s">
        <v>49</v>
      </c>
      <c r="I11" s="5" t="str">
        <f>IFERROR(__xludf.DUMMYFUNCTION("GOOGLETRANSLATE(A11, ""en"", ""bn"")"),"১০")</f>
        <v>১০</v>
      </c>
      <c r="J11" s="6" t="str">
        <f>IFERROR(__xludf.DUMMYFUNCTION("GOOGLETRANSLATE(B11, ""en"", ""bn"")"),"বলি খেলা ম্যাচের বিজয়ীর জন্য কী পুরষ্কার থাকবে?")</f>
        <v>বলি খেলা ম্যাচের বিজয়ীর জন্য কী পুরষ্কার থাকবে?</v>
      </c>
      <c r="K11" s="6" t="str">
        <f>IFERROR(__xludf.DUMMYFUNCTION("GOOGLETRANSLATE(C11, ""en"", ""bn"")"),"ক) টাকা, খ) একটি ট্রফি, গ) একটি ষাঁড়, ঘ) একটি খেতাব")</f>
        <v>ক) টাকা, খ) একটি ট্রফি, গ) একটি ষাঁড়, ঘ) একটি খেতাব</v>
      </c>
      <c r="L11" s="5" t="str">
        <f>IFERROR(__xludf.DUMMYFUNCTION("GOOGLETRANSLATE(D11, ""en"", ""bn"")"),"ঘ) একটি উপাধি")</f>
        <v>ঘ) একটি উপাধি</v>
      </c>
      <c r="M11" s="6" t="str">
        <f>IFERROR(__xludf.DUMMYFUNCTION("GOOGLETRANSLATE(E11, ""en"", ""bn"")"),"ম্যাচের বিজয়ীকে প্রায়শই 'চ্যাম্পিয়ন' উপাধি দেওয়া হয়, যা তাদের শক্তি এবং বীরত্বের প্রতীক।")</f>
        <v>ম্যাচের বিজয়ীকে প্রায়শই 'চ্যাম্পিয়ন' উপাধি দেওয়া হয়, যা তাদের শক্তি এবং বীরত্বের প্রতীক।</v>
      </c>
    </row>
    <row r="12">
      <c r="A12" s="4">
        <v>11.0</v>
      </c>
      <c r="B12" s="4" t="s">
        <v>50</v>
      </c>
      <c r="C12" s="4" t="s">
        <v>51</v>
      </c>
      <c r="D12" s="4" t="s">
        <v>52</v>
      </c>
      <c r="E12" s="4" t="s">
        <v>53</v>
      </c>
      <c r="I12" s="5" t="str">
        <f>IFERROR(__xludf.DUMMYFUNCTION("GOOGLETRANSLATE(A12, ""en"", ""bn"")"),"১১")</f>
        <v>১১</v>
      </c>
      <c r="J12" s="6" t="str">
        <f>IFERROR(__xludf.DUMMYFUNCTION("GOOGLETRANSLATE(B12, ""en"", ""bn"")"),"বছরের কোন অংশে বলি খেলা সবচেয়ে গুরুত্বপূর্ণ বলে বিবেচিত হয়?")</f>
        <v>বছরের কোন অংশে বলি খেলা সবচেয়ে গুরুত্বপূর্ণ বলে বিবেচিত হয়?</v>
      </c>
      <c r="K12" s="6" t="str">
        <f>IFERROR(__xludf.DUMMYFUNCTION("GOOGLETRANSLATE(C12, ""en"", ""bn"")"),"ক) শীতকাল, খ) বসন্তকাল, গ) গ্রীষ্মকাল, ঘ) শরৎকাল")</f>
        <v>ক) শীতকাল, খ) বসন্তকাল, গ) গ্রীষ্মকাল, ঘ) শরৎকাল</v>
      </c>
      <c r="L12" s="5" t="str">
        <f>IFERROR(__xludf.DUMMYFUNCTION("GOOGLETRANSLATE(D12, ""en"", ""bn"")"),"খ) বসন্তকাল")</f>
        <v>খ) বসন্তকাল</v>
      </c>
      <c r="M12" s="6" t="str">
        <f>IFERROR(__xludf.DUMMYFUNCTION("GOOGLETRANSLATE(E12, ""en"", ""bn"")"),"বসন্তকালে বাংলা নববর্ষ উদযাপনের সময় এই খেলাটি সবচেয়ে তাৎপর্যপূর্ণ।")</f>
        <v>বসন্তকালে বাংলা নববর্ষ উদযাপনের সময় এই খেলাটি সবচেয়ে তাৎপর্যপূর্ণ।</v>
      </c>
    </row>
    <row r="13">
      <c r="A13" s="4">
        <v>12.0</v>
      </c>
      <c r="B13" s="4" t="s">
        <v>54</v>
      </c>
      <c r="C13" s="4" t="s">
        <v>55</v>
      </c>
      <c r="D13" s="4" t="s">
        <v>56</v>
      </c>
      <c r="E13" s="4" t="s">
        <v>57</v>
      </c>
      <c r="I13" s="5" t="str">
        <f>IFERROR(__xludf.DUMMYFUNCTION("GOOGLETRANSLATE(A13, ""en"", ""bn"")"),"১২")</f>
        <v>১২</v>
      </c>
      <c r="J13" s="6" t="str">
        <f>IFERROR(__xludf.DUMMYFUNCTION("GOOGLETRANSLATE(B13, ""en"", ""bn"")"),"বলি খেলার অন্যতম শারীরিক চ্যালেঞ্জ কী?")</f>
        <v>বলি খেলার অন্যতম শারীরিক চ্যালেঞ্জ কী?</v>
      </c>
      <c r="K13" s="6" t="str">
        <f>IFERROR(__xludf.DUMMYFUNCTION("GOOGLETRANSLATE(C13, ""en"", ""bn"")"),"ক) সাঁতার, খ) দীর্ঘ দূরত্বের দৌড়, গ) কাদায় কুস্তি, ঘ) লাফানো")</f>
        <v>ক) সাঁতার, খ) দীর্ঘ দূরত্বের দৌড়, গ) কাদায় কুস্তি, ঘ) লাফানো</v>
      </c>
      <c r="L13" s="5" t="str">
        <f>IFERROR(__xludf.DUMMYFUNCTION("GOOGLETRANSLATE(D13, ""en"", ""bn"")"),"গ) কাদায় কুস্তি")</f>
        <v>গ) কাদায় কুস্তি</v>
      </c>
      <c r="M13" s="6" t="str">
        <f>IFERROR(__xludf.DUMMYFUNCTION("GOOGLETRANSLATE(E13, ""en"", ""bn"")"),"এই খেলাটিতে প্রায়শই কর্দমাক্ত মাঠে কুস্তি জড়িত থাকে, যা খেলার জটিলতা আরও বাড়িয়ে তোলে।")</f>
        <v>এই খেলাটিতে প্রায়শই কর্দমাক্ত মাঠে কুস্তি জড়িত থাকে, যা খেলার জটিলতা আরও বাড়িয়ে তোলে।</v>
      </c>
    </row>
    <row r="14">
      <c r="A14" s="4">
        <v>13.0</v>
      </c>
      <c r="B14" s="4" t="s">
        <v>58</v>
      </c>
      <c r="C14" s="4" t="s">
        <v>59</v>
      </c>
      <c r="D14" s="4" t="s">
        <v>60</v>
      </c>
      <c r="E14" s="4" t="s">
        <v>61</v>
      </c>
      <c r="I14" s="5" t="str">
        <f>IFERROR(__xludf.DUMMYFUNCTION("GOOGLETRANSLATE(A14, ""en"", ""bn"")"),"১৩")</f>
        <v>১৩</v>
      </c>
      <c r="J14" s="6" t="str">
        <f>IFERROR(__xludf.DUMMYFUNCTION("GOOGLETRANSLATE(B14, ""en"", ""bn"")"),"ঐতিহ্যবাহী সমাজে বলি খেলার উদ্দেশ্য কী?")</f>
        <v>ঐতিহ্যবাহী সমাজে বলি খেলার উদ্দেশ্য কী?</v>
      </c>
      <c r="K14" s="6" t="str">
        <f>IFERROR(__xludf.DUMMYFUNCTION("GOOGLETRANSLATE(C14, ""en"", ""bn"")"),"ক) বিনোদন, খ) শক্তি প্রদর্শন, গ) সামরিক প্রশিক্ষণ, ঘ) দক্ষতা উন্নয়ন")</f>
        <v>ক) বিনোদন, খ) শক্তি প্রদর্শন, গ) সামরিক প্রশিক্ষণ, ঘ) দক্ষতা উন্নয়ন</v>
      </c>
      <c r="L14" s="5" t="str">
        <f>IFERROR(__xludf.DUMMYFUNCTION("GOOGLETRANSLATE(D14, ""en"", ""bn"")"),"খ) শক্তি প্রদর্শন")</f>
        <v>খ) শক্তি প্রদর্শন</v>
      </c>
      <c r="M14" s="6" t="str">
        <f>IFERROR(__xludf.DUMMYFUNCTION("GOOGLETRANSLATE(E14, ""en"", ""bn"")"),"বলি খেলা হল শারীরিক শক্তি এবং কুস্তি দক্ষতা প্রদর্শন এবং উদযাপনের একটি উপায়।")</f>
        <v>বলি খেলা হল শারীরিক শক্তি এবং কুস্তি দক্ষতা প্রদর্শন এবং উদযাপনের একটি উপায়।</v>
      </c>
    </row>
    <row r="15">
      <c r="A15" s="4">
        <v>14.0</v>
      </c>
      <c r="B15" s="4" t="s">
        <v>62</v>
      </c>
      <c r="C15" s="4" t="s">
        <v>63</v>
      </c>
      <c r="D15" s="4" t="s">
        <v>64</v>
      </c>
      <c r="E15" s="4" t="s">
        <v>65</v>
      </c>
      <c r="I15" s="5" t="str">
        <f>IFERROR(__xludf.DUMMYFUNCTION("GOOGLETRANSLATE(A15, ""en"", ""bn"")"),"১৪")</f>
        <v>১৪</v>
      </c>
      <c r="J15" s="6" t="str">
        <f>IFERROR(__xludf.DUMMYFUNCTION("GOOGLETRANSLATE(B15, ""en"", ""bn"")"),"বলি খেলা আর কোন ঐতিহ্যবাহী বাঙালি খেলার সাথে সাদৃশ্যপূর্ণ?")</f>
        <v>বলি খেলা আর কোন ঐতিহ্যবাহী বাঙালি খেলার সাথে সাদৃশ্যপূর্ণ?</v>
      </c>
      <c r="K15" s="6" t="str">
        <f>IFERROR(__xludf.DUMMYFUNCTION("GOOGLETRANSLATE(C15, ""en"", ""bn"")"),"ক) কাবাডি, খ) খো খো, গ) কুস্তি, ঘ) ভলিবল")</f>
        <v>ক) কাবাডি, খ) খো খো, গ) কুস্তি, ঘ) ভলিবল</v>
      </c>
      <c r="L15" s="5" t="str">
        <f>IFERROR(__xludf.DUMMYFUNCTION("GOOGLETRANSLATE(D15, ""en"", ""bn"")"),"গ) কুস্তি")</f>
        <v>গ) কুস্তি</v>
      </c>
      <c r="M15" s="6" t="str">
        <f>IFERROR(__xludf.DUMMYFUNCTION("GOOGLETRANSLATE(E15, ""en"", ""bn"")"),"বলি খেলা ঐতিহ্যবাহী কুস্তির সাথে মিল রাখে, বিশেষ করে শক্তির উপর জোর দেওয়ার ক্ষেত্রে।")</f>
        <v>বলি খেলা ঐতিহ্যবাহী কুস্তির সাথে মিল রাখে, বিশেষ করে শক্তির উপর জোর দেওয়ার ক্ষেত্রে।</v>
      </c>
    </row>
    <row r="16">
      <c r="A16" s="4">
        <v>15.0</v>
      </c>
      <c r="B16" s="4" t="s">
        <v>66</v>
      </c>
      <c r="C16" s="4" t="s">
        <v>67</v>
      </c>
      <c r="D16" s="4" t="s">
        <v>68</v>
      </c>
      <c r="E16" s="4" t="s">
        <v>69</v>
      </c>
      <c r="I16" s="5" t="str">
        <f>IFERROR(__xludf.DUMMYFUNCTION("GOOGLETRANSLATE(A16, ""en"", ""bn"")"),"১৫")</f>
        <v>১৫</v>
      </c>
      <c r="J16" s="6" t="str">
        <f>IFERROR(__xludf.DUMMYFUNCTION("GOOGLETRANSLATE(B16, ""en"", ""bn"")"),"অতীতে বলি খেলায় সাধারণ অংশগ্রহণকারী কারা ছিলেন?")</f>
        <v>অতীতে বলি খেলায় সাধারণ অংশগ্রহণকারী কারা ছিলেন?</v>
      </c>
      <c r="K16" s="6" t="str">
        <f>IFERROR(__xludf.DUMMYFUNCTION("GOOGLETRANSLATE(C16, ""en"", ""bn"")"),"ক) কৃষক, খ) ব্যবসায়ী, গ) কুস্তিগীর, ঘ) সৈনিক")</f>
        <v>ক) কৃষক, খ) ব্যবসায়ী, গ) কুস্তিগীর, ঘ) সৈনিক</v>
      </c>
      <c r="L16" s="5" t="str">
        <f>IFERROR(__xludf.DUMMYFUNCTION("GOOGLETRANSLATE(D16, ""en"", ""bn"")"),"ক) কৃষক")</f>
        <v>ক) কৃষক</v>
      </c>
      <c r="M16" s="6" t="str">
        <f>IFERROR(__xludf.DUMMYFUNCTION("GOOGLETRANSLATE(E16, ""en"", ""bn"")"),"ঐতিহাসিকভাবে, কৃষকরা ছিলেন প্রধান অংশগ্রহণকারী, কারণ তারা তাদের শারীরিক শক্তির জন্য পরিচিত ছিল।")</f>
        <v>ঐতিহাসিকভাবে, কৃষকরা ছিলেন প্রধান অংশগ্রহণকারী, কারণ তারা তাদের শারীরিক শক্তির জন্য পরিচিত ছিল।</v>
      </c>
    </row>
    <row r="17">
      <c r="A17" s="4">
        <v>16.0</v>
      </c>
      <c r="B17" s="4" t="s">
        <v>70</v>
      </c>
      <c r="C17" s="4" t="s">
        <v>71</v>
      </c>
      <c r="D17" s="4" t="s">
        <v>72</v>
      </c>
      <c r="E17" s="4" t="s">
        <v>73</v>
      </c>
      <c r="I17" s="5" t="str">
        <f>IFERROR(__xludf.DUMMYFUNCTION("GOOGLETRANSLATE(A17, ""en"", ""bn"")"),"১৬")</f>
        <v>১৬</v>
      </c>
      <c r="J17" s="6" t="str">
        <f>IFERROR(__xludf.DUMMYFUNCTION("GOOGLETRANSLATE(B17, ""en"", ""bn"")"),"বলি খেলা কোন ধরণের দর্শক আকর্ষণ করে?")</f>
        <v>বলি খেলা কোন ধরণের দর্শক আকর্ষণ করে?</v>
      </c>
      <c r="K17" s="6" t="str">
        <f>IFERROR(__xludf.DUMMYFUNCTION("GOOGLETRANSLATE(C17, ""en"", ""bn"")"),"ক) আন্তর্জাতিক দর্শক, খ) স্থানীয় গ্রামবাসী, গ) রাজনৈতিক নেতা, ঘ) পর্যটক")</f>
        <v>ক) আন্তর্জাতিক দর্শক, খ) স্থানীয় গ্রামবাসী, গ) রাজনৈতিক নেতা, ঘ) পর্যটক</v>
      </c>
      <c r="L17" s="5" t="str">
        <f>IFERROR(__xludf.DUMMYFUNCTION("GOOGLETRANSLATE(D17, ""en"", ""bn"")"),"খ) স্থানীয় গ্রামবাসী")</f>
        <v>খ) স্থানীয় গ্রামবাসী</v>
      </c>
      <c r="M17" s="6" t="str">
        <f>IFERROR(__xludf.DUMMYFUNCTION("GOOGLETRANSLATE(E17, ""en"", ""bn"")"),"বলি খেলা ঐতিহ্যগতভাবে স্থানীয় দর্শকদের আকর্ষণ করে, যার মধ্যে গ্রামবাসীরাও এই অনুষ্ঠান উদযাপন করে।")</f>
        <v>বলি খেলা ঐতিহ্যগতভাবে স্থানীয় দর্শকদের আকর্ষণ করে, যার মধ্যে গ্রামবাসীরাও এই অনুষ্ঠান উদযাপন করে।</v>
      </c>
    </row>
    <row r="18">
      <c r="A18" s="4">
        <v>17.0</v>
      </c>
      <c r="B18" s="4" t="s">
        <v>74</v>
      </c>
      <c r="C18" s="4" t="s">
        <v>75</v>
      </c>
      <c r="D18" s="4" t="s">
        <v>12</v>
      </c>
      <c r="E18" s="4" t="s">
        <v>76</v>
      </c>
      <c r="I18" s="5" t="str">
        <f>IFERROR(__xludf.DUMMYFUNCTION("GOOGLETRANSLATE(A18, ""en"", ""bn"")"),"১৭")</f>
        <v>১৭</v>
      </c>
      <c r="J18" s="6" t="str">
        <f>IFERROR(__xludf.DUMMYFUNCTION("GOOGLETRANSLATE(B18, ""en"", ""bn"")"),"কোন দেশে বলি খেলা লোক ঐতিহ্যের আবাসস্থল?")</f>
        <v>কোন দেশে বলি খেলা লোক ঐতিহ্যের আবাসস্থল?</v>
      </c>
      <c r="K18" s="6" t="str">
        <f>IFERROR(__xludf.DUMMYFUNCTION("GOOGLETRANSLATE(C18, ""en"", ""bn"")"),"ক) ভারত, খ) বাংলাদেশ, গ) পাকিস্তান, ঘ) নেপাল")</f>
        <v>ক) ভারত, খ) বাংলাদেশ, গ) পাকিস্তান, ঘ) নেপাল</v>
      </c>
      <c r="L18" s="5" t="str">
        <f>IFERROR(__xludf.DUMMYFUNCTION("GOOGLETRANSLATE(D18, ""en"", ""bn"")"),"খ) বাংলাদেশ")</f>
        <v>খ) বাংলাদেশ</v>
      </c>
      <c r="M18" s="6" t="str">
        <f>IFERROR(__xludf.DUMMYFUNCTION("GOOGLETRANSLATE(E18, ""en"", ""bn"")"),"বলি খেলা একটি ঐতিহ্যবাহী খেলা যা বাংলাদেশ থেকে উদ্ভূত।")</f>
        <v>বলি খেলা একটি ঐতিহ্যবাহী খেলা যা বাংলাদেশ থেকে উদ্ভূত।</v>
      </c>
    </row>
    <row r="19">
      <c r="A19" s="4">
        <v>18.0</v>
      </c>
      <c r="B19" s="4" t="s">
        <v>77</v>
      </c>
      <c r="C19" s="4" t="s">
        <v>78</v>
      </c>
      <c r="D19" s="4" t="s">
        <v>79</v>
      </c>
      <c r="E19" s="4" t="s">
        <v>80</v>
      </c>
      <c r="I19" s="5" t="str">
        <f>IFERROR(__xludf.DUMMYFUNCTION("GOOGLETRANSLATE(A19, ""en"", ""bn"")"),"১৮")</f>
        <v>১৮</v>
      </c>
      <c r="J19" s="6" t="str">
        <f>IFERROR(__xludf.DUMMYFUNCTION("GOOGLETRANSLATE(B19, ""en"", ""bn"")"),"বলি খেলা উৎসবে প্রায়শই কী পালিত হয়?")</f>
        <v>বলি খেলা উৎসবে প্রায়শই কী পালিত হয়?</v>
      </c>
      <c r="K19" s="6" t="str">
        <f>IFERROR(__xludf.DUMMYFUNCTION("GOOGLETRANSLATE(C19, ""en"", ""bn"")"),"ক) জাতীয় ছুটির দিন, খ) কৃষি ফসল, গ) ধর্মীয় অনুষ্ঠান, ঘ) পারিবারিক সমাবেশ")</f>
        <v>ক) জাতীয় ছুটির দিন, খ) কৃষি ফসল, গ) ধর্মীয় অনুষ্ঠান, ঘ) পারিবারিক সমাবেশ</v>
      </c>
      <c r="L19" s="5" t="str">
        <f>IFERROR(__xludf.DUMMYFUNCTION("GOOGLETRANSLATE(D19, ""en"", ""bn"")"),"খ) কৃষি ফসল")</f>
        <v>খ) কৃষি ফসল</v>
      </c>
      <c r="M19" s="6" t="str">
        <f>IFERROR(__xludf.DUMMYFUNCTION("GOOGLETRANSLATE(E19, ""en"", ""bn"")"),"এই উৎসবটি ফসল কাটার মৌসুম উদযাপনের সাথে যুক্ত, যা বাঙালি জীবনের একটি গুরুত্বপূর্ণ অংশ।")</f>
        <v>এই উৎসবটি ফসল কাটার মৌসুম উদযাপনের সাথে যুক্ত, যা বাঙালি জীবনের একটি গুরুত্বপূর্ণ অংশ।</v>
      </c>
    </row>
    <row r="20">
      <c r="A20" s="4">
        <v>19.0</v>
      </c>
      <c r="B20" s="4" t="s">
        <v>81</v>
      </c>
      <c r="C20" s="4" t="s">
        <v>82</v>
      </c>
      <c r="D20" s="4" t="s">
        <v>83</v>
      </c>
      <c r="E20" s="4" t="s">
        <v>84</v>
      </c>
      <c r="I20" s="5" t="str">
        <f>IFERROR(__xludf.DUMMYFUNCTION("GOOGLETRANSLATE(A20, ""en"", ""bn"")"),"১৯")</f>
        <v>১৯</v>
      </c>
      <c r="J20" s="6" t="str">
        <f>IFERROR(__xludf.DUMMYFUNCTION("GOOGLETRANSLATE(B20, ""en"", ""bn"")"),"বলি খেলায় বিজয়ী পুরস্কার হিসেবে কী পান?")</f>
        <v>বলি খেলায় বিজয়ী পুরস্কার হিসেবে কী পান?</v>
      </c>
      <c r="K20" s="6" t="str">
        <f>IFERROR(__xludf.DUMMYFUNCTION("GOOGLETRANSLATE(C20, ""en"", ""bn"")"),"ক) এক অঙ্কের টাকা, খ) একটি ট্রফি, গ) একটি স্বর্ণপদক, ঘ) একটি ষাঁড় বা একটি গরু")</f>
        <v>ক) এক অঙ্কের টাকা, খ) একটি ট্রফি, গ) একটি স্বর্ণপদক, ঘ) একটি ষাঁড় বা একটি গরু</v>
      </c>
      <c r="L20" s="5" t="str">
        <f>IFERROR(__xludf.DUMMYFUNCTION("GOOGLETRANSLATE(D20, ""en"", ""bn"")"),"ঘ) একটি ষাঁড় বা একটি গরু")</f>
        <v>ঘ) একটি ষাঁড় বা একটি গরু</v>
      </c>
      <c r="M20" s="6" t="str">
        <f>IFERROR(__xludf.DUMMYFUNCTION("GOOGLETRANSLATE(E20, ""en"", ""bn"")"),"ঐতিহ্যগতভাবে, বিজয়ীকে শক্তির প্রতীক হিসেবে একটি ষাঁড় বা গরু দিয়ে পুরস্কৃত করা যেতে পারে।")</f>
        <v>ঐতিহ্যগতভাবে, বিজয়ীকে শক্তির প্রতীক হিসেবে একটি ষাঁড় বা গরু দিয়ে পুরস্কৃত করা যেতে পারে।</v>
      </c>
    </row>
    <row r="21">
      <c r="A21" s="4">
        <v>20.0</v>
      </c>
      <c r="B21" s="4" t="s">
        <v>85</v>
      </c>
      <c r="C21" s="4" t="s">
        <v>86</v>
      </c>
      <c r="D21" s="4" t="s">
        <v>87</v>
      </c>
      <c r="E21" s="4" t="s">
        <v>88</v>
      </c>
      <c r="I21" s="5" t="str">
        <f>IFERROR(__xludf.DUMMYFUNCTION("GOOGLETRANSLATE(A21, ""en"", ""bn"")"),"২০")</f>
        <v>২০</v>
      </c>
      <c r="J21" s="6" t="str">
        <f>IFERROR(__xludf.DUMMYFUNCTION("GOOGLETRANSLATE(B21, ""en"", ""bn"")"),"বলি খেলা ম্যাচের একটি অনন্য বৈশিষ্ট্য কী?")</f>
        <v>বলি খেলা ম্যাচের একটি অনন্য বৈশিষ্ট্য কী?</v>
      </c>
      <c r="K21" s="6" t="str">
        <f>IFERROR(__xludf.DUMMYFUNCTION("GOOGLETRANSLATE(C21, ""en"", ""bn"")"),"ক) জল-ভিত্তিক প্রতিযোগিতা, খ) ধৈর্যের উপর মনোযোগ দিন, গ) অস্ত্র ছাড়াই একটি কুস্তি প্রতিযোগিতা, ঘ) একটি বল জড়িত।")</f>
        <v>ক) জল-ভিত্তিক প্রতিযোগিতা, খ) ধৈর্যের উপর মনোযোগ দিন, গ) অস্ত্র ছাড়াই একটি কুস্তি প্রতিযোগিতা, ঘ) একটি বল জড়িত।</v>
      </c>
      <c r="L21" s="5" t="str">
        <f>IFERROR(__xludf.DUMMYFUNCTION("GOOGLETRANSLATE(D21, ""en"", ""bn"")"),"গ) অস্ত্র ছাড়া কুস্তি প্রতিযোগিতা")</f>
        <v>গ) অস্ত্র ছাড়া কুস্তি প্রতিযোগিতা</v>
      </c>
      <c r="M21" s="6" t="str">
        <f>IFERROR(__xludf.DUMMYFUNCTION("GOOGLETRANSLATE(E21, ""en"", ""bn"")"),"বলি খেলায় অস্ত্র ব্যবহার না করে শারীরিক শক্তির উপর জোর দিয়ে কুস্তি করা হয়।")</f>
        <v>বলি খেলায় অস্ত্র ব্যবহার না করে শারীরিক শক্তির উপর জোর দিয়ে কুস্তি করা হয়।</v>
      </c>
    </row>
    <row r="22">
      <c r="A22" s="4">
        <v>21.0</v>
      </c>
      <c r="B22" s="4" t="s">
        <v>89</v>
      </c>
      <c r="C22" s="4" t="s">
        <v>90</v>
      </c>
      <c r="D22" s="4" t="s">
        <v>91</v>
      </c>
      <c r="E22" s="4" t="s">
        <v>92</v>
      </c>
      <c r="I22" s="5" t="str">
        <f>IFERROR(__xludf.DUMMYFUNCTION("GOOGLETRANSLATE(A22, ""en"", ""bn"")"),"২১")</f>
        <v>২১</v>
      </c>
      <c r="J22" s="6" t="str">
        <f>IFERROR(__xludf.DUMMYFUNCTION("GOOGLETRANSLATE(B22, ""en"", ""bn"")"),"বলি খেলায় অংশগ্রহণকারীরা কী ধরণের প্রশিক্ষণের মধ্য দিয়ে যেত?")</f>
        <v>বলি খেলায় অংশগ্রহণকারীরা কী ধরণের প্রশিক্ষণের মধ্য দিয়ে যেত?</v>
      </c>
      <c r="K22" s="6" t="str">
        <f>IFERROR(__xludf.DUMMYFUNCTION("GOOGLETRANSLATE(C22, ""en"", ""bn"")"),"ক) আনুষ্ঠানিক শিক্ষা, খ) শারীরিক প্রশিক্ষণ এবং কুস্তি, গ) মানসিক ব্যায়াম, ঘ) কৃষি কৌশল")</f>
        <v>ক) আনুষ্ঠানিক শিক্ষা, খ) শারীরিক প্রশিক্ষণ এবং কুস্তি, গ) মানসিক ব্যায়াম, ঘ) কৃষি কৌশল</v>
      </c>
      <c r="L22" s="5" t="str">
        <f>IFERROR(__xludf.DUMMYFUNCTION("GOOGLETRANSLATE(D22, ""en"", ""bn"")"),"খ) শারীরিক প্রশিক্ষণ এবং কুস্তি")</f>
        <v>খ) শারীরিক প্রশিক্ষণ এবং কুস্তি</v>
      </c>
      <c r="M22" s="6" t="str">
        <f>IFERROR(__xludf.DUMMYFUNCTION("GOOGLETRANSLATE(E22, ""en"", ""bn"")"),"বলি খেলায় অংশগ্রহণের জন্য ঐতিহ্যবাহী অংশগ্রহণকারীরা প্রায়শই শারীরিক প্রশিক্ষণ এবং কুস্তি অনুশীলন করতেন।")</f>
        <v>বলি খেলায় অংশগ্রহণের জন্য ঐতিহ্যবাহী অংশগ্রহণকারীরা প্রায়শই শারীরিক প্রশিক্ষণ এবং কুস্তি অনুশীলন করতেন।</v>
      </c>
    </row>
    <row r="23">
      <c r="A23" s="4">
        <v>22.0</v>
      </c>
      <c r="B23" s="4" t="s">
        <v>93</v>
      </c>
      <c r="C23" s="4" t="s">
        <v>94</v>
      </c>
      <c r="D23" s="4" t="s">
        <v>95</v>
      </c>
      <c r="E23" s="4" t="s">
        <v>96</v>
      </c>
      <c r="I23" s="5" t="str">
        <f>IFERROR(__xludf.DUMMYFUNCTION("GOOGLETRANSLATE(A23, ""en"", ""bn"")"),"২২")</f>
        <v>২২</v>
      </c>
      <c r="J23" s="6" t="str">
        <f>IFERROR(__xludf.DUMMYFUNCTION("GOOGLETRANSLATE(B23, ""en"", ""bn"")"),"কোন সম্প্রদায় মূলত বলি খেলা উদযাপন করে?")</f>
        <v>কোন সম্প্রদায় মূলত বলি খেলা উদযাপন করে?</v>
      </c>
      <c r="K23" s="6" t="str">
        <f>IFERROR(__xludf.DUMMYFUNCTION("GOOGLETRANSLATE(C23, ""en"", ""bn"")"),"ক) বাঙালি মুসলমান, খ) বাঙালি হিন্দু, গ) উপজাতি সম্প্রদায়, ঘ) বাঙালি মুসলমান এবং হিন্দু উভয়ই")</f>
        <v>ক) বাঙালি মুসলমান, খ) বাঙালি হিন্দু, গ) উপজাতি সম্প্রদায়, ঘ) বাঙালি মুসলমান এবং হিন্দু উভয়ই</v>
      </c>
      <c r="L23" s="5" t="str">
        <f>IFERROR(__xludf.DUMMYFUNCTION("GOOGLETRANSLATE(D23, ""en"", ""bn"")"),"ঘ) বাঙালি মুসলিম এবং হিন্দু উভয়ই")</f>
        <v>ঘ) বাঙালি মুসলিম এবং হিন্দু উভয়ই</v>
      </c>
      <c r="M23" s="6" t="str">
        <f>IFERROR(__xludf.DUMMYFUNCTION("GOOGLETRANSLATE(E23, ""en"", ""bn"")"),"বলি খেলা বাঙালি মুসলমান এবং হিন্দু উভয়ই তাদের সাংস্কৃতিক ঐতিহ্যের অংশ হিসেবে উদযাপন করে।")</f>
        <v>বলি খেলা বাঙালি মুসলমান এবং হিন্দু উভয়ই তাদের সাংস্কৃতিক ঐতিহ্যের অংশ হিসেবে উদযাপন করে।</v>
      </c>
    </row>
    <row r="24">
      <c r="A24" s="4">
        <v>23.0</v>
      </c>
      <c r="B24" s="4" t="s">
        <v>97</v>
      </c>
      <c r="C24" s="4" t="s">
        <v>98</v>
      </c>
      <c r="D24" s="4" t="s">
        <v>99</v>
      </c>
      <c r="E24" s="4" t="s">
        <v>100</v>
      </c>
      <c r="I24" s="5" t="str">
        <f>IFERROR(__xludf.DUMMYFUNCTION("GOOGLETRANSLATE(A24, ""en"", ""bn"")"),"২৩")</f>
        <v>২৩</v>
      </c>
      <c r="J24" s="6" t="str">
        <f>IFERROR(__xludf.DUMMYFUNCTION("GOOGLETRANSLATE(B24, ""en"", ""bn"")"),"বাংলাদেশের সাংস্কৃতিক পরিচয়ে বলি খেলা কীভাবে গুরুত্বপূর্ণ?")</f>
        <v>বাংলাদেশের সাংস্কৃতিক পরিচয়ে বলি খেলা কীভাবে গুরুত্বপূর্ণ?</v>
      </c>
      <c r="K24" s="6" t="str">
        <f>IFERROR(__xludf.DUMMYFUNCTION("GOOGLETRANSLATE(C24, ""en"", ""bn"")"),"ক) এটি রাজতন্ত্র উদযাপন করে, খ) এটি ধর্মীয় অনুশীলনের সাথে যুক্ত, গ) এটি শারীরিক দক্ষতা এবং ঐতিহ্যকে তুলে ধরে, ঘ) এটি রাজকীয় ইতিহাস উদযাপন করে")</f>
        <v>ক) এটি রাজতন্ত্র উদযাপন করে, খ) এটি ধর্মীয় অনুশীলনের সাথে যুক্ত, গ) এটি শারীরিক দক্ষতা এবং ঐতিহ্যকে তুলে ধরে, ঘ) এটি রাজকীয় ইতিহাস উদযাপন করে</v>
      </c>
      <c r="L24" s="5" t="str">
        <f>IFERROR(__xludf.DUMMYFUNCTION("GOOGLETRANSLATE(D24, ""en"", ""bn"")"),"গ) এটি শারীরিক দক্ষতা এবং ঐতিহ্যকে তুলে ধরে")</f>
        <v>গ) এটি শারীরিক দক্ষতা এবং ঐতিহ্যকে তুলে ধরে</v>
      </c>
      <c r="M24" s="6" t="str">
        <f>IFERROR(__xludf.DUMMYFUNCTION("GOOGLETRANSLATE(E24, ""en"", ""bn"")"),"বলি খেলা বাঙালি সংস্কৃতির একটি গুরুত্বপূর্ণ অংশ, যা শক্তি এবং ঐতিহ্যবাহী মূল্যবোধের প্রদর্শন করে।")</f>
        <v>বলি খেলা বাঙালি সংস্কৃতির একটি গুরুত্বপূর্ণ অংশ, যা শক্তি এবং ঐতিহ্যবাহী মূল্যবোধের প্রদর্শন করে।</v>
      </c>
    </row>
    <row r="25">
      <c r="A25" s="4">
        <v>24.0</v>
      </c>
      <c r="B25" s="4" t="s">
        <v>101</v>
      </c>
      <c r="C25" s="4" t="s">
        <v>102</v>
      </c>
      <c r="D25" s="4" t="s">
        <v>103</v>
      </c>
      <c r="E25" s="4" t="s">
        <v>104</v>
      </c>
      <c r="I25" s="5" t="str">
        <f>IFERROR(__xludf.DUMMYFUNCTION("GOOGLETRANSLATE(A25, ""en"", ""bn"")"),"২৪")</f>
        <v>২৪</v>
      </c>
      <c r="J25" s="6" t="str">
        <f>IFERROR(__xludf.DUMMYFUNCTION("GOOGLETRANSLATE(B25, ""en"", ""bn"")"),"বলি খেলায়, খেলার সময় শরীরের কোন অংশটি সবচেয়ে বেশি ব্যস্ত থাকে?")</f>
        <v>বলি খেলায়, খেলার সময় শরীরের কোন অংশটি সবচেয়ে বেশি ব্যস্ত থাকে?</v>
      </c>
      <c r="K25" s="6" t="str">
        <f>IFERROR(__xludf.DUMMYFUNCTION("GOOGLETRANSLATE(C25, ""en"", ""bn"")"),"ক) হাত, খ) পা, গ) কোর, ঘ) বাহু")</f>
        <v>ক) হাত, খ) পা, গ) কোর, ঘ) বাহু</v>
      </c>
      <c r="L25" s="5" t="str">
        <f>IFERROR(__xludf.DUMMYFUNCTION("GOOGLETRANSLATE(D25, ""en"", ""bn"")"),"গ) কোর")</f>
        <v>গ) কোর</v>
      </c>
      <c r="M25" s="6" t="str">
        <f>IFERROR(__xludf.DUMMYFUNCTION("GOOGLETRANSLATE(E25, ""en"", ""bn"")"),"অংশগ্রহণকারীরা যখন তাদের শক্তি এবং তত্পরতা ব্যবহার করে কুস্তি করে, তখন মূল পেশীগুলি প্রচণ্ডভাবে নিযুক্ত থাকে।")</f>
        <v>অংশগ্রহণকারীরা যখন তাদের শক্তি এবং তত্পরতা ব্যবহার করে কুস্তি করে, তখন মূল পেশীগুলি প্রচণ্ডভাবে নিযুক্ত থাকে।</v>
      </c>
    </row>
    <row r="26">
      <c r="A26" s="4">
        <v>25.0</v>
      </c>
      <c r="B26" s="4" t="s">
        <v>105</v>
      </c>
      <c r="C26" s="4" t="s">
        <v>106</v>
      </c>
      <c r="D26" s="4" t="s">
        <v>107</v>
      </c>
      <c r="E26" s="4" t="s">
        <v>108</v>
      </c>
      <c r="I26" s="5" t="str">
        <f>IFERROR(__xludf.DUMMYFUNCTION("GOOGLETRANSLATE(A26, ""en"", ""bn"")"),"২৫")</f>
        <v>২৫</v>
      </c>
      <c r="J26" s="6" t="str">
        <f>IFERROR(__xludf.DUMMYFUNCTION("GOOGLETRANSLATE(B26, ""en"", ""bn"")"),"বলি খেলার কিংবদন্তি কাদের বলে মনে করা হয়?")</f>
        <v>বলি খেলার কিংবদন্তি কাদের বলে মনে করা হয়?</v>
      </c>
      <c r="K26" s="6" t="str">
        <f>IFERROR(__xludf.DUMMYFUNCTION("GOOGLETRANSLATE(C26, ""en"", ""bn"")"),"ক) রাজনীতিবিদ, খ) বিখ্যাত কুস্তিগীর, গ) কৃষক, ঘ) কবি")</f>
        <v>ক) রাজনীতিবিদ, খ) বিখ্যাত কুস্তিগীর, গ) কৃষক, ঘ) কবি</v>
      </c>
      <c r="L26" s="5" t="str">
        <f>IFERROR(__xludf.DUMMYFUNCTION("GOOGLETRANSLATE(D26, ""en"", ""bn"")"),"খ) বিখ্যাত কুস্তিগীর")</f>
        <v>খ) বিখ্যাত কুস্তিগীর</v>
      </c>
      <c r="M26" s="6" t="str">
        <f>IFERROR(__xludf.DUMMYFUNCTION("GOOGLETRANSLATE(E26, ""en"", ""bn"")"),"বলি খেলার ঐতিহ্যে কিংবদন্তি কুস্তিগীরদের বীর হিসেবে পালিত হয়।")</f>
        <v>বলি খেলার ঐতিহ্যে কিংবদন্তি কুস্তিগীরদের বীর হিসেবে পালিত হয়।</v>
      </c>
    </row>
    <row r="27">
      <c r="A27" s="4">
        <v>26.0</v>
      </c>
      <c r="B27" s="4" t="s">
        <v>109</v>
      </c>
      <c r="C27" s="4" t="s">
        <v>110</v>
      </c>
      <c r="D27" s="4" t="s">
        <v>111</v>
      </c>
      <c r="E27" s="4" t="s">
        <v>112</v>
      </c>
      <c r="I27" s="5" t="str">
        <f>IFERROR(__xludf.DUMMYFUNCTION("GOOGLETRANSLATE(A27, ""en"", ""bn"")"),"২৬")</f>
        <v>২৬</v>
      </c>
      <c r="J27" s="6" t="str">
        <f>IFERROR(__xludf.DUMMYFUNCTION("GOOGLETRANSLATE(B27, ""en"", ""bn"")"),"বলি খেলায় স্থানীয় সম্প্রদায়ের ভূমিকা কী?")</f>
        <v>বলি খেলায় স্থানীয় সম্প্রদায়ের ভূমিকা কী?</v>
      </c>
      <c r="K27" s="6" t="str">
        <f>IFERROR(__xludf.DUMMYFUNCTION("GOOGLETRANSLATE(C27, ""en"", ""bn"")"),"ক) ম্যাচ আয়োজন, খ) শুধুমাত্র দর্শক, গ) প্রতিযোগী, ঘ) প্রশাসক")</f>
        <v>ক) ম্যাচ আয়োজন, খ) শুধুমাত্র দর্শক, গ) প্রতিযোগী, ঘ) প্রশাসক</v>
      </c>
      <c r="L27" s="5" t="str">
        <f>IFERROR(__xludf.DUMMYFUNCTION("GOOGLETRANSLATE(D27, ""en"", ""bn"")"),"ক) ম্যাচ আয়োজন")</f>
        <v>ক) ম্যাচ আয়োজন</v>
      </c>
      <c r="M27" s="6" t="str">
        <f>IFERROR(__xludf.DUMMYFUNCTION("GOOGLETRANSLATE(E27, ""en"", ""bn"")"),"স্থানীয় সম্প্রদায় ম্যাচ আয়োজনে গুরুত্বপূর্ণ ভূমিকা পালন করে, ভেন্যু নির্ধারণ থেকে শুরু করে অংশগ্রহণকারীদের উৎসাহিত করা পর্যন্ত।")</f>
        <v>স্থানীয় সম্প্রদায় ম্যাচ আয়োজনে গুরুত্বপূর্ণ ভূমিকা পালন করে, ভেন্যু নির্ধারণ থেকে শুরু করে অংশগ্রহণকারীদের উৎসাহিত করা পর্যন্ত।</v>
      </c>
    </row>
    <row r="28">
      <c r="A28" s="4">
        <v>27.0</v>
      </c>
      <c r="B28" s="4" t="s">
        <v>113</v>
      </c>
      <c r="C28" s="4" t="s">
        <v>114</v>
      </c>
      <c r="D28" s="4" t="s">
        <v>115</v>
      </c>
      <c r="E28" s="4" t="s">
        <v>116</v>
      </c>
      <c r="I28" s="5" t="str">
        <f>IFERROR(__xludf.DUMMYFUNCTION("GOOGLETRANSLATE(A28, ""en"", ""bn"")"),"২৭")</f>
        <v>২৭</v>
      </c>
      <c r="J28" s="6" t="str">
        <f>IFERROR(__xludf.DUMMYFUNCTION("GOOGLETRANSLATE(B28, ""en"", ""bn"")"),"বলি খেলা প্রতিযোগিতার প্রধান স্থান কোনটি?")</f>
        <v>বলি খেলা প্রতিযোগিতার প্রধান স্থান কোনটি?</v>
      </c>
      <c r="K28" s="6" t="str">
        <f>IFERROR(__xludf.DUMMYFUNCTION("GOOGLETRANSLATE(C28, ""en"", ""bn"")"),"ক) স্টেডিয়াম, খ) গ্রামের মাঠ, গ) নদীর তীর, ঘ) বাজার স্থান")</f>
        <v>ক) স্টেডিয়াম, খ) গ্রামের মাঠ, গ) নদীর তীর, ঘ) বাজার স্থান</v>
      </c>
      <c r="L28" s="5" t="str">
        <f>IFERROR(__xludf.DUMMYFUNCTION("GOOGLETRANSLATE(D28, ""en"", ""bn"")"),"খ) গ্রামের মাঠ")</f>
        <v>খ) গ্রামের মাঠ</v>
      </c>
      <c r="M28" s="6" t="str">
        <f>IFERROR(__xludf.DUMMYFUNCTION("GOOGLETRANSLATE(E28, ""en"", ""bn"")"),"বলি খেলা ঐতিহ্যগতভাবে গ্রামের খোলা মাঠে অনুষ্ঠিত হয়।")</f>
        <v>বলি খেলা ঐতিহ্যগতভাবে গ্রামের খোলা মাঠে অনুষ্ঠিত হয়।</v>
      </c>
    </row>
    <row r="29">
      <c r="A29" s="4">
        <v>28.0</v>
      </c>
      <c r="B29" s="4" t="s">
        <v>117</v>
      </c>
      <c r="C29" s="4" t="s">
        <v>118</v>
      </c>
      <c r="D29" s="4" t="s">
        <v>119</v>
      </c>
      <c r="E29" s="4" t="s">
        <v>120</v>
      </c>
      <c r="I29" s="5" t="str">
        <f>IFERROR(__xludf.DUMMYFUNCTION("GOOGLETRANSLATE(A29, ""en"", ""bn"")"),"২৮")</f>
        <v>২৮</v>
      </c>
      <c r="J29" s="6" t="str">
        <f>IFERROR(__xludf.DUMMYFUNCTION("GOOGLETRANSLATE(B29, ""en"", ""bn"")"),"কোন বাঙালি উৎসবে বলি খেলা অন্যতম আকর্ষণ হিসেবে স্থান পায়?")</f>
        <v>কোন বাঙালি উৎসবে বলি খেলা অন্যতম আকর্ষণ হিসেবে স্থান পায়?</v>
      </c>
      <c r="K29" s="6" t="str">
        <f>IFERROR(__xludf.DUMMYFUNCTION("GOOGLETRANSLATE(C29, ""en"", ""bn"")"),"ক) দুর্গাপূজা, খ) পহেলা বৈশাখ, গ) ঈদুল ফিতর, ঘ) বড়দিন")</f>
        <v>ক) দুর্গাপূজা, খ) পহেলা বৈশাখ, গ) ঈদুল ফিতর, ঘ) বড়দিন</v>
      </c>
      <c r="L29" s="5" t="str">
        <f>IFERROR(__xludf.DUMMYFUNCTION("GOOGLETRANSLATE(D29, ""en"", ""bn"")"),"খ) পহেলা বৈশাখ")</f>
        <v>খ) পহেলা বৈশাখ</v>
      </c>
      <c r="M29" s="6" t="str">
        <f>IFERROR(__xludf.DUMMYFUNCTION("GOOGLETRANSLATE(E29, ""en"", ""bn"")"),"বাংলা নববর্ষ (পহেলা বৈশাখ) উৎসবের সময় প্রায়ই বলি খেলা খেলা হয়।")</f>
        <v>বাংলা নববর্ষ (পহেলা বৈশাখ) উৎসবের সময় প্রায়ই বলি খেলা খেলা হয়।</v>
      </c>
    </row>
    <row r="30">
      <c r="A30" s="4">
        <v>29.0</v>
      </c>
      <c r="B30" s="4" t="s">
        <v>121</v>
      </c>
      <c r="C30" s="4" t="s">
        <v>122</v>
      </c>
      <c r="D30" s="4" t="s">
        <v>123</v>
      </c>
      <c r="E30" s="4" t="s">
        <v>124</v>
      </c>
      <c r="I30" s="5" t="str">
        <f>IFERROR(__xludf.DUMMYFUNCTION("GOOGLETRANSLATE(A30, ""en"", ""bn"")"),"২৯")</f>
        <v>২৯</v>
      </c>
      <c r="J30" s="6" t="str">
        <f>IFERROR(__xludf.DUMMYFUNCTION("GOOGLETRANSLATE(B30, ""en"", ""bn"")"),"বলি খেলায়, যদি একজন কুস্তিগীরকে রিং থেকে বের করে দেওয়া হয় তাহলে কী হবে?")</f>
        <v>বলি খেলায়, যদি একজন কুস্তিগীরকে রিং থেকে বের করে দেওয়া হয় তাহলে কী হবে?</v>
      </c>
      <c r="K30" s="6" t="str">
        <f>IFERROR(__xludf.DUMMYFUNCTION("GOOGLETRANSLATE(C30, ""en"", ""bn"")"),"ক) তারা ম্যাচ হেরে যায়, খ) তারা দ্বিতীয় সুযোগ পায়, গ) খেলা চলতে থাকে, ঘ) অন্য কুস্তিগীর একটি পয়েন্ট জিতে নেয়")</f>
        <v>ক) তারা ম্যাচ হেরে যায়, খ) তারা দ্বিতীয় সুযোগ পায়, গ) খেলা চলতে থাকে, ঘ) অন্য কুস্তিগীর একটি পয়েন্ট জিতে নেয়</v>
      </c>
      <c r="L30" s="5" t="str">
        <f>IFERROR(__xludf.DUMMYFUNCTION("GOOGLETRANSLATE(D30, ""en"", ""bn"")"),"ক) তারা ম্যাচটি হেরে যায়")</f>
        <v>ক) তারা ম্যাচটি হেরে যায়</v>
      </c>
      <c r="M30" s="6" t="str">
        <f>IFERROR(__xludf.DUMMYFUNCTION("GOOGLETRANSLATE(E30, ""en"", ""bn"")"),"একজন কুস্তিগীরকে রিং থেকে ছিটকে দেওয়া হলে তিনি সাধারণত ম্যাচ হেরে যান।")</f>
        <v>একজন কুস্তিগীরকে রিং থেকে ছিটকে দেওয়া হলে তিনি সাধারণত ম্যাচ হেরে যান।</v>
      </c>
    </row>
    <row r="31">
      <c r="A31" s="4">
        <v>30.0</v>
      </c>
      <c r="B31" s="4" t="s">
        <v>125</v>
      </c>
      <c r="C31" s="4" t="s">
        <v>126</v>
      </c>
      <c r="D31" s="4" t="s">
        <v>44</v>
      </c>
      <c r="E31" s="4" t="s">
        <v>127</v>
      </c>
      <c r="I31" s="5" t="str">
        <f>IFERROR(__xludf.DUMMYFUNCTION("GOOGLETRANSLATE(A31, ""en"", ""bn"")"),"৩০")</f>
        <v>৩০</v>
      </c>
      <c r="J31" s="6" t="str">
        <f>IFERROR(__xludf.DUMMYFUNCTION("GOOGLETRANSLATE(B31, ""en"", ""bn"")"),"বলি খেলায় অংশগ্রহণকারীদের মধ্যে কোন শারীরিক বৈশিষ্ট্যটি অত্যন্ত মূল্যবান?")</f>
        <v>বলি খেলায় অংশগ্রহণকারীদের মধ্যে কোন শারীরিক বৈশিষ্ট্যটি অত্যন্ত মূল্যবান?</v>
      </c>
      <c r="K31" s="6" t="str">
        <f>IFERROR(__xludf.DUMMYFUNCTION("GOOGLETRANSLATE(C31, ""en"", ""bn"")"),"ক) গতি, খ) নমনীয়তা, গ) শক্তি, ঘ) উচ্চতা")</f>
        <v>ক) গতি, খ) নমনীয়তা, গ) শক্তি, ঘ) উচ্চতা</v>
      </c>
      <c r="L31" s="5" t="str">
        <f>IFERROR(__xludf.DUMMYFUNCTION("GOOGLETRANSLATE(D31, ""en"", ""bn"")"),"গ) শক্তি")</f>
        <v>গ) শক্তি</v>
      </c>
      <c r="M31" s="6" t="str">
        <f>IFERROR(__xludf.DUMMYFUNCTION("GOOGLETRANSLATE(E31, ""en"", ""bn"")"),"বলি খেলায় শক্তি হল সবচেয়ে মূল্যবান বৈশিষ্ট্য, কারণ এই খেলাটি কুস্তির উপর ভিত্তি করে তৈরি।")</f>
        <v>বলি খেলায় শক্তি হল সবচেয়ে মূল্যবান বৈশিষ্ট্য, কারণ এই খেলাটি কুস্তির উপর ভিত্তি করে তৈরি।</v>
      </c>
    </row>
    <row r="32">
      <c r="A32" s="4">
        <v>31.0</v>
      </c>
      <c r="B32" s="4" t="s">
        <v>128</v>
      </c>
      <c r="C32" s="4" t="s">
        <v>129</v>
      </c>
      <c r="D32" s="4" t="s">
        <v>130</v>
      </c>
      <c r="E32" s="4" t="s">
        <v>131</v>
      </c>
      <c r="I32" s="5" t="str">
        <f>IFERROR(__xludf.DUMMYFUNCTION("GOOGLETRANSLATE(A32, ""en"", ""bn"")"),"৩১")</f>
        <v>৩১</v>
      </c>
      <c r="J32" s="6" t="str">
        <f>IFERROR(__xludf.DUMMYFUNCTION("GOOGLETRANSLATE(B32, ""en"", ""bn"")"),"বলি খেলা কোন সাংস্কৃতিক দিককে প্রতিনিধিত্ব করে?")</f>
        <v>বলি খেলা কোন সাংস্কৃতিক দিককে প্রতিনিধিত্ব করে?</v>
      </c>
      <c r="K32" s="6" t="str">
        <f>IFERROR(__xludf.DUMMYFUNCTION("GOOGLETRANSLATE(C32, ""en"", ""bn"")"),"ক) কৃষিভিত্তিক জীবনধারা, খ) ধর্মীয় অনুশীলন, গ) সামরিক প্রশিক্ষণ, ঘ) রাজকীয় ঐতিহ্য")</f>
        <v>ক) কৃষিভিত্তিক জীবনধারা, খ) ধর্মীয় অনুশীলন, গ) সামরিক প্রশিক্ষণ, ঘ) রাজকীয় ঐতিহ্য</v>
      </c>
      <c r="L32" s="5" t="str">
        <f>IFERROR(__xludf.DUMMYFUNCTION("GOOGLETRANSLATE(D32, ""en"", ""bn"")"),"ক) কৃষিভিত্তিক জীবনধারা")</f>
        <v>ক) কৃষিভিত্তিক জীবনধারা</v>
      </c>
      <c r="M32" s="6" t="str">
        <f>IFERROR(__xludf.DUMMYFUNCTION("GOOGLETRANSLATE(E32, ""en"", ""bn"")"),"বলি খেলা বাংলাদেশের গ্রামীণ কৃষিনির্ভর জীবনযাত্রার শক্তি এবং স্থিতিস্থাপকতার প্রতিনিধিত্ব করে।")</f>
        <v>বলি খেলা বাংলাদেশের গ্রামীণ কৃষিনির্ভর জীবনযাত্রার শক্তি এবং স্থিতিস্থাপকতার প্রতিনিধিত্ব করে।</v>
      </c>
    </row>
    <row r="33">
      <c r="A33" s="4">
        <v>32.0</v>
      </c>
      <c r="B33" s="4" t="s">
        <v>132</v>
      </c>
      <c r="C33" s="4" t="s">
        <v>133</v>
      </c>
      <c r="D33" s="4" t="s">
        <v>134</v>
      </c>
      <c r="E33" s="4" t="s">
        <v>135</v>
      </c>
      <c r="I33" s="5" t="str">
        <f>IFERROR(__xludf.DUMMYFUNCTION("GOOGLETRANSLATE(A33, ""en"", ""bn"")"),"৩২")</f>
        <v>৩২</v>
      </c>
      <c r="J33" s="6" t="str">
        <f>IFERROR(__xludf.DUMMYFUNCTION("GOOGLETRANSLATE(B33, ""en"", ""bn"")"),"বলি খেলা খেলার জন্য সাধারণত কোন ধরণের ভূখণ্ড ব্যবহার করা হয়?")</f>
        <v>বলি খেলা খেলার জন্য সাধারণত কোন ধরণের ভূখণ্ড ব্যবহার করা হয়?</v>
      </c>
      <c r="K33" s="6" t="str">
        <f>IFERROR(__xludf.DUMMYFUNCTION("GOOGLETRANSLATE(C33, ""en"", ""bn"")"),"ক) বালি, খ) কাদা, গ) ঘাস, ঘ) কংক্রিট")</f>
        <v>ক) বালি, খ) কাদা, গ) ঘাস, ঘ) কংক্রিট</v>
      </c>
      <c r="L33" s="5" t="str">
        <f>IFERROR(__xludf.DUMMYFUNCTION("GOOGLETRANSLATE(D33, ""en"", ""bn"")"),"খ) কাদা")</f>
        <v>খ) কাদা</v>
      </c>
      <c r="M33" s="6" t="str">
        <f>IFERROR(__xludf.DUMMYFUNCTION("GOOGLETRANSLATE(E33, ""en"", ""bn"")"),"বলি খেলা প্রায়শই কর্দমাক্ত মাঠে অনুষ্ঠিত হয়, যা প্রতিযোগিতার চ্যালেঞ্জকে আরও বাড়িয়ে তোলে।")</f>
        <v>বলি খেলা প্রায়শই কর্দমাক্ত মাঠে অনুষ্ঠিত হয়, যা প্রতিযোগিতার চ্যালেঞ্জকে আরও বাড়িয়ে তোলে।</v>
      </c>
    </row>
    <row r="34">
      <c r="A34" s="4">
        <v>33.0</v>
      </c>
      <c r="B34" s="4" t="s">
        <v>136</v>
      </c>
      <c r="C34" s="4" t="s">
        <v>137</v>
      </c>
      <c r="D34" s="4" t="s">
        <v>138</v>
      </c>
      <c r="E34" s="4" t="s">
        <v>139</v>
      </c>
      <c r="I34" s="5" t="str">
        <f>IFERROR(__xludf.DUMMYFUNCTION("GOOGLETRANSLATE(A34, ""en"", ""bn"")"),"৩৩")</f>
        <v>৩৩</v>
      </c>
      <c r="J34" s="6" t="str">
        <f>IFERROR(__xludf.DUMMYFUNCTION("GOOGLETRANSLATE(B34, ""en"", ""bn"")"),"বলি খেলায় বিজয়ী ঐতিহ্যগতভাবে কীভাবে উদযাপন করা হয়?")</f>
        <v>বলি খেলায় বিজয়ী ঐতিহ্যগতভাবে কীভাবে উদযাপন করা হয়?</v>
      </c>
      <c r="K34" s="6" t="str">
        <f>IFERROR(__xludf.DUMMYFUNCTION("GOOGLETRANSLATE(C34, ""en"", ""bn"")"),"ক) মুকুট সহ, খ) ষাঁড় বা গরু সহ, গ) ভোজ সহ, ঘ) পদক সহ")</f>
        <v>ক) মুকুট সহ, খ) ষাঁড় বা গরু সহ, গ) ভোজ সহ, ঘ) পদক সহ</v>
      </c>
      <c r="L34" s="5" t="str">
        <f>IFERROR(__xludf.DUMMYFUNCTION("GOOGLETRANSLATE(D34, ""en"", ""bn"")"),"খ) একটি ষাঁড় বা গরুর সাথে")</f>
        <v>খ) একটি ষাঁড় বা গরুর সাথে</v>
      </c>
      <c r="M34" s="6" t="str">
        <f>IFERROR(__xludf.DUMMYFUNCTION("GOOGLETRANSLATE(E34, ""en"", ""bn"")"),"বিজয়ীকে ঐতিহ্যগতভাবে শক্তির প্রতীক হিসেবে একটি ষাঁড় বা গরু প্রদান করা হয়।")</f>
        <v>বিজয়ীকে ঐতিহ্যগতভাবে শক্তির প্রতীক হিসেবে একটি ষাঁড় বা গরু প্রদান করা হয়।</v>
      </c>
    </row>
    <row r="35">
      <c r="A35" s="4">
        <v>34.0</v>
      </c>
      <c r="B35" s="4" t="s">
        <v>140</v>
      </c>
      <c r="C35" s="4" t="s">
        <v>141</v>
      </c>
      <c r="D35" s="4" t="s">
        <v>142</v>
      </c>
      <c r="E35" s="4" t="s">
        <v>143</v>
      </c>
      <c r="I35" s="5" t="str">
        <f>IFERROR(__xludf.DUMMYFUNCTION("GOOGLETRANSLATE(A35, ""en"", ""bn"")"),"৩৪")</f>
        <v>৩৪</v>
      </c>
      <c r="J35" s="6" t="str">
        <f>IFERROR(__xludf.DUMMYFUNCTION("GOOGLETRANSLATE(B35, ""en"", ""bn"")"),"বলি খেলা ম্যাচের মূল চরিত্র কারা?")</f>
        <v>বলি খেলা ম্যাচের মূল চরিত্র কারা?</v>
      </c>
      <c r="K35" s="6" t="str">
        <f>IFERROR(__xludf.DUMMYFUNCTION("GOOGLETRANSLATE(C35, ""en"", ""bn"")"),"ক) কুস্তিগীর, খ) কোচ, গ) দর্শক, ঘ) বিচারক")</f>
        <v>ক) কুস্তিগীর, খ) কোচ, গ) দর্শক, ঘ) বিচারক</v>
      </c>
      <c r="L35" s="5" t="str">
        <f>IFERROR(__xludf.DUMMYFUNCTION("GOOGLETRANSLATE(D35, ""en"", ""bn"")"),"ক) কুস্তিগীররা")</f>
        <v>ক) কুস্তিগীররা</v>
      </c>
      <c r="M35" s="6" t="str">
        <f>IFERROR(__xludf.DUMMYFUNCTION("GOOGLETRANSLATE(E35, ""en"", ""bn"")"),"বলি খেলার কেন্দ্রীয় চরিত্র হলেন কুস্তিগীররা, ​​যারা শারীরিক প্রতিযোগিতায় অংশগ্রহণ করেন।")</f>
        <v>বলি খেলার কেন্দ্রীয় চরিত্র হলেন কুস্তিগীররা, ​​যারা শারীরিক প্রতিযোগিতায় অংশগ্রহণ করেন।</v>
      </c>
    </row>
    <row r="36">
      <c r="A36" s="4">
        <v>35.0</v>
      </c>
      <c r="B36" s="4" t="s">
        <v>144</v>
      </c>
      <c r="C36" s="4" t="s">
        <v>145</v>
      </c>
      <c r="D36" s="4" t="s">
        <v>146</v>
      </c>
      <c r="E36" s="4" t="s">
        <v>147</v>
      </c>
      <c r="I36" s="5" t="str">
        <f>IFERROR(__xludf.DUMMYFUNCTION("GOOGLETRANSLATE(A36, ""en"", ""bn"")"),"৩৫")</f>
        <v>৩৫</v>
      </c>
      <c r="J36" s="6" t="str">
        <f>IFERROR(__xludf.DUMMYFUNCTION("GOOGLETRANSLATE(B36, ""en"", ""bn"")"),"বলি খেলায় দর্শকদের ভূমিকা কী?")</f>
        <v>বলি খেলায় দর্শকদের ভূমিকা কী?</v>
      </c>
      <c r="K36" s="6" t="str">
        <f>IFERROR(__xludf.DUMMYFUNCTION("GOOGLETRANSLATE(C36, ""en"", ""bn"")"),"ক) ম্যাচের বিচারক হিসেবে, খ) স্থানীয় কুস্তিগীরদের উৎসাহিত করার জন্য, গ) কুস্তিগীরদের প্রশিক্ষণ দেওয়ার জন্য, ঘ) অনুষ্ঠান আয়োজনের জন্য")</f>
        <v>ক) ম্যাচের বিচারক হিসেবে, খ) স্থানীয় কুস্তিগীরদের উৎসাহিত করার জন্য, গ) কুস্তিগীরদের প্রশিক্ষণ দেওয়ার জন্য, ঘ) অনুষ্ঠান আয়োজনের জন্য</v>
      </c>
      <c r="L36" s="5" t="str">
        <f>IFERROR(__xludf.DUMMYFUNCTION("GOOGLETRANSLATE(D36, ""en"", ""bn"")"),"খ) তাদের স্থানীয় কুস্তিগীরদের উৎসাহিত করার জন্য")</f>
        <v>খ) তাদের স্থানীয় কুস্তিগীরদের উৎসাহিত করার জন্য</v>
      </c>
      <c r="M36" s="6" t="str">
        <f>IFERROR(__xludf.DUMMYFUNCTION("GOOGLETRANSLATE(E36, ""en"", ""bn"")"),"দর্শকরা মূলত তাদের স্থানীয় কুস্তিগীরদের উৎসাহিত করতে এবং খেলাটি উদযাপন করতে উপস্থিত হন।")</f>
        <v>দর্শকরা মূলত তাদের স্থানীয় কুস্তিগীরদের উৎসাহিত করতে এবং খেলাটি উদযাপন করতে উপস্থিত হন।</v>
      </c>
    </row>
    <row r="37">
      <c r="A37" s="4">
        <v>36.0</v>
      </c>
      <c r="B37" s="4" t="s">
        <v>148</v>
      </c>
      <c r="C37" s="4" t="s">
        <v>149</v>
      </c>
      <c r="D37" s="4" t="s">
        <v>150</v>
      </c>
      <c r="E37" s="4" t="s">
        <v>151</v>
      </c>
      <c r="I37" s="5" t="str">
        <f>IFERROR(__xludf.DUMMYFUNCTION("GOOGLETRANSLATE(A37, ""en"", ""bn"")"),"৩৬")</f>
        <v>৩৬</v>
      </c>
      <c r="J37" s="6" t="str">
        <f>IFERROR(__xludf.DUMMYFUNCTION("GOOGLETRANSLATE(B37, ""en"", ""bn"")"),"বলি খেলা প্রায়শই অন্য কোন সাংস্কৃতিক অনুষ্ঠানের সাথে যুক্ত থাকে?")</f>
        <v>বলি খেলা প্রায়শই অন্য কোন সাংস্কৃতিক অনুষ্ঠানের সাথে যুক্ত থাকে?</v>
      </c>
      <c r="K37" s="6" t="str">
        <f>IFERROR(__xludf.DUMMYFUNCTION("GOOGLETRANSLATE(C37, ""en"", ""bn"")"),"ক) ফসল কাটার উৎসব, খ) রাজনৈতিক সমাবেশ, গ) বিবাহ, ঘ) ধর্মীয় অনুষ্ঠান")</f>
        <v>ক) ফসল কাটার উৎসব, খ) রাজনৈতিক সমাবেশ, গ) বিবাহ, ঘ) ধর্মীয় অনুষ্ঠান</v>
      </c>
      <c r="L37" s="5" t="str">
        <f>IFERROR(__xludf.DUMMYFUNCTION("GOOGLETRANSLATE(D37, ""en"", ""bn"")"),"ক) ফসল কাটার উৎসব")</f>
        <v>ক) ফসল কাটার উৎসব</v>
      </c>
      <c r="M37" s="6" t="str">
        <f>IFERROR(__xludf.DUMMYFUNCTION("GOOGLETRANSLATE(E37, ""en"", ""bn"")"),"বলি খেলা প্রায়শই ফসল কাটার উৎসবের সাথে যুক্ত, যা খেলার কৃষিগত মূল উদযাপন করে।")</f>
        <v>বলি খেলা প্রায়শই ফসল কাটার উৎসবের সাথে যুক্ত, যা খেলার কৃষিগত মূল উদযাপন করে।</v>
      </c>
    </row>
    <row r="38">
      <c r="A38" s="4">
        <v>37.0</v>
      </c>
      <c r="B38" s="4" t="s">
        <v>152</v>
      </c>
      <c r="C38" s="4" t="s">
        <v>153</v>
      </c>
      <c r="D38" s="4" t="s">
        <v>154</v>
      </c>
      <c r="E38" s="4" t="s">
        <v>155</v>
      </c>
      <c r="I38" s="5" t="str">
        <f>IFERROR(__xludf.DUMMYFUNCTION("GOOGLETRANSLATE(A38, ""en"", ""bn"")"),"৩৭")</f>
        <v>৩৭</v>
      </c>
      <c r="J38" s="6" t="str">
        <f>IFERROR(__xludf.DUMMYFUNCTION("GOOGLETRANSLATE(B38, ""en"", ""bn"")"),"বলি খেলায় ঐতিহ্যবাহী শুরুর অঙ্গভঙ্গি কী?")</f>
        <v>বলি খেলায় ঐতিহ্যবাহী শুরুর অঙ্গভঙ্গি কী?</v>
      </c>
      <c r="K38" s="6" t="str">
        <f>IFERROR(__xludf.DUMMYFUNCTION("GOOGLETRANSLATE(C38, ""en"", ""bn"")"),"ক) করমর্দন, খ) নমস্কার, গ) প্রার্থনা, ঘ) কুস্তির ভঙ্গি")</f>
        <v>ক) করমর্দন, খ) নমস্কার, গ) প্রার্থনা, ঘ) কুস্তির ভঙ্গি</v>
      </c>
      <c r="L38" s="5" t="str">
        <f>IFERROR(__xludf.DUMMYFUNCTION("GOOGLETRANSLATE(D38, ""en"", ""bn"")"),"ঘ) কুস্তির ভঙ্গি")</f>
        <v>ঘ) কুস্তির ভঙ্গি</v>
      </c>
      <c r="M38" s="6" t="str">
        <f>IFERROR(__xludf.DUMMYFUNCTION("GOOGLETRANSLATE(E38, ""en"", ""bn"")"),"অংশগ্রহণকারীরা বলি খেলা শুরু করেন কুস্তির ভঙ্গি দিয়ে, যা ম্যাচের শুরুর ইঙ্গিত দেয়।")</f>
        <v>অংশগ্রহণকারীরা বলি খেলা শুরু করেন কুস্তির ভঙ্গি দিয়ে, যা ম্যাচের শুরুর ইঙ্গিত দেয়।</v>
      </c>
    </row>
    <row r="39">
      <c r="A39" s="4">
        <v>38.0</v>
      </c>
      <c r="B39" s="4" t="s">
        <v>156</v>
      </c>
      <c r="C39" s="4" t="s">
        <v>157</v>
      </c>
      <c r="D39" s="4" t="s">
        <v>158</v>
      </c>
      <c r="E39" s="4" t="s">
        <v>159</v>
      </c>
      <c r="I39" s="5" t="str">
        <f>IFERROR(__xludf.DUMMYFUNCTION("GOOGLETRANSLATE(A39, ""en"", ""bn"")"),"৩৮")</f>
        <v>৩৮</v>
      </c>
      <c r="J39" s="6" t="str">
        <f>IFERROR(__xludf.DUMMYFUNCTION("GOOGLETRANSLATE(B39, ""en"", ""bn"")"),"আধুনিক খেলাধুলার তুলনায় বলি খেলার একটি অনন্য বৈশিষ্ট্য কী?")</f>
        <v>আধুনিক খেলাধুলার তুলনায় বলি খেলার একটি অনন্য বৈশিষ্ট্য কী?</v>
      </c>
      <c r="K39" s="6" t="str">
        <f>IFERROR(__xludf.DUMMYFUNCTION("GOOGLETRANSLATE(C39, ""en"", ""bn"")"),"ক) সময়সীমা নেই, খ) অস্ত্রের ব্যবহার, গ) দলগতভাবে কাজ করার জন্য মনোযোগ, ঘ) বলের ব্যবহার")</f>
        <v>ক) সময়সীমা নেই, খ) অস্ত্রের ব্যবহার, গ) দলগতভাবে কাজ করার জন্য মনোযোগ, ঘ) বলের ব্যবহার</v>
      </c>
      <c r="L39" s="5" t="str">
        <f>IFERROR(__xludf.DUMMYFUNCTION("GOOGLETRANSLATE(D39, ""en"", ""bn"")"),"ক) কোন সময়সীমা নেই")</f>
        <v>ক) কোন সময়সীমা নেই</v>
      </c>
      <c r="M39" s="6" t="str">
        <f>IFERROR(__xludf.DUMMYFUNCTION("GOOGLETRANSLATE(E39, ""en"", ""bn"")"),"বলি খেলায় প্রায়শই কোনও সময়সীমা থাকে না, যতক্ষণ না একজন কুস্তিগীর আধিপত্য বিস্তার করে ততক্ষণ পর্যন্ত খেলাটি চলতে থাকে।")</f>
        <v>বলি খেলায় প্রায়শই কোনও সময়সীমা থাকে না, যতক্ষণ না একজন কুস্তিগীর আধিপত্য বিস্তার করে ততক্ষণ পর্যন্ত খেলাটি চলতে থাকে।</v>
      </c>
    </row>
    <row r="40">
      <c r="A40" s="4">
        <v>39.0</v>
      </c>
      <c r="B40" s="4" t="s">
        <v>160</v>
      </c>
      <c r="C40" s="4" t="s">
        <v>161</v>
      </c>
      <c r="D40" s="4" t="s">
        <v>162</v>
      </c>
      <c r="E40" s="4" t="s">
        <v>163</v>
      </c>
      <c r="I40" s="5" t="str">
        <f>IFERROR(__xludf.DUMMYFUNCTION("GOOGLETRANSLATE(A40, ""en"", ""bn"")"),"৩৯")</f>
        <v>৩৯</v>
      </c>
      <c r="J40" s="6" t="str">
        <f>IFERROR(__xludf.DUMMYFUNCTION("GOOGLETRANSLATE(B40, ""en"", ""bn"")"),"বলি খেলায় নিচের কোন দক্ষতাটি সবচেয়ে গুরুত্বপূর্ণ?")</f>
        <v>বলি খেলায় নিচের কোন দক্ষতাটি সবচেয়ে গুরুত্বপূর্ণ?</v>
      </c>
      <c r="K40" s="6" t="str">
        <f>IFERROR(__xludf.DUMMYFUNCTION("GOOGLETRANSLATE(C40, ""en"", ""bn"")"),"ক) গতি, খ) কৌশল, গ) নমনীয়তা, ঘ) শক্তি")</f>
        <v>ক) গতি, খ) কৌশল, গ) নমনীয়তা, ঘ) শক্তি</v>
      </c>
      <c r="L40" s="5" t="str">
        <f>IFERROR(__xludf.DUMMYFUNCTION("GOOGLETRANSLATE(D40, ""en"", ""bn"")"),"ঘ) শক্তি")</f>
        <v>ঘ) শক্তি</v>
      </c>
      <c r="M40" s="6" t="str">
        <f>IFERROR(__xludf.DUMMYFUNCTION("GOOGLETRANSLATE(E40, ""en"", ""bn"")"),"বলি খেলায় শক্তি হল সবচেয়ে গুরুত্বপূর্ণ দক্ষতা, কারণ এটি একটি কুস্তি-ভিত্তিক খেলা।")</f>
        <v>বলি খেলায় শক্তি হল সবচেয়ে গুরুত্বপূর্ণ দক্ষতা, কারণ এটি একটি কুস্তি-ভিত্তিক খেলা।</v>
      </c>
    </row>
    <row r="41">
      <c r="A41" s="4">
        <v>40.0</v>
      </c>
      <c r="B41" s="4" t="s">
        <v>164</v>
      </c>
      <c r="C41" s="4" t="s">
        <v>165</v>
      </c>
      <c r="D41" s="4" t="s">
        <v>166</v>
      </c>
      <c r="E41" s="4" t="s">
        <v>167</v>
      </c>
      <c r="I41" s="5" t="str">
        <f>IFERROR(__xludf.DUMMYFUNCTION("GOOGLETRANSLATE(A41, ""en"", ""bn"")"),"৪০")</f>
        <v>৪০</v>
      </c>
      <c r="J41" s="6" t="str">
        <f>IFERROR(__xludf.DUMMYFUNCTION("GOOGLETRANSLATE(B41, ""en"", ""bn"")"),"বলি খেলার জন্য কুস্তিগীরদের কীভাবে নির্বাচন করা হয়?")</f>
        <v>বলি খেলার জন্য কুস্তিগীরদের কীভাবে নির্বাচন করা হয়?</v>
      </c>
      <c r="K41" s="6" t="str">
        <f>IFERROR(__xludf.DUMMYFUNCTION("GOOGLETRANSLATE(C41, ""en"", ""bn"")"),"ক) তাদের সম্পদের উপর ভিত্তি করে, খ) তাদের শারীরিক শক্তির উপর ভিত্তি করে, গ) তাদের জনপ্রিয়তার উপর ভিত্তি করে, ঘ) অন্যান্য খেলাধুলায় তাদের দক্ষতার উপর ভিত্তি করে")</f>
        <v>ক) তাদের সম্পদের উপর ভিত্তি করে, খ) তাদের শারীরিক শক্তির উপর ভিত্তি করে, গ) তাদের জনপ্রিয়তার উপর ভিত্তি করে, ঘ) অন্যান্য খেলাধুলায় তাদের দক্ষতার উপর ভিত্তি করে</v>
      </c>
      <c r="L41" s="5" t="str">
        <f>IFERROR(__xludf.DUMMYFUNCTION("GOOGLETRANSLATE(D41, ""en"", ""bn"")"),"খ) তাদের শারীরিক শক্তির উপর ভিত্তি করে")</f>
        <v>খ) তাদের শারীরিক শক্তির উপর ভিত্তি করে</v>
      </c>
      <c r="M41" s="6" t="str">
        <f>IFERROR(__xludf.DUMMYFUNCTION("GOOGLETRANSLATE(E41, ""en"", ""bn"")"),"কুস্তিগীরদের শারীরিক শক্তি এবং ম্যাচে পারফর্ম করার ক্ষমতার উপর ভিত্তি করে নির্বাচন করা হয়।")</f>
        <v>কুস্তিগীরদের শারীরিক শক্তি এবং ম্যাচে পারফর্ম করার ক্ষমতার উপর ভিত্তি করে নির্বাচন করা হয়।</v>
      </c>
    </row>
    <row r="42">
      <c r="A42" s="4">
        <v>41.0</v>
      </c>
      <c r="B42" s="4" t="s">
        <v>168</v>
      </c>
      <c r="C42" s="4" t="s">
        <v>169</v>
      </c>
      <c r="D42" s="4" t="s">
        <v>170</v>
      </c>
      <c r="E42" s="4" t="s">
        <v>171</v>
      </c>
      <c r="I42" s="5" t="str">
        <f>IFERROR(__xludf.DUMMYFUNCTION("GOOGLETRANSLATE(A42, ""en"", ""bn"")"),"৪১")</f>
        <v>৪১</v>
      </c>
      <c r="J42" s="6" t="str">
        <f>IFERROR(__xludf.DUMMYFUNCTION("GOOGLETRANSLATE(B42, ""en"", ""bn"")"),"বলি খেলায় যদি একজন কুস্তিগীর হেরে যায়, তাহলে তার কী হবে?")</f>
        <v>বলি খেলায় যদি একজন কুস্তিগীর হেরে যায়, তাহলে তার কী হবে?</v>
      </c>
      <c r="K42" s="6" t="str">
        <f>IFERROR(__xludf.DUMMYFUNCTION("GOOGLETRANSLATE(C42, ""en"", ""bn"")"),"ক) তাদের গ্রাম ছেড়ে চলে যেতে হবে, খ) তাদের শাস্তি দেওয়া হবে, গ) তাদের আবার লড়াই করতে হবে, ঘ) তাদের কোনও শাস্তির সম্মুখীন হতে হবে না")</f>
        <v>ক) তাদের গ্রাম ছেড়ে চলে যেতে হবে, খ) তাদের শাস্তি দেওয়া হবে, গ) তাদের আবার লড়াই করতে হবে, ঘ) তাদের কোনও শাস্তির সম্মুখীন হতে হবে না</v>
      </c>
      <c r="L42" s="5" t="str">
        <f>IFERROR(__xludf.DUMMYFUNCTION("GOOGLETRANSLATE(D42, ""en"", ""bn"")"),"ঘ) তাদের কোন শাস্তির সম্মুখীন হতে হবে না")</f>
        <v>ঘ) তাদের কোন শাস্তির সম্মুখীন হতে হবে না</v>
      </c>
      <c r="M42" s="6" t="str">
        <f>IFERROR(__xludf.DUMMYFUNCTION("GOOGLETRANSLATE(E42, ""en"", ""bn"")"),"হেরে যাওয়ার জন্য কোনও আনুষ্ঠানিক শাস্তি নেই, তবে তারা তাদের সম্প্রদায়ের কাছ থেকে হতাশার সম্মুখীন হতে পারে।")</f>
        <v>হেরে যাওয়ার জন্য কোনও আনুষ্ঠানিক শাস্তি নেই, তবে তারা তাদের সম্প্রদায়ের কাছ থেকে হতাশার সম্মুখীন হতে পারে।</v>
      </c>
    </row>
    <row r="43">
      <c r="A43" s="4">
        <v>42.0</v>
      </c>
      <c r="B43" s="4" t="s">
        <v>172</v>
      </c>
      <c r="C43" s="4" t="s">
        <v>173</v>
      </c>
      <c r="D43" s="4" t="s">
        <v>174</v>
      </c>
      <c r="E43" s="4" t="s">
        <v>175</v>
      </c>
      <c r="I43" s="5" t="str">
        <f>IFERROR(__xludf.DUMMYFUNCTION("GOOGLETRANSLATE(A43, ""en"", ""bn"")"),"৪২")</f>
        <v>৪২</v>
      </c>
      <c r="J43" s="6" t="str">
        <f>IFERROR(__xludf.DUMMYFUNCTION("GOOGLETRANSLATE(B43, ""en"", ""bn"")"),"গ্রামীণ সম্প্রদায়ের মধ্যে বলি খেলার তাৎপর্য কী?")</f>
        <v>গ্রামীণ সম্প্রদায়ের মধ্যে বলি খেলার তাৎপর্য কী?</v>
      </c>
      <c r="K43" s="6" t="str">
        <f>IFERROR(__xludf.DUMMYFUNCTION("GOOGLETRANSLATE(C43, ""en"", ""bn"")"),"ক) বিনোদন, খ) ধর্মীয় তাৎপর্য, গ) সামাজিক বন্ধন এবং উদযাপন, ঘ) যুদ্ধের প্রশিক্ষণ")</f>
        <v>ক) বিনোদন, খ) ধর্মীয় তাৎপর্য, গ) সামাজিক বন্ধন এবং উদযাপন, ঘ) যুদ্ধের প্রশিক্ষণ</v>
      </c>
      <c r="L43" s="5" t="str">
        <f>IFERROR(__xludf.DUMMYFUNCTION("GOOGLETRANSLATE(D43, ""en"", ""bn"")"),"গ) সামাজিক বন্ধন এবং উদযাপন")</f>
        <v>গ) সামাজিক বন্ধন এবং উদযাপন</v>
      </c>
      <c r="M43" s="6" t="str">
        <f>IFERROR(__xludf.DUMMYFUNCTION("GOOGLETRANSLATE(E43, ""en"", ""bn"")"),"বলি খেলা একটি সামাজিক অনুষ্ঠান হিসেবে কাজ করে, যা সম্প্রদায়কে উদযাপন এবং বন্ধনের জন্য একত্রিত করে।")</f>
        <v>বলি খেলা একটি সামাজিক অনুষ্ঠান হিসেবে কাজ করে, যা সম্প্রদায়কে উদযাপন এবং বন্ধনের জন্য একত্রিত করে।</v>
      </c>
    </row>
    <row r="44">
      <c r="A44" s="4">
        <v>43.0</v>
      </c>
      <c r="B44" s="4" t="s">
        <v>176</v>
      </c>
      <c r="C44" s="4" t="s">
        <v>177</v>
      </c>
      <c r="D44" s="4" t="s">
        <v>178</v>
      </c>
      <c r="E44" s="4" t="s">
        <v>179</v>
      </c>
      <c r="I44" s="5" t="str">
        <f>IFERROR(__xludf.DUMMYFUNCTION("GOOGLETRANSLATE(A44, ""en"", ""bn"")"),"৪৩")</f>
        <v>৪৩</v>
      </c>
      <c r="J44" s="6" t="str">
        <f>IFERROR(__xludf.DUMMYFUNCTION("GOOGLETRANSLATE(B44, ""en"", ""bn"")"),"বলি খেলায় ঐতিহ্যের ভূমিকা কী?")</f>
        <v>বলি খেলায় ঐতিহ্যের ভূমিকা কী?</v>
      </c>
      <c r="K44" s="6" t="str">
        <f>IFERROR(__xludf.DUMMYFUNCTION("GOOGLETRANSLATE(C44, ""en"", ""bn"")"),"ক) এটি খেলার নিয়মকানুন গঠন করে, খ) এটি অংশগ্রহণকারীদের পোশাকের উপর প্রভাব ফেলে, গ) এটি পুরষ্কারের ধরণকে প্রভাবিত করে, ঘ) উপরের সমস্ত")</f>
        <v>ক) এটি খেলার নিয়মকানুন গঠন করে, খ) এটি অংশগ্রহণকারীদের পোশাকের উপর প্রভাব ফেলে, গ) এটি পুরষ্কারের ধরণকে প্রভাবিত করে, ঘ) উপরের সমস্ত</v>
      </c>
      <c r="L44" s="5" t="str">
        <f>IFERROR(__xludf.DUMMYFUNCTION("GOOGLETRANSLATE(D44, ""en"", ""bn"")"),"ঘ) উপরের সবগুলো")</f>
        <v>ঘ) উপরের সবগুলো</v>
      </c>
      <c r="M44" s="6" t="str">
        <f>IFERROR(__xludf.DUMMYFUNCTION("GOOGLETRANSLATE(E44, ""en"", ""bn"")"),"নিয়ম, পোশাক এবং পুরষ্কারের ক্ষেত্রে ঐতিহ্য একটি ভূমিকা পালন করে, যা বলি খেলাকে একটি গভীর সাংস্কৃতিক অভিজ্ঞতায় পরিণত করে।")</f>
        <v>নিয়ম, পোশাক এবং পুরষ্কারের ক্ষেত্রে ঐতিহ্য একটি ভূমিকা পালন করে, যা বলি খেলাকে একটি গভীর সাংস্কৃতিক অভিজ্ঞতায় পরিণত করে।</v>
      </c>
    </row>
    <row r="45">
      <c r="A45" s="4">
        <v>44.0</v>
      </c>
      <c r="B45" s="4" t="s">
        <v>180</v>
      </c>
      <c r="C45" s="4" t="s">
        <v>181</v>
      </c>
      <c r="D45" s="4" t="s">
        <v>182</v>
      </c>
      <c r="E45" s="4" t="s">
        <v>183</v>
      </c>
      <c r="I45" s="5" t="str">
        <f>IFERROR(__xludf.DUMMYFUNCTION("GOOGLETRANSLATE(A45, ""en"", ""bn"")"),"৪৪")</f>
        <v>৪৪</v>
      </c>
      <c r="J45" s="6" t="str">
        <f>IFERROR(__xludf.DUMMYFUNCTION("GOOGLETRANSLATE(B45, ""en"", ""bn"")"),"বাংলাদেশের গ্রামাঞ্চলে বলি খেলার আধ্যাত্মিক তাৎপর্য কী?")</f>
        <v>বাংলাদেশের গ্রামাঞ্চলে বলি খেলার আধ্যাত্মিক তাৎপর্য কী?</v>
      </c>
      <c r="K45" s="6" t="str">
        <f>IFERROR(__xludf.DUMMYFUNCTION("GOOGLETRANSLATE(C45, ""en"", ""bn"")"),"ক) এটি দেবতাদের সম্মান করে, খ) এটি ফসল কাটার মৌসুমের সূচনা করে, গ) এটি স্থানীয় বীরদের জীবন উদযাপন করে, ঘ) এর কোন আধ্যাত্মিক তাৎপর্য নেই")</f>
        <v>ক) এটি দেবতাদের সম্মান করে, খ) এটি ফসল কাটার মৌসুমের সূচনা করে, গ) এটি স্থানীয় বীরদের জীবন উদযাপন করে, ঘ) এর কোন আধ্যাত্মিক তাৎপর্য নেই</v>
      </c>
      <c r="L45" s="5" t="str">
        <f>IFERROR(__xludf.DUMMYFUNCTION("GOOGLETRANSLATE(D45, ""en"", ""bn"")"),"খ) এটি ফসল কাটার মৌসুমের সূচনাকে চিহ্নিত করে")</f>
        <v>খ) এটি ফসল কাটার মৌসুমের সূচনাকে চিহ্নিত করে</v>
      </c>
      <c r="M45" s="6" t="str">
        <f>IFERROR(__xludf.DUMMYFUNCTION("GOOGLETRANSLATE(E45, ""en"", ""bn"")"),"বলি খেলাকে প্রায়শই ফসল কাটার মৌসুম এবং কৃষকদের কঠোর পরিশ্রমের উদযাপন হিসেবে দেখা হয়।")</f>
        <v>বলি খেলাকে প্রায়শই ফসল কাটার মৌসুম এবং কৃষকদের কঠোর পরিশ্রমের উদযাপন হিসেবে দেখা হয়।</v>
      </c>
    </row>
    <row r="46">
      <c r="A46" s="4">
        <v>45.0</v>
      </c>
      <c r="B46" s="4" t="s">
        <v>184</v>
      </c>
      <c r="C46" s="4" t="s">
        <v>185</v>
      </c>
      <c r="D46" s="4" t="s">
        <v>186</v>
      </c>
      <c r="E46" s="4" t="s">
        <v>187</v>
      </c>
      <c r="I46" s="5" t="str">
        <f>IFERROR(__xludf.DUMMYFUNCTION("GOOGLETRANSLATE(A46, ""en"", ""bn"")"),"৪৫")</f>
        <v>৪৫</v>
      </c>
      <c r="J46" s="6" t="str">
        <f>IFERROR(__xludf.DUMMYFUNCTION("GOOGLETRANSLATE(B46, ""en"", ""bn"")"),"বলি খেলা খেলার সময় দর্শকরা ঐতিহ্যগতভাবে কী করে?")</f>
        <v>বলি খেলা খেলার সময় দর্শকরা ঐতিহ্যগতভাবে কী করে?</v>
      </c>
      <c r="K46" s="6" t="str">
        <f>IFERROR(__xludf.DUMMYFUNCTION("GOOGLETRANSLATE(C46, ""en"", ""bn"")"),"ক) তাদের স্থানীয় বীরের জন্য জপ করুন এবং উল্লাস করুন, খ) কুস্তিতে অংশগ্রহণ করুন, গ) কুস্তিগীরদের বিচার করুন, ঘ) খেলার ফলাফল রেকর্ড করুন")</f>
        <v>ক) তাদের স্থানীয় বীরের জন্য জপ করুন এবং উল্লাস করুন, খ) কুস্তিতে অংশগ্রহণ করুন, গ) কুস্তিগীরদের বিচার করুন, ঘ) খেলার ফলাফল রেকর্ড করুন</v>
      </c>
      <c r="L46" s="5" t="str">
        <f>IFERROR(__xludf.DUMMYFUNCTION("GOOGLETRANSLATE(D46, ""en"", ""bn"")"),"ক) তাদের স্থানীয় বীরের জন্য জপ করুন এবং উল্লাস করুন")</f>
        <v>ক) তাদের স্থানীয় বীরের জন্য জপ করুন এবং উল্লাস করুন</v>
      </c>
      <c r="M46" s="6" t="str">
        <f>IFERROR(__xludf.DUMMYFUNCTION("GOOGLETRANSLATE(E46, ""en"", ""bn"")"),"দর্শকরা প্রায়শই তাদের স্থানীয় নায়কের জন্য স্লোগান দেয় এবং উল্লাস করে, যা একটি উত্তেজনাপূর্ণ পরিবেশ তৈরি করে।")</f>
        <v>দর্শকরা প্রায়শই তাদের স্থানীয় নায়কের জন্য স্লোগান দেয় এবং উল্লাস করে, যা একটি উত্তেজনাপূর্ণ পরিবেশ তৈরি করে।</v>
      </c>
    </row>
    <row r="47">
      <c r="A47" s="4">
        <v>46.0</v>
      </c>
      <c r="B47" s="4" t="s">
        <v>188</v>
      </c>
      <c r="C47" s="4" t="s">
        <v>189</v>
      </c>
      <c r="D47" s="4" t="s">
        <v>190</v>
      </c>
      <c r="E47" s="4" t="s">
        <v>191</v>
      </c>
      <c r="I47" s="5" t="str">
        <f>IFERROR(__xludf.DUMMYFUNCTION("GOOGLETRANSLATE(A47, ""en"", ""bn"")"),"৪৬")</f>
        <v>৪৬</v>
      </c>
      <c r="J47" s="6" t="str">
        <f>IFERROR(__xludf.DUMMYFUNCTION("GOOGLETRANSLATE(B47, ""en"", ""bn"")"),"বলি খেলায় ঐতিহ্যগতভাবে কোন বয়সের দল অংশগ্রহণ করে?")</f>
        <v>বলি খেলায় ঐতিহ্যগতভাবে কোন বয়সের দল অংশগ্রহণ করে?</v>
      </c>
      <c r="K47" s="6" t="str">
        <f>IFERROR(__xludf.DUMMYFUNCTION("GOOGLETRANSLATE(C47, ""en"", ""bn"")"),"ক) শিশু, খ) কিশোর, গ) প্রাপ্তবয়স্ক, ঘ) বয়স্ক")</f>
        <v>ক) শিশু, খ) কিশোর, গ) প্রাপ্তবয়স্ক, ঘ) বয়স্ক</v>
      </c>
      <c r="L47" s="5" t="str">
        <f>IFERROR(__xludf.DUMMYFUNCTION("GOOGLETRANSLATE(D47, ""en"", ""bn"")"),"গ) প্রাপ্তবয়স্কদের")</f>
        <v>গ) প্রাপ্তবয়স্কদের</v>
      </c>
      <c r="M47" s="6" t="str">
        <f>IFERROR(__xludf.DUMMYFUNCTION("GOOGLETRANSLATE(E47, ""en"", ""bn"")"),"প্রাপ্তবয়স্করা, বিশেষ করে যারা তাদের শারীরিক শক্তির শীর্ষে, তারা ঐতিহ্যগতভাবে বলি খেলায় অংশগ্রহণ করে।")</f>
        <v>প্রাপ্তবয়স্করা, বিশেষ করে যারা তাদের শারীরিক শক্তির শীর্ষে, তারা ঐতিহ্যগতভাবে বলি খেলায় অংশগ্রহণ করে।</v>
      </c>
    </row>
    <row r="48">
      <c r="A48" s="4">
        <v>47.0</v>
      </c>
      <c r="B48" s="4" t="s">
        <v>192</v>
      </c>
      <c r="C48" s="4" t="s">
        <v>193</v>
      </c>
      <c r="D48" s="4" t="s">
        <v>194</v>
      </c>
      <c r="E48" s="4" t="s">
        <v>195</v>
      </c>
      <c r="I48" s="5" t="str">
        <f>IFERROR(__xludf.DUMMYFUNCTION("GOOGLETRANSLATE(A48, ""en"", ""bn"")"),"৪৭")</f>
        <v>৪৭</v>
      </c>
      <c r="J48" s="6" t="str">
        <f>IFERROR(__xludf.DUMMYFUNCTION("GOOGLETRANSLATE(B48, ""en"", ""bn"")"),"বলি খেলাকে অন্যান্য কুস্তির ধরণ থেকে আলাদা কী?")</f>
        <v>বলি খেলাকে অন্যান্য কুস্তির ধরণ থেকে আলাদা কী?</v>
      </c>
      <c r="K48" s="6" t="str">
        <f>IFERROR(__xludf.DUMMYFUNCTION("GOOGLETRANSLATE(C48, ""en"", ""bn"")"),"ক) এটি প্রতিযোগিতামূলক নয়, খ) এতে কোনও নিয়ম নেই, গ) এটি বাঙালি ঐতিহ্যের মধ্যে নিহিত, ঘ) এটি ঘরের ভিতরে খেলা হয়")</f>
        <v>ক) এটি প্রতিযোগিতামূলক নয়, খ) এতে কোনও নিয়ম নেই, গ) এটি বাঙালি ঐতিহ্যের মধ্যে নিহিত, ঘ) এটি ঘরের ভিতরে খেলা হয়</v>
      </c>
      <c r="L48" s="5" t="str">
        <f>IFERROR(__xludf.DUMMYFUNCTION("GOOGLETRANSLATE(D48, ""en"", ""bn"")"),"গ) এটি বাঙালি ঐতিহ্যের মধ্যে নিহিত।")</f>
        <v>গ) এটি বাঙালি ঐতিহ্যের মধ্যে নিহিত।</v>
      </c>
      <c r="M48" s="6" t="str">
        <f>IFERROR(__xludf.DUMMYFUNCTION("GOOGLETRANSLATE(E48, ""en"", ""bn"")"),"বলি খেলা বাঙালি সাংস্কৃতিক ঐতিহ্যের সাথে গভীরভাবে প্রোথিত, যা এটিকে অন্যান্য ধরণের কুস্তি থেকে আলাদা করে।")</f>
        <v>বলি খেলা বাঙালি সাংস্কৃতিক ঐতিহ্যের সাথে গভীরভাবে প্রোথিত, যা এটিকে অন্যান্য ধরণের কুস্তি থেকে আলাদা করে।</v>
      </c>
    </row>
    <row r="49">
      <c r="A49" s="4">
        <v>48.0</v>
      </c>
      <c r="B49" s="4" t="s">
        <v>196</v>
      </c>
      <c r="C49" s="4" t="s">
        <v>197</v>
      </c>
      <c r="D49" s="4" t="s">
        <v>198</v>
      </c>
      <c r="E49" s="4" t="s">
        <v>199</v>
      </c>
      <c r="I49" s="5" t="str">
        <f>IFERROR(__xludf.DUMMYFUNCTION("GOOGLETRANSLATE(A49, ""en"", ""bn"")"),"৪৮")</f>
        <v>৪৮</v>
      </c>
      <c r="J49" s="6" t="str">
        <f>IFERROR(__xludf.DUMMYFUNCTION("GOOGLETRANSLATE(B49, ""en"", ""bn"")"),"বলি খেলা কোন সাংস্কৃতিক মূল্যবোধের প্রতীক?")</f>
        <v>বলি খেলা কোন সাংস্কৃতিক মূল্যবোধের প্রতীক?</v>
      </c>
      <c r="K49" s="6" t="str">
        <f>IFERROR(__xludf.DUMMYFUNCTION("GOOGLETRANSLATE(C49, ""en"", ""bn"")"),"ক) পারিবারিক মূল্যবোধ, খ) শারীরিক সহনশীলতা এবং শক্তি, গ) ধর্মীয় নিষ্ঠা, ঘ) শিক্ষাগত কৃতিত্ব")</f>
        <v>ক) পারিবারিক মূল্যবোধ, খ) শারীরিক সহনশীলতা এবং শক্তি, গ) ধর্মীয় নিষ্ঠা, ঘ) শিক্ষাগত কৃতিত্ব</v>
      </c>
      <c r="L49" s="5" t="str">
        <f>IFERROR(__xludf.DUMMYFUNCTION("GOOGLETRANSLATE(D49, ""en"", ""bn"")"),"খ) শারীরিক সহনশীলতা এবং শক্তি")</f>
        <v>খ) শারীরিক সহনশীলতা এবং শক্তি</v>
      </c>
      <c r="M49" s="6" t="str">
        <f>IFERROR(__xludf.DUMMYFUNCTION("GOOGLETRANSLATE(E49, ""en"", ""bn"")"),"বলি খেলা শারীরিক সহনশীলতা, শক্তি এবং স্থিতিস্থাপকতার মূল্যবোধকে মূর্ত করে।")</f>
        <v>বলি খেলা শারীরিক সহনশীলতা, শক্তি এবং স্থিতিস্থাপকতার মূল্যবোধকে মূর্ত করে।</v>
      </c>
    </row>
    <row r="50">
      <c r="A50" s="4">
        <v>49.0</v>
      </c>
      <c r="B50" s="4" t="s">
        <v>200</v>
      </c>
      <c r="C50" s="4" t="s">
        <v>201</v>
      </c>
      <c r="D50" s="4" t="s">
        <v>202</v>
      </c>
      <c r="E50" s="4" t="s">
        <v>203</v>
      </c>
      <c r="I50" s="5" t="str">
        <f>IFERROR(__xludf.DUMMYFUNCTION("GOOGLETRANSLATE(A50, ""en"", ""bn"")"),"৪৯")</f>
        <v>৪৯</v>
      </c>
      <c r="J50" s="6" t="str">
        <f>IFERROR(__xludf.DUMMYFUNCTION("GOOGLETRANSLATE(B50, ""en"", ""bn"")"),"বলি খেলার সাথে অন্য কোন ঐতিহ্যবাহী অনুষ্ঠানের মিল রয়েছে?")</f>
        <v>বলি খেলার সাথে অন্য কোন ঐতিহ্যবাহী অনুষ্ঠানের মিল রয়েছে?</v>
      </c>
      <c r="K50" s="6" t="str">
        <f>IFERROR(__xludf.DUMMYFUNCTION("GOOGLETRANSLATE(C50, ""en"", ""bn"")"),"ক) বিবাহ উৎসব, খ) ফসল কাটার উৎসব, গ) ধর্মীয় অনুষ্ঠান, ঘ) রাজনৈতিক অনুষ্ঠান")</f>
        <v>ক) বিবাহ উৎসব, খ) ফসল কাটার উৎসব, গ) ধর্মীয় অনুষ্ঠান, ঘ) রাজনৈতিক অনুষ্ঠান</v>
      </c>
      <c r="L50" s="5" t="str">
        <f>IFERROR(__xludf.DUMMYFUNCTION("GOOGLETRANSLATE(D50, ""en"", ""bn"")"),"খ) ফসল কাটার উৎসব")</f>
        <v>খ) ফসল কাটার উৎসব</v>
      </c>
      <c r="M50" s="6" t="str">
        <f>IFERROR(__xludf.DUMMYFUNCTION("GOOGLETRANSLATE(E50, ""en"", ""bn"")"),"কৃষি চক্রের সমাপ্তি উদযাপনের জন্য বলি খেলা প্রায়শই ফসল কাটার উৎসবের একটি আকর্ষণীয় অনুষ্ঠান।")</f>
        <v>কৃষি চক্রের সমাপ্তি উদযাপনের জন্য বলি খেলা প্রায়শই ফসল কাটার উৎসবের একটি আকর্ষণীয় অনুষ্ঠান।</v>
      </c>
    </row>
    <row r="51">
      <c r="A51" s="4">
        <v>50.0</v>
      </c>
      <c r="B51" s="4" t="s">
        <v>204</v>
      </c>
      <c r="C51" s="4" t="s">
        <v>205</v>
      </c>
      <c r="D51" s="4" t="s">
        <v>206</v>
      </c>
      <c r="E51" s="4" t="s">
        <v>207</v>
      </c>
      <c r="I51" s="5" t="str">
        <f>IFERROR(__xludf.DUMMYFUNCTION("GOOGLETRANSLATE(A51, ""en"", ""bn"")"),"৫০")</f>
        <v>৫০</v>
      </c>
      <c r="J51" s="6" t="str">
        <f>IFERROR(__xludf.DUMMYFUNCTION("GOOGLETRANSLATE(B51, ""en"", ""bn"")"),"কোন গোষ্ঠী ঐতিহ্যগতভাবে বলি খেলা আয়োজন করে?")</f>
        <v>কোন গোষ্ঠী ঐতিহ্যগতভাবে বলি খেলা আয়োজন করে?</v>
      </c>
      <c r="K51" s="6" t="str">
        <f>IFERROR(__xludf.DUMMYFUNCTION("GOOGLETRANSLATE(C51, ""en"", ""bn"")"),"ক) স্থানীয় সরকার, খ) কৃষক, গ) গ্রামের প্রবীণরা, ঘ) ধর্মীয় নেতারা")</f>
        <v>ক) স্থানীয় সরকার, খ) কৃষক, গ) গ্রামের প্রবীণরা, ঘ) ধর্মীয় নেতারা</v>
      </c>
      <c r="L51" s="5" t="str">
        <f>IFERROR(__xludf.DUMMYFUNCTION("GOOGLETRANSLATE(D51, ""en"", ""bn"")"),"গ) গ্রামের প্রবীণরা")</f>
        <v>গ) গ্রামের প্রবীণরা</v>
      </c>
      <c r="M51" s="6" t="str">
        <f>IFERROR(__xludf.DUMMYFUNCTION("GOOGLETRANSLATE(E51, ""en"", ""bn"")"),"গ্রামের প্রবীণরা ঐতিহ্যগতভাবে স্থানীয় উৎসবের অংশ হিসেবে বলি খেলা আয়োজন করেন।")</f>
        <v>গ্রামের প্রবীণরা ঐতিহ্যগতভাবে স্থানীয় উৎসবের অংশ হিসেবে বলি খেলা আয়োজন করেন।</v>
      </c>
    </row>
    <row r="52">
      <c r="A52" s="4">
        <v>51.0</v>
      </c>
      <c r="B52" s="4" t="s">
        <v>208</v>
      </c>
      <c r="C52" s="4" t="s">
        <v>209</v>
      </c>
      <c r="D52" s="4" t="s">
        <v>210</v>
      </c>
      <c r="E52" s="4" t="s">
        <v>211</v>
      </c>
      <c r="I52" s="5" t="str">
        <f>IFERROR(__xludf.DUMMYFUNCTION("GOOGLETRANSLATE(A52, ""en"", ""bn"")"),"৫১")</f>
        <v>৫১</v>
      </c>
      <c r="J52" s="6" t="str">
        <f>IFERROR(__xludf.DUMMYFUNCTION("GOOGLETRANSLATE(B52, ""en"", ""bn"")"),"বলি খেলা ম্যাচের বিজয়ীর জন্য কী পুরষ্কার থাকবে?")</f>
        <v>বলি খেলা ম্যাচের বিজয়ীর জন্য কী পুরষ্কার থাকবে?</v>
      </c>
      <c r="K52" s="6" t="str">
        <f>IFERROR(__xludf.DUMMYFUNCTION("GOOGLETRANSLATE(C52, ""en"", ""bn"")"),"ক) নগদ পুরস্কার, খ) ট্রফি, গ) ভোজ, ঘ) পশুপালন")</f>
        <v>ক) নগদ পুরস্কার, খ) ট্রফি, গ) ভোজ, ঘ) পশুপালন</v>
      </c>
      <c r="L52" s="5" t="str">
        <f>IFERROR(__xludf.DUMMYFUNCTION("GOOGLETRANSLATE(D52, ""en"", ""bn"")"),"ঘ) পশুপালন")</f>
        <v>ঘ) পশুপালন</v>
      </c>
      <c r="M52" s="6" t="str">
        <f>IFERROR(__xludf.DUMMYFUNCTION("GOOGLETRANSLATE(E52, ""en"", ""bn"")"),"বলি খেলায় বিজয়ীদের প্রায়শই পুরষ্কার হিসেবে ষাঁড় বা গরুর মতো পশুপালন দেওয়া হয়।")</f>
        <v>বলি খেলায় বিজয়ীদের প্রায়শই পুরষ্কার হিসেবে ষাঁড় বা গরুর মতো পশুপালন দেওয়া হয়।</v>
      </c>
    </row>
    <row r="53">
      <c r="A53" s="4">
        <v>52.0</v>
      </c>
      <c r="B53" s="4" t="s">
        <v>212</v>
      </c>
      <c r="C53" s="4" t="s">
        <v>213</v>
      </c>
      <c r="D53" s="4" t="s">
        <v>214</v>
      </c>
      <c r="E53" s="4" t="s">
        <v>215</v>
      </c>
      <c r="I53" s="5" t="str">
        <f>IFERROR(__xludf.DUMMYFUNCTION("GOOGLETRANSLATE(A53, ""en"", ""bn"")"),"৫২")</f>
        <v>৫২</v>
      </c>
      <c r="J53" s="6" t="str">
        <f>IFERROR(__xludf.DUMMYFUNCTION("GOOGLETRANSLATE(B53, ""en"", ""bn"")"),"বলি খেলায় সাফল্যের জন্য কোন শারীরিক দক্ষতা অপরিহার্য?")</f>
        <v>বলি খেলায় সাফল্যের জন্য কোন শারীরিক দক্ষতা অপরিহার্য?</v>
      </c>
      <c r="K53" s="6" t="str">
        <f>IFERROR(__xludf.DUMMYFUNCTION("GOOGLETRANSLATE(C53, ""en"", ""bn"")"),"ক) তত্পরতা, খ) শক্তি, গ) নমনীয়তা, ঘ) সহনশীলতা")</f>
        <v>ক) তত্পরতা, খ) শক্তি, গ) নমনীয়তা, ঘ) সহনশীলতা</v>
      </c>
      <c r="L53" s="5" t="str">
        <f>IFERROR(__xludf.DUMMYFUNCTION("GOOGLETRANSLATE(D53, ""en"", ""bn"")"),"খ) শক্তি")</f>
        <v>খ) শক্তি</v>
      </c>
      <c r="M53" s="6" t="str">
        <f>IFERROR(__xludf.DUMMYFUNCTION("GOOGLETRANSLATE(E53, ""en"", ""bn"")"),"বলি খেলায় দক্ষতা অর্জনের জন্য শক্তি হল মূল শারীরিক দক্ষতা।")</f>
        <v>বলি খেলায় দক্ষতা অর্জনের জন্য শক্তি হল মূল শারীরিক দক্ষতা।</v>
      </c>
    </row>
    <row r="54">
      <c r="A54" s="4">
        <v>53.0</v>
      </c>
      <c r="B54" s="4" t="s">
        <v>216</v>
      </c>
      <c r="C54" s="4" t="s">
        <v>217</v>
      </c>
      <c r="D54" s="4" t="s">
        <v>218</v>
      </c>
      <c r="E54" s="4" t="s">
        <v>219</v>
      </c>
      <c r="I54" s="5" t="str">
        <f>IFERROR(__xludf.DUMMYFUNCTION("GOOGLETRANSLATE(A54, ""en"", ""bn"")"),"৫৩")</f>
        <v>৫৩</v>
      </c>
      <c r="J54" s="6" t="str">
        <f>IFERROR(__xludf.DUMMYFUNCTION("GOOGLETRANSLATE(B54, ""en"", ""bn"")"),"বলি খেলা কোন ধরণের কুস্তির সাথে সাদৃশ্যপূর্ণ?")</f>
        <v>বলি খেলা কোন ধরণের কুস্তির সাথে সাদৃশ্যপূর্ণ?</v>
      </c>
      <c r="K54" s="6" t="str">
        <f>IFERROR(__xludf.DUMMYFUNCTION("GOOGLETRANSLATE(C54, ""en"", ""bn"")"),"ক) অলিম্পিক কুস্তি, খ) গ্রিকো-রোমান কুস্তি, গ) লোক কুস্তি, ঘ) ব্রাজিলিয়ান জিউ-জিতসু")</f>
        <v>ক) অলিম্পিক কুস্তি, খ) গ্রিকো-রোমান কুস্তি, গ) লোক কুস্তি, ঘ) ব্রাজিলিয়ান জিউ-জিতসু</v>
      </c>
      <c r="L54" s="5" t="str">
        <f>IFERROR(__xludf.DUMMYFUNCTION("GOOGLETRANSLATE(D54, ""en"", ""bn"")"),"গ) লোক কুস্তি")</f>
        <v>গ) লোক কুস্তি</v>
      </c>
      <c r="M54" s="6" t="str">
        <f>IFERROR(__xludf.DUMMYFUNCTION("GOOGLETRANSLATE(E54, ""en"", ""bn"")"),"বলি খেলা হল লোক কুস্তির এক রূপ, যা বাঙালি সংস্কৃতির অনন্য।")</f>
        <v>বলি খেলা হল লোক কুস্তির এক রূপ, যা বাঙালি সংস্কৃতির অনন্য।</v>
      </c>
    </row>
    <row r="55">
      <c r="A55" s="4">
        <v>54.0</v>
      </c>
      <c r="B55" s="4" t="s">
        <v>220</v>
      </c>
      <c r="C55" s="4" t="s">
        <v>221</v>
      </c>
      <c r="D55" s="4" t="s">
        <v>222</v>
      </c>
      <c r="E55" s="4" t="s">
        <v>223</v>
      </c>
      <c r="I55" s="5" t="str">
        <f>IFERROR(__xludf.DUMMYFUNCTION("GOOGLETRANSLATE(A55, ""en"", ""bn"")"),"৫৪")</f>
        <v>৫৪</v>
      </c>
      <c r="J55" s="6" t="str">
        <f>IFERROR(__xludf.DUMMYFUNCTION("GOOGLETRANSLATE(B55, ""en"", ""bn"")"),"বলি খেলা কীভাবে তার জনপ্রিয়তা ধরে রাখে?")</f>
        <v>বলি খেলা কীভাবে তার জনপ্রিয়তা ধরে রাখে?</v>
      </c>
      <c r="K55" s="6" t="str">
        <f>IFERROR(__xludf.DUMMYFUNCTION("GOOGLETRANSLATE(C55, ""en"", ""bn"")"),"ক) আধুনিক অভিযোজনের মাধ্যমে, খ) টেলিভিশন সম্প্রচারের মাধ্যমে, গ) সম্প্রদায়ের অংশগ্রহণের মাধ্যমে, ঘ) অনলাইন প্রচারের মাধ্যমে")</f>
        <v>ক) আধুনিক অভিযোজনের মাধ্যমে, খ) টেলিভিশন সম্প্রচারের মাধ্যমে, গ) সম্প্রদায়ের অংশগ্রহণের মাধ্যমে, ঘ) অনলাইন প্রচারের মাধ্যমে</v>
      </c>
      <c r="L55" s="5" t="str">
        <f>IFERROR(__xludf.DUMMYFUNCTION("GOOGLETRANSLATE(D55, ""en"", ""bn"")"),"গ) সম্প্রদায়ের অংশগ্রহণের মাধ্যমে")</f>
        <v>গ) সম্প্রদায়ের অংশগ্রহণের মাধ্যমে</v>
      </c>
      <c r="M55" s="6" t="str">
        <f>IFERROR(__xludf.DUMMYFUNCTION("GOOGLETRANSLATE(E55, ""en"", ""bn"")"),"বলি খেলা সম্প্রদায়ের সক্রিয় অংশগ্রহণ এবং সাংস্কৃতিক তাৎপর্যের কারণে জনপ্রিয়।")</f>
        <v>বলি খেলা সম্প্রদায়ের সক্রিয় অংশগ্রহণ এবং সাংস্কৃতিক তাৎপর্যের কারণে জনপ্রিয়।</v>
      </c>
    </row>
    <row r="56">
      <c r="A56" s="4">
        <v>55.0</v>
      </c>
      <c r="B56" s="4" t="s">
        <v>224</v>
      </c>
      <c r="C56" s="4" t="s">
        <v>225</v>
      </c>
      <c r="D56" s="4" t="s">
        <v>226</v>
      </c>
      <c r="E56" s="4" t="s">
        <v>227</v>
      </c>
      <c r="I56" s="5" t="str">
        <f>IFERROR(__xludf.DUMMYFUNCTION("GOOGLETRANSLATE(A56, ""en"", ""bn"")"),"৫৫")</f>
        <v>৫৫</v>
      </c>
      <c r="J56" s="6" t="str">
        <f>IFERROR(__xludf.DUMMYFUNCTION("GOOGLETRANSLATE(B56, ""en"", ""bn"")"),"বাংলাদেশের কোন অঞ্চলে বলি খেলা সবচেয়ে বেশি প্রচলিত?")</f>
        <v>বাংলাদেশের কোন অঞ্চলে বলি খেলা সবচেয়ে বেশি প্রচলিত?</v>
      </c>
      <c r="K56" s="6" t="str">
        <f>IFERROR(__xludf.DUMMYFUNCTION("GOOGLETRANSLATE(C56, ""en"", ""bn"")"),"ক) চট্টগ্রাম, খ) খুলনা, গ) রাজশাহী, ঘ) বরিশাল")</f>
        <v>ক) চট্টগ্রাম, খ) খুলনা, গ) রাজশাহী, ঘ) বরিশাল</v>
      </c>
      <c r="L56" s="5" t="str">
        <f>IFERROR(__xludf.DUMMYFUNCTION("GOOGLETRANSLATE(D56, ""en"", ""bn"")"),"ক) চট্টগ্রাম")</f>
        <v>ক) চট্টগ্রাম</v>
      </c>
      <c r="M56" s="6" t="str">
        <f>IFERROR(__xludf.DUMMYFUNCTION("GOOGLETRANSLATE(E56, ""en"", ""bn"")"),"বাংলাদেশের চট্টগ্রাম অঞ্চলে বলি খেলা সবচেয়ে বেশি প্রচলিত।")</f>
        <v>বাংলাদেশের চট্টগ্রাম অঞ্চলে বলি খেলা সবচেয়ে বেশি প্রচলিত।</v>
      </c>
    </row>
    <row r="57">
      <c r="A57" s="4">
        <v>56.0</v>
      </c>
      <c r="B57" s="4" t="s">
        <v>228</v>
      </c>
      <c r="C57" s="4" t="s">
        <v>229</v>
      </c>
      <c r="D57" s="4" t="s">
        <v>230</v>
      </c>
      <c r="E57" s="4" t="s">
        <v>231</v>
      </c>
      <c r="I57" s="5" t="str">
        <f>IFERROR(__xludf.DUMMYFUNCTION("GOOGLETRANSLATE(A57, ""en"", ""bn"")"),"৫৬")</f>
        <v>৫৬</v>
      </c>
      <c r="J57" s="6" t="str">
        <f>IFERROR(__xludf.DUMMYFUNCTION("GOOGLETRANSLATE(B57, ""en"", ""bn"")"),"বলি খেলা খেলার সময় অংশগ্রহণকারীরা ঐতিহ্যগতভাবে কোন ধরণের পোশাক পরেন?")</f>
        <v>বলি খেলা খেলার সময় অংশগ্রহণকারীরা ঐতিহ্যগতভাবে কোন ধরণের পোশাক পরেন?</v>
      </c>
      <c r="K57" s="6" t="str">
        <f>IFERROR(__xludf.DUMMYFUNCTION("GOOGLETRANSLATE(C57, ""en"", ""bn"")"),"ক) ঐতিহ্যবাহী বর্ম, খ) সাধারণ সুতির পোশাক, গ) কুস্তির পোশাক, ঘ) নির্দিষ্ট কিছু নয়")</f>
        <v>ক) ঐতিহ্যবাহী বর্ম, খ) সাধারণ সুতির পোশাক, গ) কুস্তির পোশাক, ঘ) নির্দিষ্ট কিছু নয়</v>
      </c>
      <c r="L57" s="5" t="str">
        <f>IFERROR(__xludf.DUMMYFUNCTION("GOOGLETRANSLATE(D57, ""en"", ""bn"")"),"খ) সাধারণ সুতির পোশাক")</f>
        <v>খ) সাধারণ সুতির পোশাক</v>
      </c>
      <c r="M57" s="6" t="str">
        <f>IFERROR(__xludf.DUMMYFUNCTION("GOOGLETRANSLATE(E57, ""en"", ""bn"")"),"অংশগ্রহণকারীরা সাধারণত সাধারণ সুতির পোশাক পরেন, যা খেলার ঐতিহ্যবাহী প্রকৃতির প্রতিফলন ঘটায়।")</f>
        <v>অংশগ্রহণকারীরা সাধারণত সাধারণ সুতির পোশাক পরেন, যা খেলার ঐতিহ্যবাহী প্রকৃতির প্রতিফলন ঘটায়।</v>
      </c>
    </row>
    <row r="58">
      <c r="A58" s="4">
        <v>57.0</v>
      </c>
      <c r="B58" s="4" t="s">
        <v>232</v>
      </c>
      <c r="C58" s="4" t="s">
        <v>233</v>
      </c>
      <c r="D58" s="4" t="s">
        <v>234</v>
      </c>
      <c r="E58" s="4" t="s">
        <v>235</v>
      </c>
      <c r="I58" s="5" t="str">
        <f>IFERROR(__xludf.DUMMYFUNCTION("GOOGLETRANSLATE(A58, ""en"", ""bn"")"),"৫৭")</f>
        <v>৫৭</v>
      </c>
      <c r="J58" s="6" t="str">
        <f>IFERROR(__xludf.DUMMYFUNCTION("GOOGLETRANSLATE(B58, ""en"", ""bn"")"),"কোন ইভেন্টটি সাধারণত বলি খেলা প্রতিযোগিতার সমাপ্তি চিহ্নিত করে?")</f>
        <v>কোন ইভেন্টটি সাধারণত বলি খেলা প্রতিযোগিতার সমাপ্তি চিহ্নিত করে?</v>
      </c>
      <c r="K58" s="6" t="str">
        <f>IFERROR(__xludf.DUMMYFUNCTION("GOOGLETRANSLATE(C58, ""en"", ""bn"")"),"ক) একটি ভোজ, খ) একটি প্রার্থনা, গ) একটি বিজয় সভা, ঘ) একটি সম্প্রদায় উদযাপন")</f>
        <v>ক) একটি ভোজ, খ) একটি প্রার্থনা, গ) একটি বিজয় সভা, ঘ) একটি সম্প্রদায় উদযাপন</v>
      </c>
      <c r="L58" s="5" t="str">
        <f>IFERROR(__xludf.DUMMYFUNCTION("GOOGLETRANSLATE(D58, ""en"", ""bn"")"),"ঘ) একটি সম্প্রদায়ের উৎসব")</f>
        <v>ঘ) একটি সম্প্রদায়ের উৎসব</v>
      </c>
      <c r="M58" s="6" t="str">
        <f>IFERROR(__xludf.DUMMYFUNCTION("GOOGLETRANSLATE(E58, ""en"", ""bn"")"),"বলি খেলা প্রতিযোগিতার সমাপ্তি প্রায়শই একটি বিশাল সম্প্রদায়ের উদযাপনের মাধ্যমে চিহ্নিত হয়।")</f>
        <v>বলি খেলা প্রতিযোগিতার সমাপ্তি প্রায়শই একটি বিশাল সম্প্রদায়ের উদযাপনের মাধ্যমে চিহ্নিত হয়।</v>
      </c>
    </row>
    <row r="59">
      <c r="A59" s="4">
        <v>58.0</v>
      </c>
      <c r="B59" s="4" t="s">
        <v>236</v>
      </c>
      <c r="C59" s="4" t="s">
        <v>237</v>
      </c>
      <c r="D59" s="4" t="s">
        <v>238</v>
      </c>
      <c r="E59" s="4" t="s">
        <v>239</v>
      </c>
      <c r="I59" s="5" t="str">
        <f>IFERROR(__xludf.DUMMYFUNCTION("GOOGLETRANSLATE(A59, ""en"", ""bn"")"),"৫৮")</f>
        <v>৫৮</v>
      </c>
      <c r="J59" s="6" t="str">
        <f>IFERROR(__xludf.DUMMYFUNCTION("GOOGLETRANSLATE(B59, ""en"", ""bn"")"),"বলি খেলায় কুস্তিগীরদের প্রাথমিক লক্ষ্য কী?")</f>
        <v>বলি খেলায় কুস্তিগীরদের প্রাথমিক লক্ষ্য কী?</v>
      </c>
      <c r="K59" s="6" t="str">
        <f>IFERROR(__xludf.DUMMYFUNCTION("GOOGLETRANSLATE(C59, ""en"", ""bn"")"),"ক) প্রতিপক্ষকে রিং থেকে ছিটকে ফেলা, খ) প্রতিপক্ষকে মাটিতে পিটিয়ে মারা, গ) প্রতিপক্ষকে ক্লান্ত করে ফেলা, ঘ) সর্বাধিক পয়েন্ট অর্জন করা")</f>
        <v>ক) প্রতিপক্ষকে রিং থেকে ছিটকে ফেলা, খ) প্রতিপক্ষকে মাটিতে পিটিয়ে মারা, গ) প্রতিপক্ষকে ক্লান্ত করে ফেলা, ঘ) সর্বাধিক পয়েন্ট অর্জন করা</v>
      </c>
      <c r="L59" s="5" t="str">
        <f>IFERROR(__xludf.DUMMYFUNCTION("GOOGLETRANSLATE(D59, ""en"", ""bn"")"),"ক) প্রতিপক্ষকে রিং থেকে ছিটকে ফেলা")</f>
        <v>ক) প্রতিপক্ষকে রিং থেকে ছিটকে ফেলা</v>
      </c>
      <c r="M59" s="6" t="str">
        <f>IFERROR(__xludf.DUMMYFUNCTION("GOOGLETRANSLATE(E59, ""en"", ""bn"")"),"প্রাথমিক লক্ষ্য হল প্রতিপক্ষকে রিং থেকে ছিটকে দেওয়া অথবা শারীরিক লড়াইয়ে তাদের উপর আধিপত্য বিস্তার করা।")</f>
        <v>প্রাথমিক লক্ষ্য হল প্রতিপক্ষকে রিং থেকে ছিটকে দেওয়া অথবা শারীরিক লড়াইয়ে তাদের উপর আধিপত্য বিস্তার করা।</v>
      </c>
    </row>
    <row r="60">
      <c r="A60" s="4">
        <v>59.0</v>
      </c>
      <c r="B60" s="4" t="s">
        <v>240</v>
      </c>
      <c r="C60" s="4" t="s">
        <v>241</v>
      </c>
      <c r="D60" s="4" t="s">
        <v>242</v>
      </c>
      <c r="E60" s="4" t="s">
        <v>243</v>
      </c>
      <c r="I60" s="5" t="str">
        <f>IFERROR(__xludf.DUMMYFUNCTION("GOOGLETRANSLATE(A60, ""en"", ""bn"")"),"৫৯")</f>
        <v>৫৯</v>
      </c>
      <c r="J60" s="6" t="str">
        <f>IFERROR(__xludf.DUMMYFUNCTION("GOOGLETRANSLATE(B60, ""en"", ""bn"")"),"বাংলাদেশ সরকার কত সালে বলি খেলাকে আনুষ্ঠানিকভাবে জাতীয় খেলা হিসেবে স্বীকৃতি দেয়?")</f>
        <v>বাংলাদেশ সরকার কত সালে বলি খেলাকে আনুষ্ঠানিকভাবে জাতীয় খেলা হিসেবে স্বীকৃতি দেয়?</v>
      </c>
      <c r="K60" s="6" t="str">
        <f>IFERROR(__xludf.DUMMYFUNCTION("GOOGLETRANSLATE(C60, ""en"", ""bn"")"),"ক) ১৯৫০, খ) ১৯৭১, গ) ১৯৮৪, ঘ) ২০০১")</f>
        <v>ক) ১৯৫০, খ) ১৯৭১, গ) ১৯৮৪, ঘ) ২০০১</v>
      </c>
      <c r="L60" s="5" t="str">
        <f>IFERROR(__xludf.DUMMYFUNCTION("GOOGLETRANSLATE(D60, ""en"", ""bn"")"),"গ) ১৯৮৪")</f>
        <v>গ) ১৯৮৪</v>
      </c>
      <c r="M60" s="6" t="str">
        <f>IFERROR(__xludf.DUMMYFUNCTION("GOOGLETRANSLATE(E60, ""en"", ""bn"")"),"সাংস্কৃতিক ঐতিহ্য সংরক্ষণের অংশ হিসেবে ১৯৮৪ সালে বাংলাদেশ সরকার বলি খেলাকে আনুষ্ঠানিকভাবে স্বীকৃতি দেয়।")</f>
        <v>সাংস্কৃতিক ঐতিহ্য সংরক্ষণের অংশ হিসেবে ১৯৮৪ সালে বাংলাদেশ সরকার বলি খেলাকে আনুষ্ঠানিকভাবে স্বীকৃতি দেয়।</v>
      </c>
    </row>
    <row r="61">
      <c r="A61" s="4">
        <v>60.0</v>
      </c>
      <c r="B61" s="4" t="s">
        <v>244</v>
      </c>
      <c r="C61" s="4" t="s">
        <v>245</v>
      </c>
      <c r="D61" s="4" t="s">
        <v>246</v>
      </c>
      <c r="E61" s="4" t="s">
        <v>247</v>
      </c>
      <c r="I61" s="5" t="str">
        <f>IFERROR(__xludf.DUMMYFUNCTION("GOOGLETRANSLATE(A61, ""en"", ""bn"")"),"৬০")</f>
        <v>৬০</v>
      </c>
      <c r="J61" s="6" t="str">
        <f>IFERROR(__xludf.DUMMYFUNCTION("GOOGLETRANSLATE(B61, ""en"", ""bn"")"),"বলি খেলাকে কোন ধরণের কুস্তি হিসেবে বিবেচনা করা হয়?")</f>
        <v>বলি খেলাকে কোন ধরণের কুস্তি হিসেবে বিবেচনা করা হয়?</v>
      </c>
      <c r="K61" s="6" t="str">
        <f>IFERROR(__xludf.DUMMYFUNCTION("GOOGLETRANSLATE(C61, ""en"", ""bn"")"),"ক) গ্রিকো-রোমান, খ) লোক কুস্তি, গ) মুক্ত শৈলী, ঘ) সুমো")</f>
        <v>ক) গ্রিকো-রোমান, খ) লোক কুস্তি, গ) মুক্ত শৈলী, ঘ) সুমো</v>
      </c>
      <c r="L61" s="5" t="str">
        <f>IFERROR(__xludf.DUMMYFUNCTION("GOOGLETRANSLATE(D61, ""en"", ""bn"")"),"খ) লোক কুস্তি")</f>
        <v>খ) লোক কুস্তি</v>
      </c>
      <c r="M61" s="6" t="str">
        <f>IFERROR(__xludf.DUMMYFUNCTION("GOOGLETRANSLATE(E61, ""en"", ""bn"")"),"বলি খেলা হল লোক কুস্তির একটি ঐতিহ্যবাহী রূপ যা বাংলাদেশের গ্রামীণ জীবনধারাকে প্রতিফলিত করে।")</f>
        <v>বলি খেলা হল লোক কুস্তির একটি ঐতিহ্যবাহী রূপ যা বাংলাদেশের গ্রামীণ জীবনধারাকে প্রতিফলিত করে।</v>
      </c>
    </row>
    <row r="62">
      <c r="A62" s="7">
        <v>61.0</v>
      </c>
      <c r="B62" s="7" t="s">
        <v>248</v>
      </c>
      <c r="C62" s="7" t="s">
        <v>249</v>
      </c>
      <c r="D62" s="7" t="s">
        <v>250</v>
      </c>
      <c r="E62" s="7" t="s">
        <v>251</v>
      </c>
      <c r="I62" s="5" t="str">
        <f>IFERROR(__xludf.DUMMYFUNCTION("GOOGLETRANSLATE(A62, ""en"", ""bn"")"),"৬১")</f>
        <v>৬১</v>
      </c>
      <c r="J62" s="6" t="str">
        <f>IFERROR(__xludf.DUMMYFUNCTION("GOOGLETRANSLATE(B62, ""en"", ""bn"")"),"""জব্বারের বলি খেলা"" নামে পরিচিত বলি খেলাকে জনপ্রিয় করার কৃতিত্ব কাকে দেওয়া হয়?")</f>
        <v>"জব্বারের বলি খেলা" নামে পরিচিত বলি খেলাকে জনপ্রিয় করার কৃতিত্ব কাকে দেওয়া হয়?</v>
      </c>
      <c r="K62" s="6" t="str">
        <f>IFERROR(__xludf.DUMMYFUNCTION("GOOGLETRANSLATE(C62, ""en"", ""bn"")"),"A) কাদের বক্সো, B) আব্দুল জব্বার সওদাগর, C) দিদারুল আলম, D) ইয়াসিন মক্কী")</f>
        <v>A) কাদের বক্সো, B) আব্দুল জব্বার সওদাগর, C) দিদারুল আলম, D) ইয়াসিন মক্কী</v>
      </c>
      <c r="L62" s="5" t="str">
        <f>IFERROR(__xludf.DUMMYFUNCTION("GOOGLETRANSLATE(D62, ""en"", ""bn"")"),"খ) আব্দুল জব্বার সওদাগর")</f>
        <v>খ) আব্দুল জব্বার সওদাগর</v>
      </c>
      <c r="M62" s="6" t="str">
        <f>IFERROR(__xludf.DUMMYFUNCTION("GOOGLETRANSLATE(E62, ""en"", ""bn"")"),"আব্দুল জব্বার সওদাগর ছিলেন একজন বণিক যিনি ব্রিটিশ শাসনের বিরুদ্ধে তরুণদের অনুপ্রাণিত করার জন্য বিখ্যাত বলি খেলা প্রতিযোগিতা শুরু করেছিলেন।")</f>
        <v>আব্দুল জব্বার সওদাগর ছিলেন একজন বণিক যিনি ব্রিটিশ শাসনের বিরুদ্ধে তরুণদের অনুপ্রাণিত করার জন্য বিখ্যাত বলি খেলা প্রতিযোগিতা শুরু করেছিলেন।</v>
      </c>
    </row>
    <row r="63">
      <c r="A63" s="7">
        <v>62.0</v>
      </c>
      <c r="B63" s="7" t="s">
        <v>252</v>
      </c>
      <c r="C63" s="7" t="s">
        <v>253</v>
      </c>
      <c r="D63" s="7" t="s">
        <v>254</v>
      </c>
      <c r="E63" s="7" t="s">
        <v>255</v>
      </c>
      <c r="I63" s="5" t="str">
        <f>IFERROR(__xludf.DUMMYFUNCTION("GOOGLETRANSLATE(A63, ""en"", ""bn"")"),"৬২")</f>
        <v>৬২</v>
      </c>
      <c r="J63" s="6" t="str">
        <f>IFERROR(__xludf.DUMMYFUNCTION("GOOGLETRANSLATE(B63, ""en"", ""bn"")"),"আব্দুল জব্বার সওদাগর কোন সালে প্রথম বলি খেলা আয়োজন করেন?")</f>
        <v>আব্দুল জব্বার সওদাগর কোন সালে প্রথম বলি খেলা আয়োজন করেন?</v>
      </c>
      <c r="K63" s="6" t="str">
        <f>IFERROR(__xludf.DUMMYFUNCTION("GOOGLETRANSLATE(C63, ""en"", ""bn"")"),"ক) ১৮৭৯, খ) ১৮৮৯, গ) ১৯০৭, ঘ) ১৯২১")</f>
        <v>ক) ১৮৭৯, খ) ১৮৮৯, গ) ১৯০৭, ঘ) ১৯২১</v>
      </c>
      <c r="L63" s="5" t="str">
        <f>IFERROR(__xludf.DUMMYFUNCTION("GOOGLETRANSLATE(D63, ""en"", ""bn"")"),"গ) ১৯০৭")</f>
        <v>গ) ১৯০৭</v>
      </c>
      <c r="M63" s="6" t="str">
        <f>IFERROR(__xludf.DUMMYFUNCTION("GOOGLETRANSLATE(E63, ""en"", ""bn"")"),"তরুণদের মধ্যে ব্রিটিশ-বিরোধী মনোভাব জাগানোর উদ্দেশ্যে জব্বারের বলি খেলা প্রথম অনুষ্ঠিত হয়েছিল ১৯০৭ সালে।")</f>
        <v>তরুণদের মধ্যে ব্রিটিশ-বিরোধী মনোভাব জাগানোর উদ্দেশ্যে জব্বারের বলি খেলা প্রথম অনুষ্ঠিত হয়েছিল ১৯০৭ সালে।</v>
      </c>
    </row>
    <row r="64">
      <c r="A64" s="7">
        <v>63.0</v>
      </c>
      <c r="B64" s="7" t="s">
        <v>256</v>
      </c>
      <c r="C64" s="7" t="s">
        <v>257</v>
      </c>
      <c r="D64" s="7" t="s">
        <v>258</v>
      </c>
      <c r="E64" s="7" t="s">
        <v>259</v>
      </c>
      <c r="I64" s="5" t="str">
        <f>IFERROR(__xludf.DUMMYFUNCTION("GOOGLETRANSLATE(A64, ""en"", ""bn"")"),"৬৩")</f>
        <v>৬৩</v>
      </c>
      <c r="J64" s="6" t="str">
        <f>IFERROR(__xludf.DUMMYFUNCTION("GOOGLETRANSLATE(B64, ""en"", ""bn"")"),"সবচেয়ে বিখ্যাত বলি খেলা টুর্নামেন্ট কোন স্থানে অনুষ্ঠিত হয়?")</f>
        <v>সবচেয়ে বিখ্যাত বলি খেলা টুর্নামেন্ট কোন স্থানে অনুষ্ঠিত হয়?</v>
      </c>
      <c r="K64" s="6" t="str">
        <f>IFERROR(__xludf.DUMMYFUNCTION("GOOGLETRANSLATE(C64, ""en"", ""bn"")"),"A) মাদার্শা ইউনিয়ন, B) সাতকানিয়া উপজেলা, C) লালদিঘী ময়দান, D) বদরপতি")</f>
        <v>A) মাদার্শা ইউনিয়ন, B) সাতকানিয়া উপজেলা, C) লালদিঘী ময়দান, D) বদরপতি</v>
      </c>
      <c r="L64" s="5" t="str">
        <f>IFERROR(__xludf.DUMMYFUNCTION("GOOGLETRANSLATE(D64, ""en"", ""bn"")"),"গ) লালদিঘি ময়দান")</f>
        <v>গ) লালদিঘি ময়দান</v>
      </c>
      <c r="M64" s="6" t="str">
        <f>IFERROR(__xludf.DUMMYFUNCTION("GOOGLETRANSLATE(E64, ""en"", ""bn"")"),"চট্টগ্রামের লালদীঘি ময়দানে প্রতি বছর ঐতিহাসিক ""জব্বারের বলি খেলা"" অনুষ্ঠিত হয়।")</f>
        <v>চট্টগ্রামের লালদীঘি ময়দানে প্রতি বছর ঐতিহাসিক "জব্বারের বলি খেলা" অনুষ্ঠিত হয়।</v>
      </c>
    </row>
    <row r="65">
      <c r="A65" s="7">
        <v>64.0</v>
      </c>
      <c r="B65" s="7" t="s">
        <v>260</v>
      </c>
      <c r="C65" s="7" t="s">
        <v>261</v>
      </c>
      <c r="D65" s="7" t="s">
        <v>262</v>
      </c>
      <c r="E65" s="7" t="s">
        <v>263</v>
      </c>
      <c r="I65" s="5" t="str">
        <f>IFERROR(__xludf.DUMMYFUNCTION("GOOGLETRANSLATE(A65, ""en"", ""bn"")"),"৬৪")</f>
        <v>৬৪</v>
      </c>
      <c r="J65" s="6" t="str">
        <f>IFERROR(__xludf.DUMMYFUNCTION("GOOGLETRANSLATE(B65, ""en"", ""bn"")"),"আব্দুল জব্বার সওদাগরের বলি খেলা টুর্নামেন্ট শুরু করার প্রাথমিক প্রেরণা কী ছিল?")</f>
        <v>আব্দুল জব্বার সওদাগরের বলি খেলা টুর্নামেন্ট শুরু করার প্রাথমিক প্রেরণা কী ছিল?</v>
      </c>
      <c r="K65" s="6" t="str">
        <f>IFERROR(__xludf.DUMMYFUNCTION("GOOGLETRANSLATE(C65, ""en"", ""bn"")"),"ক) অর্থ উপার্জন করা, খ) জনগণকে বিনোদন দেওয়া, গ) ব্রিটিশ শাসনের বিরুদ্ধে যুবসমাজকে প্রস্তুত করার জন্য একটি খেলাধুলা গড়ে তোলা, ঘ) পর্যটন প্রচার করা")</f>
        <v>ক) অর্থ উপার্জন করা, খ) জনগণকে বিনোদন দেওয়া, গ) ব্রিটিশ শাসনের বিরুদ্ধে যুবসমাজকে প্রস্তুত করার জন্য একটি খেলাধুলা গড়ে তোলা, ঘ) পর্যটন প্রচার করা</v>
      </c>
      <c r="L65" s="5" t="str">
        <f>IFERROR(__xludf.DUMMYFUNCTION("GOOGLETRANSLATE(D65, ""en"", ""bn"")"),"গ) ব্রিটিশ শাসনের বিরুদ্ধে যুবসমাজকে প্রস্তুত করার জন্য একটি খেলাধুলা গড়ে তোলা।")</f>
        <v>গ) ব্রিটিশ শাসনের বিরুদ্ধে যুবসমাজকে প্রস্তুত করার জন্য একটি খেলাধুলা গড়ে তোলা।</v>
      </c>
      <c r="M65" s="6" t="str">
        <f>IFERROR(__xludf.DUMMYFUNCTION("GOOGLETRANSLATE(E65, ""en"", ""bn"")"),"এই টুর্নামেন্টটি ছিল একটি দেশাত্মবোধক অঙ্গভঙ্গি যার উদ্দেশ্য ছিল উপনিবেশবিরোধী আন্দোলনের জন্য তরুণদের মধ্যে শারীরিক ও মানসিক শক্তি তৈরি করা।")</f>
        <v>এই টুর্নামেন্টটি ছিল একটি দেশাত্মবোধক অঙ্গভঙ্গি যার উদ্দেশ্য ছিল উপনিবেশবিরোধী আন্দোলনের জন্য তরুণদের মধ্যে শারীরিক ও মানসিক শক্তি তৈরি করা।</v>
      </c>
    </row>
    <row r="66">
      <c r="A66" s="7">
        <v>65.0</v>
      </c>
      <c r="B66" s="7" t="s">
        <v>264</v>
      </c>
      <c r="C66" s="7" t="s">
        <v>265</v>
      </c>
      <c r="D66" s="7" t="s">
        <v>266</v>
      </c>
      <c r="E66" s="7" t="s">
        <v>267</v>
      </c>
      <c r="I66" s="5" t="str">
        <f>IFERROR(__xludf.DUMMYFUNCTION("GOOGLETRANSLATE(A66, ""en"", ""bn"")"),"৬৫")</f>
        <v>৬৫</v>
      </c>
      <c r="J66" s="6" t="str">
        <f>IFERROR(__xludf.DUMMYFUNCTION("GOOGLETRANSLATE(B66, ""en"", ""bn"")"),"""মোক্কারো বলি খেলা"" শব্দটি কোন এলাকার একজন জমিদার এবং বাসিন্দার নামে নামকরণ করা হয়েছে?")</f>
        <v>"মোক্কারো বলি খেলা" শব্দটি কোন এলাকার একজন জমিদার এবং বাসিন্দার নামে নামকরণ করা হয়েছে?</v>
      </c>
      <c r="K66" s="6" t="str">
        <f>IFERROR(__xludf.DUMMYFUNCTION("GOOGLETRANSLATE(C66, ""en"", ""bn"")"),"A) সাতকানিয়া উপজেলা, B) রওজান, C) আনোয়ারা, D) চান্দগাঁও")</f>
        <v>A) সাতকানিয়া উপজেলা, B) রওজান, C) আনোয়ারা, D) চান্দগাঁও</v>
      </c>
      <c r="L66" s="5" t="str">
        <f>IFERROR(__xludf.DUMMYFUNCTION("GOOGLETRANSLATE(D66, ""en"", ""bn"")"),"ক) সাতকানিয়া উপজেলা")</f>
        <v>ক) সাতকানিয়া উপজেলা</v>
      </c>
      <c r="M66" s="6" t="str">
        <f>IFERROR(__xludf.DUMMYFUNCTION("GOOGLETRANSLATE(E66, ""en"", ""bn"")"),"সাতকানিয়া উপজেলার জমিদার কাদের বক্সোর উদ্যোগে ""মোক্কারো বলি খেলা"" শুরু হয়।")</f>
        <v>সাতকানিয়া উপজেলার জমিদার কাদের বক্সোর উদ্যোগে "মোক্কারো বলি খেলা" শুরু হয়।</v>
      </c>
    </row>
    <row r="67">
      <c r="A67" s="7">
        <v>66.0</v>
      </c>
      <c r="B67" s="7" t="s">
        <v>268</v>
      </c>
      <c r="C67" s="7" t="s">
        <v>269</v>
      </c>
      <c r="D67" s="7" t="s">
        <v>270</v>
      </c>
      <c r="E67" s="7" t="s">
        <v>271</v>
      </c>
      <c r="I67" s="5" t="str">
        <f>IFERROR(__xludf.DUMMYFUNCTION("GOOGLETRANSLATE(A67, ""en"", ""bn"")"),"৬৬")</f>
        <v>৬৬</v>
      </c>
      <c r="J67" s="6" t="str">
        <f>IFERROR(__xludf.DUMMYFUNCTION("GOOGLETRANSLATE(B67, ""en"", ""bn"")"),"বাংলাদেশে কোন প্রধান বার্ষিক অনুষ্ঠানকে ঘিরে বলি খেলা প্রায়শই উৎসবের একটি গুরুত্বপূর্ণ অংশ?")</f>
        <v>বাংলাদেশে কোন প্রধান বার্ষিক অনুষ্ঠানকে ঘিরে বলি খেলা প্রায়শই উৎসবের একটি গুরুত্বপূর্ণ অংশ?</v>
      </c>
      <c r="K67" s="6" t="str">
        <f>IFERROR(__xludf.DUMMYFUNCTION("GOOGLETRANSLATE(C67, ""en"", ""bn"")"),"A) ঈদুল ফিতর, B) দুর্গাপূজা, C) পহেলা বৈশাখ, D) শব-ই-বরাত")</f>
        <v>A) ঈদুল ফিতর, B) দুর্গাপূজা, C) পহেলা বৈশাখ, D) শব-ই-বরাত</v>
      </c>
      <c r="L67" s="5" t="str">
        <f>IFERROR(__xludf.DUMMYFUNCTION("GOOGLETRANSLATE(D67, ""en"", ""bn"")"),"গ) পহেলা বৈশাখ")</f>
        <v>গ) পহেলা বৈশাখ</v>
      </c>
      <c r="M67" s="6" t="str">
        <f>IFERROR(__xludf.DUMMYFUNCTION("GOOGLETRANSLATE(E67, ""en"", ""bn"")"),"বাংলা নববর্ষের সময় ঐতিহ্যবাহী বৈশাখী মেলার পাশাপাশি বলি খেলা প্রতিযোগিতা পালিত হয়।")</f>
        <v>বাংলা নববর্ষের সময় ঐতিহ্যবাহী বৈশাখী মেলার পাশাপাশি বলি খেলা প্রতিযোগিতা পালিত হয়।</v>
      </c>
    </row>
    <row r="68">
      <c r="A68" s="7">
        <v>67.0</v>
      </c>
      <c r="B68" s="7" t="s">
        <v>272</v>
      </c>
      <c r="C68" s="7" t="s">
        <v>273</v>
      </c>
      <c r="D68" s="7" t="s">
        <v>274</v>
      </c>
      <c r="E68" s="7" t="s">
        <v>275</v>
      </c>
      <c r="I68" s="5" t="str">
        <f>IFERROR(__xludf.DUMMYFUNCTION("GOOGLETRANSLATE(A68, ""en"", ""bn"")"),"৬৭")</f>
        <v>৬৭</v>
      </c>
      <c r="J68" s="6" t="str">
        <f>IFERROR(__xludf.DUMMYFUNCTION("GOOGLETRANSLATE(B68, ""en"", ""bn"")"),"বলি খেলা প্রসঙ্গে ""মোল্লো"" শব্দটি কী বোঝায়?")</f>
        <v>বলি খেলা প্রসঙ্গে "মোল্লো" শব্দটি কী বোঝায়?</v>
      </c>
      <c r="K68" s="6" t="str">
        <f>IFERROR(__xludf.DUMMYFUNCTION("GOOGLETRANSLATE(C68, ""en"", ""bn"")"),"ক) এক ধরণের পুরষ্কার, খ) একটি প্রশিক্ষণ কেন্দ্র, গ) একজন কুস্তি রেফারি, ঘ) একজন কুস্তিগীর বা যোদ্ধা")</f>
        <v>ক) এক ধরণের পুরষ্কার, খ) একটি প্রশিক্ষণ কেন্দ্র, গ) একজন কুস্তি রেফারি, ঘ) একজন কুস্তিগীর বা যোদ্ধা</v>
      </c>
      <c r="L68" s="5" t="str">
        <f>IFERROR(__xludf.DUMMYFUNCTION("GOOGLETRANSLATE(D68, ""en"", ""bn"")"),"ঘ) একজন কুস্তিগীর বা যোদ্ধা")</f>
        <v>ঘ) একজন কুস্তিগীর বা যোদ্ধা</v>
      </c>
      <c r="M68" s="6" t="str">
        <f>IFERROR(__xludf.DUMMYFUNCTION("GOOGLETRANSLATE(E68, ""en"", ""bn"")"),"বলি খেলায় অংশগ্রহণকারী কুস্তিগীরদের প্রায়শই ""মোল্লো"" বা ""বলি"" বলা হয়।")</f>
        <v>বলি খেলায় অংশগ্রহণকারী কুস্তিগীরদের প্রায়শই "মোল্লো" বা "বলি" বলা হয়।</v>
      </c>
    </row>
    <row r="69">
      <c r="A69" s="7">
        <v>68.0</v>
      </c>
      <c r="B69" s="7" t="s">
        <v>276</v>
      </c>
      <c r="C69" s="7" t="s">
        <v>277</v>
      </c>
      <c r="D69" s="7" t="s">
        <v>278</v>
      </c>
      <c r="E69" s="7" t="s">
        <v>279</v>
      </c>
      <c r="I69" s="5" t="str">
        <f>IFERROR(__xludf.DUMMYFUNCTION("GOOGLETRANSLATE(A69, ""en"", ""bn"")"),"৬৮")</f>
        <v>৬৮</v>
      </c>
      <c r="J69" s="6" t="str">
        <f>IFERROR(__xludf.DUMMYFUNCTION("GOOGLETRANSLATE(B69, ""en"", ""bn"")"),"কাদের বক্সোর বলি খেলা ম্যাচের বিজয়ীর জন্য কী পুরষ্কার ছিল?")</f>
        <v>কাদের বক্সোর বলি খেলা ম্যাচের বিজয়ীর জন্য কী পুরষ্কার ছিল?</v>
      </c>
      <c r="K69" s="6" t="str">
        <f>IFERROR(__xludf.DUMMYFUNCTION("GOOGLETRANSLATE(C69, ""en"", ""bn"")"),"ক) একটি স্বর্ণপদক, খ) একটি ট্রফি, গ) এক ব্যাগ চাল, ঘ) তার ভাড়াটেদের কাছ থেকে একটি পুরস্কার")</f>
        <v>ক) একটি স্বর্ণপদক, খ) একটি ট্রফি, গ) এক ব্যাগ চাল, ঘ) তার ভাড়াটেদের কাছ থেকে একটি পুরস্কার</v>
      </c>
      <c r="L69" s="5" t="str">
        <f>IFERROR(__xludf.DUMMYFUNCTION("GOOGLETRANSLATE(D69, ""en"", ""bn"")"),"ঘ) তার ভাড়াটেদের কাছ থেকে একটি পুরস্কার")</f>
        <v>ঘ) তার ভাড়াটেদের কাছ থেকে একটি পুরস্কার</v>
      </c>
      <c r="M69" s="6" t="str">
        <f>IFERROR(__xludf.DUMMYFUNCTION("GOOGLETRANSLATE(E69, ""en"", ""bn"")"),"কাদের বক্সো তার ভাড়াটেদের কাছ থেকে সংগৃহীত পাওনা দিয়ে বলি খেলা ম্যাচের আয়োজন করতেন এবং পুরষ্কার প্রদান করতেন।")</f>
        <v>কাদের বক্সো তার ভাড়াটেদের কাছ থেকে সংগৃহীত পাওনা দিয়ে বলি খেলা ম্যাচের আয়োজন করতেন এবং পুরষ্কার প্রদান করতেন।</v>
      </c>
    </row>
    <row r="70">
      <c r="A70" s="7">
        <v>69.0</v>
      </c>
      <c r="B70" s="7" t="s">
        <v>280</v>
      </c>
      <c r="C70" s="7" t="s">
        <v>281</v>
      </c>
      <c r="D70" s="7" t="s">
        <v>282</v>
      </c>
      <c r="E70" s="7" t="s">
        <v>283</v>
      </c>
      <c r="I70" s="5" t="str">
        <f>IFERROR(__xludf.DUMMYFUNCTION("GOOGLETRANSLATE(A70, ""en"", ""bn"")"),"৬৯")</f>
        <v>৬৯</v>
      </c>
      <c r="J70" s="6" t="str">
        <f>IFERROR(__xludf.DUMMYFUNCTION("GOOGLETRANSLATE(B70, ""en"", ""bn"")"),"কাদের বক্সোর প্রাথমিক বলি খেলা টুর্নামেন্টে অংশগ্রহণের জন্য একটি অনন্য নিয়ম কী ছিল?")</f>
        <v>কাদের বক্সোর প্রাথমিক বলি খেলা টুর্নামেন্টে অংশগ্রহণের জন্য একটি অনন্য নিয়ম কী ছিল?</v>
      </c>
      <c r="K70" s="6" t="str">
        <f>IFERROR(__xludf.DUMMYFUNCTION("GOOGLETRANSLATE(C70, ""en"", ""bn"")"),"ক) শুধুমাত্র স্থানীয়রা অংশগ্রহণ করতে পারত, খ) অংশগ্রহণকারীদের একটি বিশাল গাছ তুলতে হত, গ) শুধুমাত্র কৃষকদের অনুমতি ছিল, ঘ) পুরষ্কার ছিল একটি ষাঁড়")</f>
        <v>ক) শুধুমাত্র স্থানীয়রা অংশগ্রহণ করতে পারত, খ) অংশগ্রহণকারীদের একটি বিশাল গাছ তুলতে হত, গ) শুধুমাত্র কৃষকদের অনুমতি ছিল, ঘ) পুরষ্কার ছিল একটি ষাঁড়</v>
      </c>
      <c r="L70" s="5" t="str">
        <f>IFERROR(__xludf.DUMMYFUNCTION("GOOGLETRANSLATE(D70, ""en"", ""bn"")"),"খ) অংশগ্রহণকারীদের একটি বিশাল গাছ তুলতে হয়েছিল")</f>
        <v>খ) অংশগ্রহণকারীদের একটি বিশাল গাছ তুলতে হয়েছিল</v>
      </c>
      <c r="M70" s="6" t="str">
        <f>IFERROR(__xludf.DUMMYFUNCTION("GOOGLETRANSLATE(E70, ""en"", ""bn"")"),"বিশাল গাছ তোলার ঐতিহ্য ছিল খেলার যোগ্যতা অর্জনের জন্য শক্তির পরীক্ষা।")</f>
        <v>বিশাল গাছ তোলার ঐতিহ্য ছিল খেলার যোগ্যতা অর্জনের জন্য শক্তির পরীক্ষা।</v>
      </c>
    </row>
    <row r="71">
      <c r="A71" s="7">
        <v>70.0</v>
      </c>
      <c r="B71" s="7" t="s">
        <v>284</v>
      </c>
      <c r="C71" s="7" t="s">
        <v>285</v>
      </c>
      <c r="D71" s="7" t="s">
        <v>286</v>
      </c>
      <c r="E71" s="7" t="s">
        <v>287</v>
      </c>
      <c r="I71" s="5" t="str">
        <f>IFERROR(__xludf.DUMMYFUNCTION("GOOGLETRANSLATE(A71, ""en"", ""bn"")"),"৭০")</f>
        <v>৭০</v>
      </c>
      <c r="J71" s="6" t="str">
        <f>IFERROR(__xludf.DUMMYFUNCTION("GOOGLETRANSLATE(B71, ""en"", ""bn"")"),"বলি খেলার ইতিহাসে, প্রাথমিক অংশগ্রহণকারীদের একটি সাধারণ পেশাদার পটভূমি কী ছিল?")</f>
        <v>বলি খেলার ইতিহাসে, প্রাথমিক অংশগ্রহণকারীদের একটি সাধারণ পেশাদার পটভূমি কী ছিল?</v>
      </c>
      <c r="K71" s="6" t="str">
        <f>IFERROR(__xludf.DUMMYFUNCTION("GOOGLETRANSLATE(C71, ""en"", ""bn"")"),"ক) পণ্ডিত, খ) ব্যবসায়ী, গ) জমিদার, ঘ) কৃষক")</f>
        <v>ক) পণ্ডিত, খ) ব্যবসায়ী, গ) জমিদার, ঘ) কৃষক</v>
      </c>
      <c r="L71" s="5" t="str">
        <f>IFERROR(__xludf.DUMMYFUNCTION("GOOGLETRANSLATE(D71, ""en"", ""bn"")"),"ঘ) কৃষক")</f>
        <v>ঘ) কৃষক</v>
      </c>
      <c r="M71" s="6" t="str">
        <f>IFERROR(__xludf.DUMMYFUNCTION("GOOGLETRANSLATE(E71, ""en"", ""bn"")"),"কৃষকরা প্রায়শই প্রধান অংশগ্রহণকারী ছিলেন, জমিতে কাজ করার ফলে তাদের শারীরিক শক্তির জন্য তারা আনন্দিত ছিলেন।")</f>
        <v>কৃষকরা প্রায়শই প্রধান অংশগ্রহণকারী ছিলেন, জমিতে কাজ করার ফলে তাদের শারীরিক শক্তির জন্য তারা আনন্দিত ছিলেন।</v>
      </c>
    </row>
    <row r="72">
      <c r="A72" s="7">
        <v>71.0</v>
      </c>
      <c r="B72" s="7" t="s">
        <v>288</v>
      </c>
      <c r="C72" s="7" t="s">
        <v>289</v>
      </c>
      <c r="D72" s="7" t="s">
        <v>290</v>
      </c>
      <c r="E72" s="7" t="s">
        <v>291</v>
      </c>
      <c r="I72" s="5" t="str">
        <f>IFERROR(__xludf.DUMMYFUNCTION("GOOGLETRANSLATE(A72, ""en"", ""bn"")"),"৭১")</f>
        <v>৭১</v>
      </c>
      <c r="J72" s="6" t="str">
        <f>IFERROR(__xludf.DUMMYFUNCTION("GOOGLETRANSLATE(B72, ""en"", ""bn"")"),"বলি খেলা বাংলাদেশের কোন অঞ্চলের প্রাচীনতম ঐতিহ্যগুলির মধ্যে একটি?")</f>
        <v>বলি খেলা বাংলাদেশের কোন অঞ্চলের প্রাচীনতম ঐতিহ্যগুলির মধ্যে একটি?</v>
      </c>
      <c r="K72" s="6" t="str">
        <f>IFERROR(__xludf.DUMMYFUNCTION("GOOGLETRANSLATE(C72, ""en"", ""bn"")"),"A) ঢাকা, B) চট্টগ্রাম, C) সিলেট, D) খুলনা")</f>
        <v>A) ঢাকা, B) চট্টগ্রাম, C) সিলেট, D) খুলনা</v>
      </c>
      <c r="L72" s="5" t="str">
        <f>IFERROR(__xludf.DUMMYFUNCTION("GOOGLETRANSLATE(D72, ""en"", ""bn"")"),"খ) চট্টগ্রাম")</f>
        <v>খ) চট্টগ্রাম</v>
      </c>
      <c r="M72" s="6" t="str">
        <f>IFERROR(__xludf.DUMMYFUNCTION("GOOGLETRANSLATE(E72, ""en"", ""bn"")"),"বলি খেলার এক শতাব্দী প্রাচীন ইতিহাস রয়েছে, চট্টগ্রাম অঞ্চল হল এর সাংস্কৃতিক প্রাণকেন্দ্র।")</f>
        <v>বলি খেলার এক শতাব্দী প্রাচীন ইতিহাস রয়েছে, চট্টগ্রাম অঞ্চল হল এর সাংস্কৃতিক প্রাণকেন্দ্র।</v>
      </c>
    </row>
    <row r="73">
      <c r="A73" s="7">
        <v>72.0</v>
      </c>
      <c r="B73" s="7" t="s">
        <v>292</v>
      </c>
      <c r="C73" s="7" t="s">
        <v>293</v>
      </c>
      <c r="D73" s="7" t="s">
        <v>294</v>
      </c>
      <c r="E73" s="7" t="s">
        <v>295</v>
      </c>
      <c r="I73" s="5" t="str">
        <f>IFERROR(__xludf.DUMMYFUNCTION("GOOGLETRANSLATE(A73, ""en"", ""bn"")"),"৭২")</f>
        <v>৭২</v>
      </c>
      <c r="J73" s="6" t="str">
        <f>IFERROR(__xludf.DUMMYFUNCTION("GOOGLETRANSLATE(B73, ""en"", ""bn"")"),"""লাঠিয়াল"" গোষ্ঠী কী এবং ঐতিহাসিকভাবে এটি বলি খেলার সাথে কীভাবে যুক্ত?")</f>
        <v>"লাঠিয়াল" গোষ্ঠী কী এবং ঐতিহাসিকভাবে এটি বলি খেলার সাথে কীভাবে যুক্ত?</v>
      </c>
      <c r="K73" s="6" t="str">
        <f>IFERROR(__xludf.DUMMYFUNCTION("GOOGLETRANSLATE(C73, ""en"", ""bn"")"),"ক) একদল নৃত্যশিল্পী, খ) কর আদায়কারীর দল, গ) লাঠি যোদ্ধাদের দল, ঘ) একদল সঙ্গীতজ্ঞ")</f>
        <v>ক) একদল নৃত্যশিল্পী, খ) কর আদায়কারীর দল, গ) লাঠি যোদ্ধাদের দল, ঘ) একদল সঙ্গীতজ্ঞ</v>
      </c>
      <c r="L73" s="5" t="str">
        <f>IFERROR(__xludf.DUMMYFUNCTION("GOOGLETRANSLATE(D73, ""en"", ""bn"")"),"গ) লাঠি যোদ্ধাদের একটি দল")</f>
        <v>গ) লাঠি যোদ্ধাদের একটি দল</v>
      </c>
      <c r="M73" s="6" t="str">
        <f>IFERROR(__xludf.DUMMYFUNCTION("GOOGLETRANSLATE(E73, ""en"", ""bn"")"),"লাঠি লড়াই (লাঠি খেলা) ছিল এই অঞ্চলে প্রচলিত আরেকটি মার্শাল আর্ট, যার অনুশীলনকারীরা মাঝে মাঝে বলি খেলায় অংশগ্রহণ করতেন।")</f>
        <v>লাঠি লড়াই (লাঠি খেলা) ছিল এই অঞ্চলে প্রচলিত আরেকটি মার্শাল আর্ট, যার অনুশীলনকারীরা মাঝে মাঝে বলি খেলায় অংশগ্রহণ করতেন।</v>
      </c>
    </row>
    <row r="74">
      <c r="A74" s="7">
        <v>73.0</v>
      </c>
      <c r="B74" s="7" t="s">
        <v>296</v>
      </c>
      <c r="C74" s="7" t="s">
        <v>297</v>
      </c>
      <c r="D74" s="7" t="s">
        <v>298</v>
      </c>
      <c r="E74" s="7" t="s">
        <v>299</v>
      </c>
      <c r="I74" s="5" t="str">
        <f>IFERROR(__xludf.DUMMYFUNCTION("GOOGLETRANSLATE(A74, ""en"", ""bn"")"),"৭৩")</f>
        <v>৭৩</v>
      </c>
      <c r="J74" s="6" t="str">
        <f>IFERROR(__xludf.DUMMYFUNCTION("GOOGLETRANSLATE(B74, ""en"", ""bn"")"),"""বৈশাখী মেলা"" কী?")</f>
        <v>"বৈশাখী মেলা" কী?</v>
      </c>
      <c r="K74" s="6" t="str">
        <f>IFERROR(__xludf.DUMMYFUNCTION("GOOGLETRANSLATE(C74, ""en"", ""bn"")"),"ক) এক ধরণের সঙ্গীত, খ) একটি ঐতিহ্যবাহী কুস্তি প্রতিযোগিতা, গ) একটি মেলা, ঘ) এক ধরণের নৃত্য")</f>
        <v>ক) এক ধরণের সঙ্গীত, খ) একটি ঐতিহ্যবাহী কুস্তি প্রতিযোগিতা, গ) একটি মেলা, ঘ) এক ধরণের নৃত্য</v>
      </c>
      <c r="L74" s="5" t="str">
        <f>IFERROR(__xludf.DUMMYFUNCTION("GOOGLETRANSLATE(D74, ""en"", ""bn"")"),"গ) একটি মেলা")</f>
        <v>গ) একটি মেলা</v>
      </c>
      <c r="M74" s="6" t="str">
        <f>IFERROR(__xludf.DUMMYFUNCTION("GOOGLETRANSLATE(E74, ""en"", ""bn"")"),"""বৈশাখী মেলা"" হল বাংলা নববর্ষের সময় অনুষ্ঠিত একটি বৃহৎ মেলা, যা প্রায়শই বলি খেলা অনুষ্ঠানের সাথে থাকে।")</f>
        <v>"বৈশাখী মেলা" হল বাংলা নববর্ষের সময় অনুষ্ঠিত একটি বৃহৎ মেলা, যা প্রায়শই বলি খেলা অনুষ্ঠানের সাথে থাকে।</v>
      </c>
    </row>
    <row r="75">
      <c r="A75" s="7">
        <v>74.0</v>
      </c>
      <c r="B75" s="7" t="s">
        <v>300</v>
      </c>
      <c r="C75" s="7" t="s">
        <v>301</v>
      </c>
      <c r="D75" s="7" t="s">
        <v>302</v>
      </c>
      <c r="E75" s="7" t="s">
        <v>303</v>
      </c>
      <c r="I75" s="5" t="str">
        <f>IFERROR(__xludf.DUMMYFUNCTION("GOOGLETRANSLATE(A75, ""en"", ""bn"")"),"৭৪")</f>
        <v>৭৪</v>
      </c>
      <c r="J75" s="6" t="str">
        <f>IFERROR(__xludf.DUMMYFUNCTION("GOOGLETRANSLATE(B75, ""en"", ""bn"")"),"বলি খেলা কোন ধরণের খেলার একটি রূপ?")</f>
        <v>বলি খেলা কোন ধরণের খেলার একটি রূপ?</v>
      </c>
      <c r="K75" s="6" t="str">
        <f>IFERROR(__xludf.DUMMYFUNCTION("GOOGLETRANSLATE(C75, ""en"", ""bn"")"),"ক) দলগত খেলাধুলা, খ) যুদ্ধ খেলাধুলা, গ) বল খেলাধুলা, ঘ) জল খেলাধুলা")</f>
        <v>ক) দলগত খেলাধুলা, খ) যুদ্ধ খেলাধুলা, গ) বল খেলাধুলা, ঘ) জল খেলাধুলা</v>
      </c>
      <c r="L75" s="5" t="str">
        <f>IFERROR(__xludf.DUMMYFUNCTION("GOOGLETRANSLATE(D75, ""en"", ""bn"")"),"খ) যুদ্ধ খেলা")</f>
        <v>খ) যুদ্ধ খেলা</v>
      </c>
      <c r="M75" s="6" t="str">
        <f>IFERROR(__xludf.DUMMYFUNCTION("GOOGLETRANSLATE(E75, ""en"", ""bn"")"),"বলি খেলা একটি যুদ্ধ খেলা যাতে দৌড়ঝাঁপ এবং অন্যান্য কুস্তি কৌশল জড়িত।")</f>
        <v>বলি খেলা একটি যুদ্ধ খেলা যাতে দৌড়ঝাঁপ এবং অন্যান্য কুস্তি কৌশল জড়িত।</v>
      </c>
    </row>
    <row r="76">
      <c r="A76" s="7">
        <v>75.0</v>
      </c>
      <c r="B76" s="7" t="s">
        <v>304</v>
      </c>
      <c r="C76" s="7" t="s">
        <v>305</v>
      </c>
      <c r="D76" s="7" t="s">
        <v>306</v>
      </c>
      <c r="E76" s="7" t="s">
        <v>307</v>
      </c>
      <c r="I76" s="5" t="str">
        <f>IFERROR(__xludf.DUMMYFUNCTION("GOOGLETRANSLATE(A76, ""en"", ""bn"")"),"৭৫")</f>
        <v>৭৫</v>
      </c>
      <c r="J76" s="6" t="str">
        <f>IFERROR(__xludf.DUMMYFUNCTION("GOOGLETRANSLATE(B76, ""en"", ""bn"")"),"স্বাধীনতা আন্দোলনের প্রেক্ষাপটে ""জব্বারের বলি খেলা""-এর ঐতিহাসিক তাৎপর্য কী ছিল?")</f>
        <v>স্বাধীনতা আন্দোলনের প্রেক্ষাপটে "জব্বারের বলি খেলা"-এর ঐতিহাসিক তাৎপর্য কী ছিল?</v>
      </c>
      <c r="K76" s="6" t="str">
        <f>IFERROR(__xludf.DUMMYFUNCTION("GOOGLETRANSLATE(C76, ""en"", ""bn"")"),"ক) এটি ছিল একটি গোপন বৈঠকের স্থান, খ) এটি ছিল ক্ষমতার প্রকাশ্য প্রদর্শন, গ) এটি ছিল আন্দোলনের জন্য তহবিল সংগ্রহের একটি উপায়, ঘ) এটি ছিল যুবকদের জন্য একটি শারীরিক প্রশিক্ষণের ক্ষেত্র।")</f>
        <v>ক) এটি ছিল একটি গোপন বৈঠকের স্থান, খ) এটি ছিল ক্ষমতার প্রকাশ্য প্রদর্শন, গ) এটি ছিল আন্দোলনের জন্য তহবিল সংগ্রহের একটি উপায়, ঘ) এটি ছিল যুবকদের জন্য একটি শারীরিক প্রশিক্ষণের ক্ষেত্র।</v>
      </c>
      <c r="L76" s="5" t="str">
        <f>IFERROR(__xludf.DUMMYFUNCTION("GOOGLETRANSLATE(D76, ""en"", ""bn"")"),"ঘ) এটি ছিল তরুণদের জন্য একটি শারীরিক প্রশিক্ষণের ক্ষেত্র")</f>
        <v>ঘ) এটি ছিল তরুণদের জন্য একটি শারীরিক প্রশিক্ষণের ক্ষেত্র</v>
      </c>
      <c r="M76" s="6" t="str">
        <f>IFERROR(__xludf.DUMMYFUNCTION("GOOGLETRANSLATE(E76, ""en"", ""bn"")"),"জব্বারের এই টুর্নামেন্ট ব্রিটিশ বিরোধী আন্দোলনের জন্য তরুণদের শক্তিশালী করতে সাহায্য করেছিল।")</f>
        <v>জব্বারের এই টুর্নামেন্ট ব্রিটিশ বিরোধী আন্দোলনের জন্য তরুণদের শক্তিশালী করতে সাহায্য করেছিল।</v>
      </c>
    </row>
    <row r="77">
      <c r="A77" s="7">
        <v>76.0</v>
      </c>
      <c r="B77" s="7" t="s">
        <v>308</v>
      </c>
      <c r="C77" s="7" t="s">
        <v>309</v>
      </c>
      <c r="D77" s="7" t="s">
        <v>310</v>
      </c>
      <c r="E77" s="7" t="s">
        <v>311</v>
      </c>
      <c r="I77" s="5" t="str">
        <f>IFERROR(__xludf.DUMMYFUNCTION("GOOGLETRANSLATE(A77, ""en"", ""bn"")"),"৭৬")</f>
        <v>৭৬</v>
      </c>
      <c r="J77" s="6" t="str">
        <f>IFERROR(__xludf.DUMMYFUNCTION("GOOGLETRANSLATE(B77, ""en"", ""bn"")"),"বলি খেলা শুরু করার প্রথম ব্যক্তি কে ছিলেন?")</f>
        <v>বলি খেলা শুরু করার প্রথম ব্যক্তি কে ছিলেন?</v>
      </c>
      <c r="K77" s="6" t="str">
        <f>IFERROR(__xludf.DUMMYFUNCTION("GOOGLETRANSLATE(C77, ""en"", ""bn"")"),"A) আব্দুল জব্বার সওদাগর, B) দিদারুল আলম, C) কাদের বক্সো, D) ইয়াসিন মক্কী")</f>
        <v>A) আব্দুল জব্বার সওদাগর, B) দিদারুল আলম, C) কাদের বক্সো, D) ইয়াসিন মক্কী</v>
      </c>
      <c r="L77" s="5" t="str">
        <f>IFERROR(__xludf.DUMMYFUNCTION("GOOGLETRANSLATE(D77, ""en"", ""bn"")"),"গ) কাদের বক্সো")</f>
        <v>গ) কাদের বক্সো</v>
      </c>
      <c r="M77" s="6" t="str">
        <f>IFERROR(__xludf.DUMMYFUNCTION("GOOGLETRANSLATE(E77, ""en"", ""bn"")"),"জব্বার যখন এটিকে জনপ্রিয় করে তুলেছিলেন, তখন কাদের বক্সো প্রথম ১৮৭৯ সালে এই গেমটি চালু করেছিলেন।")</f>
        <v>জব্বার যখন এটিকে জনপ্রিয় করে তুলেছিলেন, তখন কাদের বক্সো প্রথম ১৮৭৯ সালে এই গেমটি চালু করেছিলেন।</v>
      </c>
    </row>
    <row r="78">
      <c r="A78" s="7">
        <v>77.0</v>
      </c>
      <c r="B78" s="7" t="s">
        <v>312</v>
      </c>
      <c r="C78" s="7" t="s">
        <v>313</v>
      </c>
      <c r="D78" s="7" t="s">
        <v>314</v>
      </c>
      <c r="E78" s="7" t="s">
        <v>315</v>
      </c>
      <c r="I78" s="5" t="str">
        <f>IFERROR(__xludf.DUMMYFUNCTION("GOOGLETRANSLATE(A78, ""en"", ""bn"")"),"৭৭")</f>
        <v>৭৭</v>
      </c>
      <c r="J78" s="6" t="str">
        <f>IFERROR(__xludf.DUMMYFUNCTION("GOOGLETRANSLATE(B78, ""en"", ""bn"")"),"আব্দুল জব্বার সওদাগর কীভাবে বলি খেলা টুর্নামেন্টের আর্থিক সহায়তা করেছিলেন?")</f>
        <v>আব্দুল জব্বার সওদাগর কীভাবে বলি খেলা টুর্নামেন্টের আর্থিক সহায়তা করেছিলেন?</v>
      </c>
      <c r="K78" s="6" t="str">
        <f>IFERROR(__xludf.DUMMYFUNCTION("GOOGLETRANSLATE(C78, ""en"", ""bn"")"),"ক) তিনি তার ব্যবসা থেকে লাভ ব্যবহার করেছিলেন, খ) তিনি সরকারি তহবিল পেয়েছিলেন, গ) তার কোনও আর্থিক সহায়তা ছিল না, ঘ) তিনি তার ভাড়াটেদের কাছ থেকে পাওনা আদায় করেছিলেন")</f>
        <v>ক) তিনি তার ব্যবসা থেকে লাভ ব্যবহার করেছিলেন, খ) তিনি সরকারি তহবিল পেয়েছিলেন, গ) তার কোনও আর্থিক সহায়তা ছিল না, ঘ) তিনি তার ভাড়াটেদের কাছ থেকে পাওনা আদায় করেছিলেন</v>
      </c>
      <c r="L78" s="5" t="str">
        <f>IFERROR(__xludf.DUMMYFUNCTION("GOOGLETRANSLATE(D78, ""en"", ""bn"")"),"ক) তিনি তার ব্যবসা থেকে প্রাপ্ত লাভ ব্যবহার করেছিলেন")</f>
        <v>ক) তিনি তার ব্যবসা থেকে প্রাপ্ত লাভ ব্যবহার করেছিলেন</v>
      </c>
      <c r="M78" s="6" t="str">
        <f>IFERROR(__xludf.DUMMYFUNCTION("GOOGLETRANSLATE(E78, ""en"", ""bn"")"),"একজন ধনী বণিক হিসেবে, তিনি অনুষ্ঠানটি আয়োজনের জন্য নিজস্ব তহবিল ব্যবহার করেছিলেন।")</f>
        <v>একজন ধনী বণিক হিসেবে, তিনি অনুষ্ঠানটি আয়োজনের জন্য নিজস্ব তহবিল ব্যবহার করেছিলেন।</v>
      </c>
    </row>
    <row r="79">
      <c r="A79" s="7">
        <v>78.0</v>
      </c>
      <c r="B79" s="7" t="s">
        <v>316</v>
      </c>
      <c r="C79" s="7" t="s">
        <v>317</v>
      </c>
      <c r="D79" s="7" t="s">
        <v>318</v>
      </c>
      <c r="E79" s="7" t="s">
        <v>319</v>
      </c>
      <c r="I79" s="5" t="str">
        <f>IFERROR(__xludf.DUMMYFUNCTION("GOOGLETRANSLATE(A79, ""en"", ""bn"")"),"৭৮")</f>
        <v>৭৮</v>
      </c>
      <c r="J79" s="6" t="str">
        <f>IFERROR(__xludf.DUMMYFUNCTION("GOOGLETRANSLATE(B79, ""en"", ""bn"")"),"প্রথম বিশ্বযুদ্ধের পর টুর্নামেন্টের জনপ্রিয়তার ঐতিহাসিক কারণ কী?")</f>
        <v>প্রথম বিশ্বযুদ্ধের পর টুর্নামেন্টের জনপ্রিয়তার ঐতিহাসিক কারণ কী?</v>
      </c>
      <c r="K79" s="6" t="str">
        <f>IFERROR(__xludf.DUMMYFUNCTION("GOOGLETRANSLATE(C79, ""en"", ""bn"")"),"ক) দেশপ্রেম বৃদ্ধি, খ) ব্রিটিশ শাসনের অবসান, গ) নতুন নিয়ম চালু করা হয়েছিল, ঘ) এটি একটি অলিম্পিক খেলা হয়ে ওঠে")</f>
        <v>ক) দেশপ্রেম বৃদ্ধি, খ) ব্রিটিশ শাসনের অবসান, গ) নতুন নিয়ম চালু করা হয়েছিল, ঘ) এটি একটি অলিম্পিক খেলা হয়ে ওঠে</v>
      </c>
      <c r="L79" s="5" t="str">
        <f>IFERROR(__xludf.DUMMYFUNCTION("GOOGLETRANSLATE(D79, ""en"", ""bn"")"),"ক) দেশপ্রেম বৃদ্ধি পায়")</f>
        <v>ক) দেশপ্রেম বৃদ্ধি পায়</v>
      </c>
      <c r="M79" s="6" t="str">
        <f>IFERROR(__xludf.DUMMYFUNCTION("GOOGLETRANSLATE(E79, ""en"", ""bn"")"),"যুদ্ধের পর ক্রমবর্ধমান দেশপ্রেমিক অনুভূতির সাথে খেলাধুলার উপনিবেশবিরোধী বার্তাটি প্রতিধ্বনিত হয়েছিল।")</f>
        <v>যুদ্ধের পর ক্রমবর্ধমান দেশপ্রেমিক অনুভূতির সাথে খেলাধুলার উপনিবেশবিরোধী বার্তাটি প্রতিধ্বনিত হয়েছিল।</v>
      </c>
    </row>
    <row r="80">
      <c r="A80" s="7">
        <v>79.0</v>
      </c>
      <c r="B80" s="7" t="s">
        <v>320</v>
      </c>
      <c r="C80" s="7" t="s">
        <v>321</v>
      </c>
      <c r="D80" s="7" t="s">
        <v>322</v>
      </c>
      <c r="E80" s="7" t="s">
        <v>323</v>
      </c>
      <c r="I80" s="5" t="str">
        <f>IFERROR(__xludf.DUMMYFUNCTION("GOOGLETRANSLATE(A80, ""en"", ""bn"")"),"৭৯")</f>
        <v>৭৯</v>
      </c>
      <c r="J80" s="6" t="str">
        <f>IFERROR(__xludf.DUMMYFUNCTION("GOOGLETRANSLATE(B80, ""en"", ""bn"")"),"চট্টগ্রামের কুস্তিগীর সম্প্রদায়ের একটি দীর্ঘ ইতিহাস রয়েছে। অতীতে শক্তিশালী, সাহসী পুরুষদের প্রায়শই কোন উপাধি দেওয়া হত?")</f>
        <v>চট্টগ্রামের কুস্তিগীর সম্প্রদায়ের একটি দীর্ঘ ইতিহাস রয়েছে। অতীতে শক্তিশালী, সাহসী পুরুষদের প্রায়শই কোন উপাধি দেওয়া হত?</v>
      </c>
      <c r="K80" s="6" t="str">
        <f>IFERROR(__xludf.DUMMYFUNCTION("GOOGLETRANSLATE(C80, ""en"", ""bn"")"),"A) সর্দার, B) খান বাহাদুর, C) মল্ল, D) সওদাগর")</f>
        <v>A) সর্দার, B) খান বাহাদুর, C) মল্ল, D) সওদাগর</v>
      </c>
      <c r="L80" s="5" t="str">
        <f>IFERROR(__xludf.DUMMYFUNCTION("GOOGLETRANSLATE(D80, ""en"", ""bn"")"),"গ) মল্লা")</f>
        <v>গ) মল্লা</v>
      </c>
      <c r="M80" s="6" t="str">
        <f>IFERROR(__xludf.DUMMYFUNCTION("GOOGLETRANSLATE(E80, ""en"", ""bn"")"),"""মাল্লা"" (কুস্তিগীর) উপাধিটি প্রায়শই এই অঞ্চলে দুর্দান্ত শারীরিক শক্তি সম্পন্ন সাহসী পুরুষদের জন্য ব্যবহৃত হত।")</f>
        <v>"মাল্লা" (কুস্তিগীর) উপাধিটি প্রায়শই এই অঞ্চলে দুর্দান্ত শারীরিক শক্তি সম্পন্ন সাহসী পুরুষদের জন্য ব্যবহৃত হত।</v>
      </c>
    </row>
    <row r="81">
      <c r="A81" s="7">
        <v>80.0</v>
      </c>
      <c r="B81" s="7" t="s">
        <v>324</v>
      </c>
      <c r="C81" s="7" t="s">
        <v>325</v>
      </c>
      <c r="D81" s="7" t="s">
        <v>326</v>
      </c>
      <c r="E81" s="7" t="s">
        <v>327</v>
      </c>
      <c r="I81" s="5" t="str">
        <f>IFERROR(__xludf.DUMMYFUNCTION("GOOGLETRANSLATE(A81, ""en"", ""bn"")"),"৮০")</f>
        <v>৮০</v>
      </c>
      <c r="J81" s="6" t="str">
        <f>IFERROR(__xludf.DUMMYFUNCTION("GOOGLETRANSLATE(B81, ""en"", ""bn"")"),"বলি খেলায় ""বলি"" শব্দটির আক্ষরিক অর্থ চট্টগ্রামীয় ভাষায় কী?")</f>
        <v>বলি খেলায় "বলি" শব্দটির আক্ষরিক অর্থ চট্টগ্রামীয় ভাষায় কী?</v>
      </c>
      <c r="K81" s="6" t="str">
        <f>IFERROR(__xludf.DUMMYFUNCTION("GOOGLETRANSLATE(C81, ""en"", ""bn"")"),"ক) একটি খেলা, খ) একজন শক্তিশালী ব্যক্তি বা কুস্তিগীর, গ) একটি বিজয়, ঘ) একজন যোদ্ধা")</f>
        <v>ক) একটি খেলা, খ) একজন শক্তিশালী ব্যক্তি বা কুস্তিগীর, গ) একটি বিজয়, ঘ) একজন যোদ্ধা</v>
      </c>
      <c r="L81" s="5" t="str">
        <f>IFERROR(__xludf.DUMMYFUNCTION("GOOGLETRANSLATE(D81, ""en"", ""bn"")"),"খ) একজন শক্তিশালী ব্যক্তি বা কুস্তিগীর")</f>
        <v>খ) একজন শক্তিশালী ব্যক্তি বা কুস্তিগীর</v>
      </c>
      <c r="M81" s="6" t="str">
        <f>IFERROR(__xludf.DUMMYFUNCTION("GOOGLETRANSLATE(E81, ""en"", ""bn"")"),"""বোলি"" শব্দটি স্থানীয় চাটগাঁইয়া উপভাষা থেকে এসেছে, যার অর্থ একজন শক্তিশালী ব্যক্তি।")</f>
        <v>"বোলি" শব্দটি স্থানীয় চাটগাঁইয়া উপভাষা থেকে এসেছে, যার অর্থ একজন শক্তিশালী ব্যক্তি।</v>
      </c>
    </row>
    <row r="82">
      <c r="A82" s="7">
        <v>81.0</v>
      </c>
      <c r="B82" s="7" t="s">
        <v>328</v>
      </c>
      <c r="C82" s="7" t="s">
        <v>329</v>
      </c>
      <c r="D82" s="7" t="s">
        <v>330</v>
      </c>
      <c r="E82" s="7" t="s">
        <v>331</v>
      </c>
      <c r="I82" s="5" t="str">
        <f>IFERROR(__xludf.DUMMYFUNCTION("GOOGLETRANSLATE(A82, ""en"", ""bn"")"),"৮১")</f>
        <v>৮১</v>
      </c>
      <c r="J82" s="6" t="str">
        <f>IFERROR(__xludf.DUMMYFUNCTION("GOOGLETRANSLATE(B82, ""en"", ""bn"")"),"ঐতিহাসিকভাবে কী কারণে বলি খেলা প্রায়শই এপ্রিল মাসে অনুষ্ঠিত হয়?")</f>
        <v>ঐতিহাসিকভাবে কী কারণে বলি খেলা প্রায়শই এপ্রিল মাসে অনুষ্ঠিত হয়?</v>
      </c>
      <c r="K82" s="6" t="str">
        <f>IFERROR(__xludf.DUMMYFUNCTION("GOOGLETRANSLATE(C82, ""en"", ""bn"")"),"ক) ধর্মীয় ছুটির দিনগুলোর সাথে মিল রেখে, খ) বছরের শেষ উদযাপন করে, গ) বাংলা নববর্ষের সূচনা করে, ঘ) বর্ষাকাল এড়িয়ে চলে।")</f>
        <v>ক) ধর্মীয় ছুটির দিনগুলোর সাথে মিল রেখে, খ) বছরের শেষ উদযাপন করে, গ) বাংলা নববর্ষের সূচনা করে, ঘ) বর্ষাকাল এড়িয়ে চলে।</v>
      </c>
      <c r="L82" s="5" t="str">
        <f>IFERROR(__xludf.DUMMYFUNCTION("GOOGLETRANSLATE(D82, ""en"", ""bn"")"),"গ) বাংলা নববর্ষের সূচনা উপলক্ষে")</f>
        <v>গ) বাংলা নববর্ষের সূচনা উপলক্ষে</v>
      </c>
      <c r="M82" s="6" t="str">
        <f>IFERROR(__xludf.DUMMYFUNCTION("GOOGLETRANSLATE(E82, ""en"", ""bn"")"),"বাংলা ক্যালেন্ডারের প্রথম মাস বৈশাখ মাসে এই টুর্নামেন্টগুলি অনুষ্ঠিত হয়।")</f>
        <v>বাংলা ক্যালেন্ডারের প্রথম মাস বৈশাখ মাসে এই টুর্নামেন্টগুলি অনুষ্ঠিত হয়।</v>
      </c>
    </row>
    <row r="83">
      <c r="A83" s="7">
        <v>82.0</v>
      </c>
      <c r="B83" s="7" t="s">
        <v>332</v>
      </c>
      <c r="C83" s="7" t="s">
        <v>333</v>
      </c>
      <c r="D83" s="7" t="s">
        <v>334</v>
      </c>
      <c r="E83" s="7" t="s">
        <v>335</v>
      </c>
      <c r="I83" s="5" t="str">
        <f>IFERROR(__xludf.DUMMYFUNCTION("GOOGLETRANSLATE(A83, ""en"", ""bn"")"),"৮২")</f>
        <v>৮২</v>
      </c>
      <c r="J83" s="6" t="str">
        <f>IFERROR(__xludf.DUMMYFUNCTION("GOOGLETRANSLATE(B83, ""en"", ""bn"")"),"""লাঠিয়াল"" কারা ছিল এবং কেন তারা ঐতিহাসিকভাবে গুরুত্বপূর্ণ ছিল?")</f>
        <v>"লাঠিয়াল" কারা ছিল এবং কেন তারা ঐতিহাসিকভাবে গুরুত্বপূর্ণ ছিল?</v>
      </c>
      <c r="K83" s="6" t="str">
        <f>IFERROR(__xludf.DUMMYFUNCTION("GOOGLETRANSLATE(C83, ""en"", ""bn"")"),"ক) কৃষক, খ) কর আদায়কারী এবং রক্ষী, গ) বণিক, ঘ) শিল্পী")</f>
        <v>ক) কৃষক, খ) কর আদায়কারী এবং রক্ষী, গ) বণিক, ঘ) শিল্পী</v>
      </c>
      <c r="L83" s="5" t="str">
        <f>IFERROR(__xludf.DUMMYFUNCTION("GOOGLETRANSLATE(D83, ""en"", ""bn"")"),"খ) কর আদায়কারী এবং রক্ষীরা")</f>
        <v>খ) কর আদায়কারী এবং রক্ষীরা</v>
      </c>
      <c r="M83" s="6" t="str">
        <f>IFERROR(__xludf.DUMMYFUNCTION("GOOGLETRANSLATE(E83, ""en"", ""bn"")"),"""লাঠিয়াল"" ছিল লাঠি যোদ্ধা যাদের প্রায়শই সামন্ত প্রভুরা কর্তৃত্ব প্রয়োগ এবং কর আদায়ের জন্য নিযুক্ত করতেন।")</f>
        <v>"লাঠিয়াল" ছিল লাঠি যোদ্ধা যাদের প্রায়শই সামন্ত প্রভুরা কর্তৃত্ব প্রয়োগ এবং কর আদায়ের জন্য নিযুক্ত করতেন।</v>
      </c>
    </row>
    <row r="84">
      <c r="A84" s="7">
        <v>83.0</v>
      </c>
      <c r="B84" s="7" t="s">
        <v>336</v>
      </c>
      <c r="C84" s="7" t="s">
        <v>337</v>
      </c>
      <c r="D84" s="7" t="s">
        <v>338</v>
      </c>
      <c r="E84" s="7" t="s">
        <v>339</v>
      </c>
      <c r="I84" s="5" t="str">
        <f>IFERROR(__xludf.DUMMYFUNCTION("GOOGLETRANSLATE(A84, ""en"", ""bn"")"),"৮৩")</f>
        <v>৮৩</v>
      </c>
      <c r="J84" s="6" t="str">
        <f>IFERROR(__xludf.DUMMYFUNCTION("GOOGLETRANSLATE(B84, ""en"", ""bn"")"),"বলি খেলা শুরু করার পেছনে কাদের বক্সোর প্রাথমিক প্রেরণা কী ছিল?")</f>
        <v>বলি খেলা শুরু করার পেছনে কাদের বক্সোর প্রাথমিক প্রেরণা কী ছিল?</v>
      </c>
      <c r="K84" s="6" t="str">
        <f>IFERROR(__xludf.DUMMYFUNCTION("GOOGLETRANSLATE(C84, ""en"", ""bn"")"),"ক) ব্রিটিশদের বিরুদ্ধে লড়াই করা, খ) তার ভাড়াটেদের মনোরঞ্জন করা, গ) তার সম্পদ প্রদর্শন করা, ঘ) একটি সুস্থ জীবনধারা প্রচার করা")</f>
        <v>ক) ব্রিটিশদের বিরুদ্ধে লড়াই করা, খ) তার ভাড়াটেদের মনোরঞ্জন করা, গ) তার সম্পদ প্রদর্শন করা, ঘ) একটি সুস্থ জীবনধারা প্রচার করা</v>
      </c>
      <c r="L84" s="5" t="str">
        <f>IFERROR(__xludf.DUMMYFUNCTION("GOOGLETRANSLATE(D84, ""en"", ""bn"")"),"খ) তার ভাড়াটেদের আপ্যায়ন করা")</f>
        <v>খ) তার ভাড়াটেদের আপ্যায়ন করা</v>
      </c>
      <c r="M84" s="6" t="str">
        <f>IFERROR(__xludf.DUMMYFUNCTION("GOOGLETRANSLATE(E84, ""en"", ""bn"")"),"জব্বারের বিপরীতে, কাদের বক্সোর প্রাথমিক লক্ষ্য ছিল ভাড়া আদায়ের সময় তার প্রজাদের বিনোদন প্রদান করা।")</f>
        <v>জব্বারের বিপরীতে, কাদের বক্সোর প্রাথমিক লক্ষ্য ছিল ভাড়া আদায়ের সময় তার প্রজাদের বিনোদন প্রদান করা।</v>
      </c>
    </row>
    <row r="85">
      <c r="A85" s="7">
        <v>84.0</v>
      </c>
      <c r="B85" s="7" t="s">
        <v>340</v>
      </c>
      <c r="C85" s="7" t="s">
        <v>341</v>
      </c>
      <c r="D85" s="7" t="s">
        <v>342</v>
      </c>
      <c r="E85" s="7" t="s">
        <v>343</v>
      </c>
      <c r="I85" s="5" t="str">
        <f>IFERROR(__xludf.DUMMYFUNCTION("GOOGLETRANSLATE(A85, ""en"", ""bn"")"),"৮৪")</f>
        <v>৮৪</v>
      </c>
      <c r="J85" s="6" t="str">
        <f>IFERROR(__xludf.DUMMYFUNCTION("GOOGLETRANSLATE(B85, ""en"", ""bn"")"),"বলি খেলার কুস্তির আখড়া ঐতিহ্যগতভাবে কোন উপাদান দিয়ে তৈরি?")</f>
        <v>বলি খেলার কুস্তির আখড়া ঐতিহ্যগতভাবে কোন উপাদান দিয়ে তৈরি?</v>
      </c>
      <c r="K85" s="6" t="str">
        <f>IFERROR(__xludf.DUMMYFUNCTION("GOOGLETRANSLATE(C85, ""en"", ""bn"")"),"ক) কংক্রিট, খ) ঘাস, গ) বালি বা মাটি, ঘ) কাঠ")</f>
        <v>ক) কংক্রিট, খ) ঘাস, গ) বালি বা মাটি, ঘ) কাঠ</v>
      </c>
      <c r="L85" s="5" t="str">
        <f>IFERROR(__xludf.DUMMYFUNCTION("GOOGLETRANSLATE(D85, ""en"", ""bn"")"),"গ) বালি বা ময়লা")</f>
        <v>গ) বালি বা ময়লা</v>
      </c>
      <c r="M85" s="6" t="str">
        <f>IFERROR(__xludf.DUMMYFUNCTION("GOOGLETRANSLATE(E85, ""en"", ""bn"")"),"ঐতিহ্যগতভাবে, লোক কুস্তির একটি বৈশিষ্ট্য, বালুকাময় বা মাটির মাটিতে প্রতিযোগিতা অনুষ্ঠিত হয়।")</f>
        <v>ঐতিহ্যগতভাবে, লোক কুস্তির একটি বৈশিষ্ট্য, বালুকাময় বা মাটির মাটিতে প্রতিযোগিতা অনুষ্ঠিত হয়।</v>
      </c>
    </row>
    <row r="86">
      <c r="A86" s="7">
        <v>85.0</v>
      </c>
      <c r="B86" s="7" t="s">
        <v>344</v>
      </c>
      <c r="C86" s="7" t="s">
        <v>345</v>
      </c>
      <c r="D86" s="7" t="s">
        <v>346</v>
      </c>
      <c r="E86" s="7" t="s">
        <v>347</v>
      </c>
      <c r="I86" s="5" t="str">
        <f>IFERROR(__xludf.DUMMYFUNCTION("GOOGLETRANSLATE(A86, ""en"", ""bn"")"),"৮৫")</f>
        <v>৮৫</v>
      </c>
      <c r="J86" s="6" t="str">
        <f>IFERROR(__xludf.DUMMYFUNCTION("GOOGLETRANSLATE(B86, ""en"", ""bn"")"),"বলি খেলা জয়ের জন্য পুরষ্কারের একটি উল্লেখযোগ্য ঐতিহাসিক বৈশিষ্ট্য কী?")</f>
        <v>বলি খেলা জয়ের জন্য পুরষ্কারের একটি উল্লেখযোগ্য ঐতিহাসিক বৈশিষ্ট্য কী?</v>
      </c>
      <c r="K86" s="6" t="str">
        <f>IFERROR(__xludf.DUMMYFUNCTION("GOOGLETRANSLATE(C86, ""en"", ""bn"")"),"ক) একটি পদবী, খ) একটি ভোজ, গ) পশুপালন, ঘ) এক টুকরো জমি")</f>
        <v>ক) একটি পদবী, খ) একটি ভোজ, গ) পশুপালন, ঘ) এক টুকরো জমি</v>
      </c>
      <c r="L86" s="5" t="str">
        <f>IFERROR(__xludf.DUMMYFUNCTION("GOOGLETRANSLATE(D86, ""en"", ""bn"")"),"গ) পশুপালন")</f>
        <v>গ) পশুপালন</v>
      </c>
      <c r="M86" s="6" t="str">
        <f>IFERROR(__xludf.DUMMYFUNCTION("GOOGLETRANSLATE(E86, ""en"", ""bn"")"),"ঐতিহাসিকভাবে, বলি খেলায় জয়ী হলে একটি ষাঁড় বা একটি গরু পুরস্কার হিসেবে দেওয়া হতো, যা বিজয়ীর শক্তির প্রতীক।")</f>
        <v>ঐতিহাসিকভাবে, বলি খেলায় জয়ী হলে একটি ষাঁড় বা একটি গরু পুরস্কার হিসেবে দেওয়া হতো, যা বিজয়ীর শক্তির প্রতীক।</v>
      </c>
    </row>
    <row r="87">
      <c r="A87" s="7">
        <v>86.0</v>
      </c>
      <c r="B87" s="7" t="s">
        <v>348</v>
      </c>
      <c r="C87" s="7" t="s">
        <v>349</v>
      </c>
      <c r="D87" s="7" t="s">
        <v>350</v>
      </c>
      <c r="E87" s="7" t="s">
        <v>351</v>
      </c>
      <c r="I87" s="5" t="str">
        <f>IFERROR(__xludf.DUMMYFUNCTION("GOOGLETRANSLATE(A87, ""en"", ""bn"")"),"৮৬")</f>
        <v>৮৬</v>
      </c>
      <c r="J87" s="6" t="str">
        <f>IFERROR(__xludf.DUMMYFUNCTION("GOOGLETRANSLATE(B87, ""en"", ""bn"")"),"গত কয়েক দশক ধরে, বিশেষ করে শহরাঞ্চলে, বলি খেলার জনপ্রিয়তা কীভাবে পরিবর্তিত হয়েছে?")</f>
        <v>গত কয়েক দশক ধরে, বিশেষ করে শহরাঞ্চলে, বলি খেলার জনপ্রিয়তা কীভাবে পরিবর্তিত হয়েছে?</v>
      </c>
      <c r="K87" s="6" t="str">
        <f>IFERROR(__xludf.DUMMYFUNCTION("GOOGLETRANSLATE(C87, ""en"", ""bn"")"),"ক) এটি বৃদ্ধি পেয়েছে, খ) এটি একই রয়ে গেছে, গ) এটি হ্রাস পেয়েছে, ঘ) এটি একটি পেশাদার খেলায় পরিণত হয়েছে")</f>
        <v>ক) এটি বৃদ্ধি পেয়েছে, খ) এটি একই রয়ে গেছে, গ) এটি হ্রাস পেয়েছে, ঘ) এটি একটি পেশাদার খেলায় পরিণত হয়েছে</v>
      </c>
      <c r="L87" s="5" t="str">
        <f>IFERROR(__xludf.DUMMYFUNCTION("GOOGLETRANSLATE(D87, ""en"", ""bn"")"),"গ) এটি হ্রাস পেয়েছে")</f>
        <v>গ) এটি হ্রাস পেয়েছে</v>
      </c>
      <c r="M87" s="6" t="str">
        <f>IFERROR(__xludf.DUMMYFUNCTION("GOOGLETRANSLATE(E87, ""en"", ""bn"")"),"শহরাঞ্চলে বলি খেলার জনপ্রিয়তা লক্ষণীয়ভাবে হ্রাস পেয়েছে, যেখানে মানুষ আধুনিক খেলাধুলায় বেশি আগ্রহী।")</f>
        <v>শহরাঞ্চলে বলি খেলার জনপ্রিয়তা লক্ষণীয়ভাবে হ্রাস পেয়েছে, যেখানে মানুষ আধুনিক খেলাধুলায় বেশি আগ্রহী।</v>
      </c>
    </row>
    <row r="88">
      <c r="A88" s="7">
        <v>87.0</v>
      </c>
      <c r="B88" s="7" t="s">
        <v>352</v>
      </c>
      <c r="C88" s="7" t="s">
        <v>353</v>
      </c>
      <c r="D88" s="7" t="s">
        <v>354</v>
      </c>
      <c r="E88" s="7" t="s">
        <v>355</v>
      </c>
      <c r="I88" s="5" t="str">
        <f>IFERROR(__xludf.DUMMYFUNCTION("GOOGLETRANSLATE(A88, ""en"", ""bn"")"),"৮৭")</f>
        <v>৮৭</v>
      </c>
      <c r="J88" s="6" t="str">
        <f>IFERROR(__xludf.DUMMYFUNCTION("GOOGLETRANSLATE(B88, ""en"", ""bn"")"),"""জব্বারের বলি খেলা""-এর পাশে যে মেলা অনুষ্ঠিত হয় তার নাম কী?")</f>
        <v>"জব্বারের বলি খেলা"-এর পাশে যে মেলা অনুষ্ঠিত হয় তার নাম কী?</v>
      </c>
      <c r="K88" s="6" t="str">
        <f>IFERROR(__xludf.DUMMYFUNCTION("GOOGLETRANSLATE(C88, ""en"", ""bn"")"),"A) A ""বৈশাখী মেলা"", B) A ""জব্বার মেলা"", C) A ""লালদিঘী মেলা"", D) A ""চট্টগ্রাম মেলা""")</f>
        <v>A) A "বৈশাখী মেলা", B) A "জব্বার মেলা", C) A "লালদিঘী মেলা", D) A "চট্টগ্রাম মেলা"</v>
      </c>
      <c r="L88" s="5" t="str">
        <f>IFERROR(__xludf.DUMMYFUNCTION("GOOGLETRANSLATE(D88, ""en"", ""bn"")"),"ক) ""বৈশাখী মেলা""")</f>
        <v>ক) "বৈশাখী মেলা"</v>
      </c>
      <c r="M88" s="6" t="str">
        <f>IFERROR(__xludf.DUMMYFUNCTION("GOOGLETRANSLATE(E88, ""en"", ""bn"")"),"এই মেলা বার্ষিক উৎসবের একটি প্রধান অংশ, যা প্রচুর লোকের সমাগমকে আকর্ষণ করে।")</f>
        <v>এই মেলা বার্ষিক উৎসবের একটি প্রধান অংশ, যা প্রচুর লোকের সমাগমকে আকর্ষণ করে।</v>
      </c>
    </row>
    <row r="89">
      <c r="A89" s="7">
        <v>88.0</v>
      </c>
      <c r="B89" s="7" t="s">
        <v>356</v>
      </c>
      <c r="C89" s="7" t="s">
        <v>357</v>
      </c>
      <c r="D89" s="7" t="s">
        <v>358</v>
      </c>
      <c r="E89" s="7" t="s">
        <v>359</v>
      </c>
      <c r="I89" s="5" t="str">
        <f>IFERROR(__xludf.DUMMYFUNCTION("GOOGLETRANSLATE(A89, ""en"", ""bn"")"),"৮৮")</f>
        <v>৮৮</v>
      </c>
      <c r="J89" s="6" t="str">
        <f>IFERROR(__xludf.DUMMYFUNCTION("GOOGLETRANSLATE(B89, ""en"", ""bn"")"),"প্রথম বলি খেলা টুর্নামেন্টের নাম কী ছিল?")</f>
        <v>প্রথম বলি খেলা টুর্নামেন্টের নাম কী ছিল?</v>
      </c>
      <c r="K89" s="6" t="str">
        <f>IFERROR(__xludf.DUMMYFUNCTION("GOOGLETRANSLATE(C89, ""en"", ""bn"")"),"ক) মোক্কার বলি খেলা, খ) জব্বারের বলি খেলা, গ) লালদিঘি বলি খেলা, ঘ) সাতকানিয়া বলি খেলা")</f>
        <v>ক) মোক্কার বলি খেলা, খ) জব্বারের বলি খেলা, গ) লালদিঘি বলি খেলা, ঘ) সাতকানিয়া বলি খেলা</v>
      </c>
      <c r="L89" s="5" t="str">
        <f>IFERROR(__xludf.DUMMYFUNCTION("GOOGLETRANSLATE(D89, ""en"", ""bn"")"),"ক) মোক্কারো বলি খেলা")</f>
        <v>ক) মোক্কারো বলি খেলা</v>
      </c>
      <c r="M89" s="6" t="str">
        <f>IFERROR(__xludf.DUMMYFUNCTION("GOOGLETRANSLATE(E89, ""en"", ""bn"")"),"এই টুর্নামেন্টটি ১৮৭৯ সালে কাদের বক্সো দ্বারা শুরু হয়েছিল, জব্বারের সংস্করণের আগে।")</f>
        <v>এই টুর্নামেন্টটি ১৮৭৯ সালে কাদের বক্সো দ্বারা শুরু হয়েছিল, জব্বারের সংস্করণের আগে।</v>
      </c>
    </row>
    <row r="90">
      <c r="A90" s="7">
        <v>89.0</v>
      </c>
      <c r="B90" s="7" t="s">
        <v>360</v>
      </c>
      <c r="C90" s="7" t="s">
        <v>361</v>
      </c>
      <c r="D90" s="7" t="s">
        <v>250</v>
      </c>
      <c r="E90" s="7" t="s">
        <v>362</v>
      </c>
      <c r="I90" s="5" t="str">
        <f>IFERROR(__xludf.DUMMYFUNCTION("GOOGLETRANSLATE(A90, ""en"", ""bn"")"),"৮৯")</f>
        <v>৮৯</v>
      </c>
      <c r="J90" s="6" t="str">
        <f>IFERROR(__xludf.DUMMYFUNCTION("GOOGLETRANSLATE(B90, ""en"", ""bn"")"),"""জব্বারের বলি খেলা"" নামটি সরাসরি কোন ঐতিহাসিক ব্যক্তিত্বকে সম্মান করে?")</f>
        <v>"জব্বারের বলি খেলা" নামটি সরাসরি কোন ঐতিহাসিক ব্যক্তিত্বকে সম্মান করে?</v>
      </c>
      <c r="K90" s="6" t="str">
        <f>IFERROR(__xludf.DUMMYFUNCTION("GOOGLETRANSLATE(C90, ""en"", ""bn"")"),"A) দিদার বলি, B) আব্দুল জব্বার সওদাগর, C) কাদের বক্সো, D) মারমা সিং")</f>
        <v>A) দিদার বলি, B) আব্দুল জব্বার সওদাগর, C) কাদের বক্সো, D) মারমা সিং</v>
      </c>
      <c r="L90" s="5" t="str">
        <f>IFERROR(__xludf.DUMMYFUNCTION("GOOGLETRANSLATE(D90, ""en"", ""bn"")"),"খ) আব্দুল জব্বার সওদাগর")</f>
        <v>খ) আব্দুল জব্বার সওদাগর</v>
      </c>
      <c r="M90" s="6" t="str">
        <f>IFERROR(__xludf.DUMMYFUNCTION("GOOGLETRANSLATE(E90, ""en"", ""bn"")"),"এই টুর্নামেন্টের নামকরণ করা হয়েছে এর প্রতিষ্ঠাতা আব্দুল জব্বার সওদাগরের নামে।")</f>
        <v>এই টুর্নামেন্টের নামকরণ করা হয়েছে এর প্রতিষ্ঠাতা আব্দুল জব্বার সওদাগরের নামে।</v>
      </c>
    </row>
    <row r="91">
      <c r="A91" s="7">
        <v>90.0</v>
      </c>
      <c r="B91" s="7" t="s">
        <v>363</v>
      </c>
      <c r="C91" s="7" t="s">
        <v>364</v>
      </c>
      <c r="D91" s="7" t="s">
        <v>365</v>
      </c>
      <c r="E91" s="7" t="s">
        <v>366</v>
      </c>
      <c r="I91" s="5" t="str">
        <f>IFERROR(__xludf.DUMMYFUNCTION("GOOGLETRANSLATE(A91, ""en"", ""bn"")"),"৯০")</f>
        <v>৯০</v>
      </c>
      <c r="J91" s="6" t="str">
        <f>IFERROR(__xludf.DUMMYFUNCTION("GOOGLETRANSLATE(B91, ""en"", ""bn"")"),"বিংশ শতাব্দীর গোড়ার দিকে বলি খেলা আয়োজকদের লক্ষ্য কী ছিল?")</f>
        <v>বিংশ শতাব্দীর গোড়ার দিকে বলি খেলা আয়োজকদের লক্ষ্য কী ছিল?</v>
      </c>
      <c r="K91" s="6" t="str">
        <f>IFERROR(__xludf.DUMMYFUNCTION("GOOGLETRANSLATE(C91, ""en"", ""bn"")"),"ক) সুস্থ জীবনধারা প্রচার করা, খ) অস্ত্র ছাড়াই আত্মরক্ষার দক্ষতা বিকাশ করা, গ) তাদের পরিবারের জন্য অর্থ উপার্জন করা, ঘ) ধর্মীয় সহনশীলতা প্রচার করা")</f>
        <v>ক) সুস্থ জীবনধারা প্রচার করা, খ) অস্ত্র ছাড়াই আত্মরক্ষার দক্ষতা বিকাশ করা, গ) তাদের পরিবারের জন্য অর্থ উপার্জন করা, ঘ) ধর্মীয় সহনশীলতা প্রচার করা</v>
      </c>
      <c r="L91" s="5" t="str">
        <f>IFERROR(__xludf.DUMMYFUNCTION("GOOGLETRANSLATE(D91, ""en"", ""bn"")"),"খ) অস্ত্র ছাড়াই আত্মরক্ষার দক্ষতা বিকাশ করা")</f>
        <v>খ) অস্ত্র ছাড়াই আত্মরক্ষার দক্ষতা বিকাশ করা</v>
      </c>
      <c r="M91" s="6" t="str">
        <f>IFERROR(__xludf.DUMMYFUNCTION("GOOGLETRANSLATE(E91, ""en"", ""bn"")"),"এই খেলাটি প্রাথমিকভাবে যুবকদের আত্মরক্ষা এবং মার্শাল আর্টের প্রশিক্ষণ দেওয়ার একটি উপায় ছিল।")</f>
        <v>এই খেলাটি প্রাথমিকভাবে যুবকদের আত্মরক্ষা এবং মার্শাল আর্টের প্রশিক্ষণ দেওয়ার একটি উপায় ছিল।</v>
      </c>
    </row>
    <row r="92">
      <c r="A92" s="7">
        <v>91.0</v>
      </c>
      <c r="B92" s="7" t="s">
        <v>367</v>
      </c>
      <c r="C92" s="7" t="s">
        <v>368</v>
      </c>
      <c r="D92" s="7" t="s">
        <v>290</v>
      </c>
      <c r="E92" s="7" t="s">
        <v>369</v>
      </c>
      <c r="I92" s="5" t="str">
        <f>IFERROR(__xludf.DUMMYFUNCTION("GOOGLETRANSLATE(A92, ""en"", ""bn"")"),"৯১")</f>
        <v>৯১</v>
      </c>
      <c r="J92" s="6" t="str">
        <f>IFERROR(__xludf.DUMMYFUNCTION("GOOGLETRANSLATE(B92, ""en"", ""bn"")"),"বাংলাদেশের কোন শহরের ইতিহাসের সাথে বলি খেলার ঐতিহ্যের গভীর সম্পর্ক রয়েছে?")</f>
        <v>বাংলাদেশের কোন শহরের ইতিহাসের সাথে বলি খেলার ঐতিহ্যের গভীর সম্পর্ক রয়েছে?</v>
      </c>
      <c r="K92" s="6" t="str">
        <f>IFERROR(__xludf.DUMMYFUNCTION("GOOGLETRANSLATE(C92, ""en"", ""bn"")"),"ক) ঢাকা, খ) চট্টগ্রাম, গ) রাজশাহী, ঘ) সিলেট")</f>
        <v>ক) ঢাকা, খ) চট্টগ্রাম, গ) রাজশাহী, ঘ) সিলেট</v>
      </c>
      <c r="L92" s="5" t="str">
        <f>IFERROR(__xludf.DUMMYFUNCTION("GOOGLETRANSLATE(D92, ""en"", ""bn"")"),"খ) চট্টগ্রাম")</f>
        <v>খ) চট্টগ্রাম</v>
      </c>
      <c r="M92" s="6" t="str">
        <f>IFERROR(__xludf.DUMMYFUNCTION("GOOGLETRANSLATE(E92, ""en"", ""bn"")"),"বলি খেলা চট্টগ্রাম জেলার জাতীয় খেলা।")</f>
        <v>বলি খেলা চট্টগ্রাম জেলার জাতীয় খেলা।</v>
      </c>
    </row>
    <row r="93">
      <c r="A93" s="7">
        <v>92.0</v>
      </c>
      <c r="B93" s="7" t="s">
        <v>370</v>
      </c>
      <c r="C93" s="7" t="s">
        <v>371</v>
      </c>
      <c r="D93" s="7" t="s">
        <v>372</v>
      </c>
      <c r="E93" s="7" t="s">
        <v>373</v>
      </c>
      <c r="I93" s="5" t="str">
        <f>IFERROR(__xludf.DUMMYFUNCTION("GOOGLETRANSLATE(A93, ""en"", ""bn"")"),"৯২")</f>
        <v>৯২</v>
      </c>
      <c r="J93" s="6" t="str">
        <f>IFERROR(__xludf.DUMMYFUNCTION("GOOGLETRANSLATE(B93, ""en"", ""bn"")"),"ঐতিহাসিকভাবে, একটি সাধারণ বলি খেলা ম্যাচের দৈর্ঘ্য কত ছিল?")</f>
        <v>ঐতিহাসিকভাবে, একটি সাধারণ বলি খেলা ম্যাচের দৈর্ঘ্য কত ছিল?</v>
      </c>
      <c r="K93" s="6" t="str">
        <f>IFERROR(__xludf.DUMMYFUNCTION("GOOGLETRANSLATE(C93, ""en"", ""bn"")"),"ক) ১০-১৫ মিনিট, খ) ২০-২৫ মিনিট, গ) ২৫-৩০ মিনিট, ঘ) এক ঘন্টা বা তার বেশি")</f>
        <v>ক) ১০-১৫ মিনিট, খ) ২০-২৫ মিনিট, গ) ২৫-৩০ মিনিট, ঘ) এক ঘন্টা বা তার বেশি</v>
      </c>
      <c r="L93" s="5" t="str">
        <f>IFERROR(__xludf.DUMMYFUNCTION("GOOGLETRANSLATE(D93, ""en"", ""bn"")"),"গ) ২৫-৩০ মিনিট")</f>
        <v>গ) ২৫-৩০ মিনিট</v>
      </c>
      <c r="M93" s="6" t="str">
        <f>IFERROR(__xludf.DUMMYFUNCTION("GOOGLETRANSLATE(E93, ""en"", ""bn"")"),"একটি সাধারণ ম্যাচ উল্লেখযোগ্য সময় ধরে চলে, যা কুস্তিগীরদের ধৈর্যের পরীক্ষা নেয়।")</f>
        <v>একটি সাধারণ ম্যাচ উল্লেখযোগ্য সময় ধরে চলে, যা কুস্তিগীরদের ধৈর্যের পরীক্ষা নেয়।</v>
      </c>
    </row>
    <row r="94">
      <c r="A94" s="7">
        <v>93.0</v>
      </c>
      <c r="B94" s="7" t="s">
        <v>374</v>
      </c>
      <c r="C94" s="7" t="s">
        <v>375</v>
      </c>
      <c r="D94" s="7" t="s">
        <v>376</v>
      </c>
      <c r="E94" s="7" t="s">
        <v>377</v>
      </c>
      <c r="I94" s="5" t="str">
        <f>IFERROR(__xludf.DUMMYFUNCTION("GOOGLETRANSLATE(A94, ""en"", ""bn"")"),"৯৩")</f>
        <v>৯৩</v>
      </c>
      <c r="J94" s="6" t="str">
        <f>IFERROR(__xludf.DUMMYFUNCTION("GOOGLETRANSLATE(B94, ""en"", ""bn"")"),"চট্টগ্রাম অঞ্চলে ""মোল্লো"" (কুস্তিগীরদের) ঐতিহাসিক সামাজিক অবস্থান কী ছিল?")</f>
        <v>চট্টগ্রাম অঞ্চলে "মোল্লো" (কুস্তিগীরদের) ঐতিহাসিক সামাজিক অবস্থান কী ছিল?</v>
      </c>
      <c r="K94" s="6" t="str">
        <f>IFERROR(__xludf.DUMMYFUNCTION("GOOGLETRANSLATE(C94, ""en"", ""bn"")"),"ক) তাদের নিম্ন শ্রেণীর বলে মনে করা হত, খ) তাদের সাহসী পুরুষ হিসেবে সম্মান করা হত, গ) তাদের বহিষ্কৃত বলে মনে করা হত, ঘ) তাদের কোনও বিশেষ সামাজিক মর্যাদা ছিল না")</f>
        <v>ক) তাদের নিম্ন শ্রেণীর বলে মনে করা হত, খ) তাদের সাহসী পুরুষ হিসেবে সম্মান করা হত, গ) তাদের বহিষ্কৃত বলে মনে করা হত, ঘ) তাদের কোনও বিশেষ সামাজিক মর্যাদা ছিল না</v>
      </c>
      <c r="L94" s="5" t="str">
        <f>IFERROR(__xludf.DUMMYFUNCTION("GOOGLETRANSLATE(D94, ""en"", ""bn"")"),"খ) তাদেরকে সাহসী পুরুষ হিসেবে সম্মান করা হত")</f>
        <v>খ) তাদেরকে সাহসী পুরুষ হিসেবে সম্মান করা হত</v>
      </c>
      <c r="M94" s="6" t="str">
        <f>IFERROR(__xludf.DUMMYFUNCTION("GOOGLETRANSLATE(E94, ""en"", ""bn"")"),"কুস্তিগীররা তাদের শক্তি এবং সাহসের জন্য তাদের সম্প্রদায়ে অত্যন্ত সম্মানিত ছিল।")</f>
        <v>কুস্তিগীররা তাদের শক্তি এবং সাহসের জন্য তাদের সম্প্রদায়ে অত্যন্ত সম্মানিত ছিল।</v>
      </c>
    </row>
    <row r="95">
      <c r="A95" s="7">
        <v>94.0</v>
      </c>
      <c r="B95" s="7" t="s">
        <v>378</v>
      </c>
      <c r="C95" s="7" t="s">
        <v>379</v>
      </c>
      <c r="D95" s="7" t="s">
        <v>380</v>
      </c>
      <c r="E95" s="7" t="s">
        <v>381</v>
      </c>
      <c r="I95" s="5" t="str">
        <f>IFERROR(__xludf.DUMMYFUNCTION("GOOGLETRANSLATE(A95, ""en"", ""bn"")"),"৯৪")</f>
        <v>৯৪</v>
      </c>
      <c r="J95" s="6" t="str">
        <f>IFERROR(__xludf.DUMMYFUNCTION("GOOGLETRANSLATE(B95, ""en"", ""bn"")"),"""জব্বার সওদাগর"" নামের অর্থ কী?")</f>
        <v>"জব্বার সওদাগর" নামের অর্থ কী?</v>
      </c>
      <c r="K95" s="6" t="str">
        <f>IFERROR(__xludf.DUMMYFUNCTION("GOOGLETRANSLATE(C95, ""en"", ""bn"")"),"ক) কুস্তিগীর জব্বার, খ) যোদ্ধা জব্বার, গ) ব্যবসায়ী/বণিক জব্বার, ঘ) রাজা জব্বার")</f>
        <v>ক) কুস্তিগীর জব্বার, খ) যোদ্ধা জব্বার, গ) ব্যবসায়ী/বণিক জব্বার, ঘ) রাজা জব্বার</v>
      </c>
      <c r="L95" s="5" t="str">
        <f>IFERROR(__xludf.DUMMYFUNCTION("GOOGLETRANSLATE(D95, ""en"", ""bn"")"),"গ) জব্বার ব্যবসায়ী/বণিক")</f>
        <v>গ) জব্বার ব্যবসায়ী/বণিক</v>
      </c>
      <c r="M95" s="6" t="str">
        <f>IFERROR(__xludf.DUMMYFUNCTION("GOOGLETRANSLATE(E95, ""en"", ""bn"")"),"""সওদাগর"" শব্দের অর্থ বণিক বা ব্যবসায়ী, যা ছিল আব্দুল জব্বারের পেশা।")</f>
        <v>"সওদাগর" শব্দের অর্থ বণিক বা ব্যবসায়ী, যা ছিল আব্দুল জব্বারের পেশা।</v>
      </c>
    </row>
    <row r="96">
      <c r="A96" s="7">
        <v>95.0</v>
      </c>
      <c r="B96" s="7" t="s">
        <v>382</v>
      </c>
      <c r="C96" s="7" t="s">
        <v>383</v>
      </c>
      <c r="D96" s="7" t="s">
        <v>384</v>
      </c>
      <c r="E96" s="7" t="s">
        <v>385</v>
      </c>
      <c r="I96" s="5" t="str">
        <f>IFERROR(__xludf.DUMMYFUNCTION("GOOGLETRANSLATE(A96, ""en"", ""bn"")"),"৯৫")</f>
        <v>৯৫</v>
      </c>
      <c r="J96" s="6" t="str">
        <f>IFERROR(__xludf.DUMMYFUNCTION("GOOGLETRANSLATE(B96, ""en"", ""bn"")"),"বলি খেলার ইতিহাস বাংলার অন্য কোন লোক খেলার সাথে ঘনিষ্ঠভাবে জড়িত?")</f>
        <v>বলি খেলার ইতিহাস বাংলার অন্য কোন লোক খেলার সাথে ঘনিষ্ঠভাবে জড়িত?</v>
      </c>
      <c r="K96" s="6" t="str">
        <f>IFERROR(__xludf.DUMMYFUNCTION("GOOGLETRANSLATE(C96, ""en"", ""bn"")"),"ক) লাঠি খেলা (লাঠি খেলা), খ) কাবাডি, গ) খো খো, ঘ) হা-ডু-ডু")</f>
        <v>ক) লাঠি খেলা (লাঠি খেলা), খ) কাবাডি, গ) খো খো, ঘ) হা-ডু-ডু</v>
      </c>
      <c r="L96" s="5" t="str">
        <f>IFERROR(__xludf.DUMMYFUNCTION("GOOGLETRANSLATE(D96, ""en"", ""bn"")"),"ক) লাঠি খেলা (লাঠি খেলা)")</f>
        <v>ক) লাঠি খেলা (লাঠি খেলা)</v>
      </c>
      <c r="M96" s="6" t="str">
        <f>IFERROR(__xludf.DUMMYFUNCTION("GOOGLETRANSLATE(E96, ""en"", ""bn"")"),"বলি খেলা এবং লাঠি খেলা উভয়ই এই অঞ্চলের ঐতিহ্যবাহী যুদ্ধ খেলা, যার ঐতিহাসিক শিকড় একই রকম।")</f>
        <v>বলি খেলা এবং লাঠি খেলা উভয়ই এই অঞ্চলের ঐতিহ্যবাহী যুদ্ধ খেলা, যার ঐতিহাসিক শিকড় একই রকম।</v>
      </c>
    </row>
    <row r="97">
      <c r="A97" s="7">
        <v>96.0</v>
      </c>
      <c r="B97" s="7" t="s">
        <v>386</v>
      </c>
      <c r="C97" s="7" t="s">
        <v>387</v>
      </c>
      <c r="D97" s="7" t="s">
        <v>388</v>
      </c>
      <c r="E97" s="7" t="s">
        <v>389</v>
      </c>
      <c r="I97" s="5" t="str">
        <f>IFERROR(__xludf.DUMMYFUNCTION("GOOGLETRANSLATE(A97, ""en"", ""bn"")"),"৯৬")</f>
        <v>৯৬</v>
      </c>
      <c r="J97" s="6" t="str">
        <f>IFERROR(__xludf.DUMMYFUNCTION("GOOGLETRANSLATE(B97, ""en"", ""bn"")"),"জব্বারের বলি খেলা কেন কাদের বক্সোর চেয়ে ঐতিহাসিকভাবে বেশি তাৎপর্যপূর্ণ হয়ে উঠল?")</f>
        <v>জব্বারের বলি খেলা কেন কাদের বক্সোর চেয়ে ঐতিহাসিকভাবে বেশি তাৎপর্যপূর্ণ হয়ে উঠল?</v>
      </c>
      <c r="K97" s="6" t="str">
        <f>IFERROR(__xludf.DUMMYFUNCTION("GOOGLETRANSLATE(C97, ""en"", ""bn"")"),"ক) এর পুরষ্কার ছিল আরও বড়, খ) এটি আরও বিশিষ্ট স্থানে অনুষ্ঠিত হত, গ) এটি একটি দেশপ্রেমের সাথে সম্পর্কিত ছিল, ঘ) এতে আরও বিখ্যাত কুস্তিগীর ছিল")</f>
        <v>ক) এর পুরষ্কার ছিল আরও বড়, খ) এটি আরও বিশিষ্ট স্থানে অনুষ্ঠিত হত, গ) এটি একটি দেশপ্রেমের সাথে সম্পর্কিত ছিল, ঘ) এতে আরও বিখ্যাত কুস্তিগীর ছিল</v>
      </c>
      <c r="L97" s="5" t="str">
        <f>IFERROR(__xludf.DUMMYFUNCTION("GOOGLETRANSLATE(D97, ""en"", ""bn"")"),"গ) এটি একটি দেশপ্রেমিক কারণের সাথে যুক্ত ছিল")</f>
        <v>গ) এটি একটি দেশপ্রেমিক কারণের সাথে যুক্ত ছিল</v>
      </c>
      <c r="M97" s="6" t="str">
        <f>IFERROR(__xludf.DUMMYFUNCTION("GOOGLETRANSLATE(E97, ""en"", ""bn"")"),"ব্রিটিশ বিরোধী আন্দোলনের সাথে এর সম্পৃক্ততা এটিকে আরও বিস্তৃত এবং স্থায়ী ঐতিহাসিক তাৎপর্য প্রদান করে।")</f>
        <v>ব্রিটিশ বিরোধী আন্দোলনের সাথে এর সম্পৃক্ততা এটিকে আরও বিস্তৃত এবং স্থায়ী ঐতিহাসিক তাৎপর্য প্রদান করে।</v>
      </c>
    </row>
    <row r="98">
      <c r="A98" s="7">
        <v>97.0</v>
      </c>
      <c r="B98" s="7" t="s">
        <v>390</v>
      </c>
      <c r="C98" s="7" t="s">
        <v>391</v>
      </c>
      <c r="D98" s="7" t="s">
        <v>392</v>
      </c>
      <c r="E98" s="7" t="s">
        <v>393</v>
      </c>
      <c r="I98" s="5" t="str">
        <f>IFERROR(__xludf.DUMMYFUNCTION("GOOGLETRANSLATE(A98, ""en"", ""bn"")"),"৯৭")</f>
        <v>৯৭</v>
      </c>
      <c r="J98" s="6" t="str">
        <f>IFERROR(__xludf.DUMMYFUNCTION("GOOGLETRANSLATE(B98, ""en"", ""bn"")"),"অতীতে, ""লাঠিয়াল"" দলে কোন ধরণের লোক নিয়োগ করা হত?")</f>
        <v>অতীতে, "লাঠিয়াল" দলে কোন ধরণের লোক নিয়োগ করা হত?</v>
      </c>
      <c r="K98" s="6" t="str">
        <f>IFERROR(__xludf.DUMMYFUNCTION("GOOGLETRANSLATE(C98, ""en"", ""bn"")"),"ক) কৃষক, খ) জমিদার (সামন্তপ্রভু), গ) বণিক, ঘ) শিক্ষক")</f>
        <v>ক) কৃষক, খ) জমিদার (সামন্তপ্রভু), গ) বণিক, ঘ) শিক্ষক</v>
      </c>
      <c r="L98" s="5" t="str">
        <f>IFERROR(__xludf.DUMMYFUNCTION("GOOGLETRANSLATE(D98, ""en"", ""bn"")"),"খ) জমিদার (সামন্ত প্রভু)")</f>
        <v>খ) জমিদার (সামন্ত প্রভু)</v>
      </c>
      <c r="M98" s="6" t="str">
        <f>IFERROR(__xludf.DUMMYFUNCTION("GOOGLETRANSLATE(E98, ""en"", ""bn"")"),"জমিদাররা নিরাপত্তার জন্য এবং তাদের ক্ষমতার প্রতীক হিসেবে ""লাঠিয়াল"" দল ভাড়া করত।")</f>
        <v>জমিদাররা নিরাপত্তার জন্য এবং তাদের ক্ষমতার প্রতীক হিসেবে "লাঠিয়াল" দল ভাড়া করত।</v>
      </c>
    </row>
    <row r="99">
      <c r="A99" s="7">
        <v>98.0</v>
      </c>
      <c r="B99" s="7" t="s">
        <v>394</v>
      </c>
      <c r="C99" s="7" t="s">
        <v>395</v>
      </c>
      <c r="D99" s="7" t="s">
        <v>396</v>
      </c>
      <c r="E99" s="7" t="s">
        <v>397</v>
      </c>
      <c r="I99" s="5" t="str">
        <f>IFERROR(__xludf.DUMMYFUNCTION("GOOGLETRANSLATE(A99, ""en"", ""bn"")"),"৯৮")</f>
        <v>৯৮</v>
      </c>
      <c r="J99" s="6" t="str">
        <f>IFERROR(__xludf.DUMMYFUNCTION("GOOGLETRANSLATE(B99, ""en"", ""bn"")"),"বলি খেলার ঐতিহ্য বংশ পরম্পরায় চলে আসছে। আজ এই ঐতিহ্য কীভাবে রক্ষণাবেক্ষণ করা হচ্ছে?")</f>
        <v>বলি খেলার ঐতিহ্য বংশ পরম্পরায় চলে আসছে। আজ এই ঐতিহ্য কীভাবে রক্ষণাবেক্ষণ করা হচ্ছে?</v>
      </c>
      <c r="K99" s="6" t="str">
        <f>IFERROR(__xludf.DUMMYFUNCTION("GOOGLETRANSLATE(C99, ""en"", ""bn"")"),"ক) আনুষ্ঠানিক প্রশিক্ষণ একাডেমির মাধ্যমে, খ) পারিবারিক উত্তরাধিকারের মাধ্যমে, গ) সরকারি তহবিলের মাধ্যমে, ঘ) কর্পোরেশনের পৃষ্ঠপোষকতার মাধ্যমে")</f>
        <v>ক) আনুষ্ঠানিক প্রশিক্ষণ একাডেমির মাধ্যমে, খ) পারিবারিক উত্তরাধিকারের মাধ্যমে, গ) সরকারি তহবিলের মাধ্যমে, ঘ) কর্পোরেশনের পৃষ্ঠপোষকতার মাধ্যমে</v>
      </c>
      <c r="L99" s="5" t="str">
        <f>IFERROR(__xludf.DUMMYFUNCTION("GOOGLETRANSLATE(D99, ""en"", ""bn"")"),"খ) পারিবারিক উত্তরাধিকারের মাধ্যমে")</f>
        <v>খ) পারিবারিক উত্তরাধিকারের মাধ্যমে</v>
      </c>
      <c r="M99" s="6" t="str">
        <f>IFERROR(__xludf.DUMMYFUNCTION("GOOGLETRANSLATE(E99, ""en"", ""bn"")"),"আজকের অনেক কুস্তিগীর এমন পরিবার থেকে আসে যাদের এই খেলায় অংশগ্রহণের দীর্ঘ ইতিহাস রয়েছে।")</f>
        <v>আজকের অনেক কুস্তিগীর এমন পরিবার থেকে আসে যাদের এই খেলায় অংশগ্রহণের দীর্ঘ ইতিহাস রয়েছে।</v>
      </c>
    </row>
    <row r="100">
      <c r="A100" s="7">
        <v>99.0</v>
      </c>
      <c r="B100" s="7" t="s">
        <v>398</v>
      </c>
      <c r="C100" s="7" t="s">
        <v>399</v>
      </c>
      <c r="D100" s="7" t="s">
        <v>400</v>
      </c>
      <c r="E100" s="7" t="s">
        <v>401</v>
      </c>
      <c r="I100" s="5" t="str">
        <f>IFERROR(__xludf.DUMMYFUNCTION("GOOGLETRANSLATE(A100, ""en"", ""bn"")"),"৯৯")</f>
        <v>৯৯</v>
      </c>
      <c r="J100" s="6" t="str">
        <f>IFERROR(__xludf.DUMMYFUNCTION("GOOGLETRANSLATE(B100, ""en"", ""bn"")"),"ঐতিহাসিকভাবে, আনোয়ারার মহিলারা তাদের বিবাহের কাগজপত্রে কী অন্তর্ভুক্ত করতেন?")</f>
        <v>ঐতিহাসিকভাবে, আনোয়ারার মহিলারা তাদের বিবাহের কাগজপত্রে কী অন্তর্ভুক্ত করতেন?</v>
      </c>
      <c r="K100" s="6" t="str">
        <f>IFERROR(__xludf.DUMMYFUNCTION("GOOGLETRANSLATE(C100, ""en"", ""bn"")"),"ক) জমির মালিকানার অধিকার, খ) বলি খেলায় অংশগ্রহণের অধিকার, গ) ""শোরকারের বলি খেলা"" পরিদর্শনের শর্ত, ঘ) তাদের স্বামীর কুস্তি ক্যারিয়ারকে সমর্থন করার প্রতিশ্রুতি")</f>
        <v>ক) জমির মালিকানার অধিকার, খ) বলি খেলায় অংশগ্রহণের অধিকার, গ) "শোরকারের বলি খেলা" পরিদর্শনের শর্ত, ঘ) তাদের স্বামীর কুস্তি ক্যারিয়ারকে সমর্থন করার প্রতিশ্রুতি</v>
      </c>
      <c r="L100" s="5" t="str">
        <f>IFERROR(__xludf.DUMMYFUNCTION("GOOGLETRANSLATE(D100, ""en"", ""bn"")"),"গ) ""শোরকারের বলি খেলা"" পরিদর্শনের শর্ত")</f>
        <v>গ) "শোরকারের বলি খেলা" পরিদর্শনের শর্ত</v>
      </c>
      <c r="M100" s="6" t="str">
        <f>IFERROR(__xludf.DUMMYFUNCTION("GOOGLETRANSLATE(E100, ""en"", ""bn"")"),"এই ঐতিহ্য অতীতে এই অনুষ্ঠানের গভীর সাংস্কৃতিক তাৎপর্য এবং জনপ্রিয়তা তুলে ধরে।")</f>
        <v>এই ঐতিহ্য অতীতে এই অনুষ্ঠানের গভীর সাংস্কৃতিক তাৎপর্য এবং জনপ্রিয়তা তুলে ধরে।</v>
      </c>
    </row>
    <row r="101">
      <c r="A101" s="7">
        <v>100.0</v>
      </c>
      <c r="B101" s="7" t="s">
        <v>402</v>
      </c>
      <c r="C101" s="7" t="s">
        <v>403</v>
      </c>
      <c r="D101" s="7" t="s">
        <v>404</v>
      </c>
      <c r="E101" s="7" t="s">
        <v>405</v>
      </c>
      <c r="I101" s="5" t="str">
        <f>IFERROR(__xludf.DUMMYFUNCTION("GOOGLETRANSLATE(A101, ""en"", ""bn"")"),"১০০")</f>
        <v>১০০</v>
      </c>
      <c r="J101" s="6" t="str">
        <f>IFERROR(__xludf.DUMMYFUNCTION("GOOGLETRANSLATE(B101, ""en"", ""bn"")"),"বলি খেলার ইতিহাস স্থানীয় অর্থনীতির সাথেও জড়িত। কেন?")</f>
        <v>বলি খেলার ইতিহাস স্থানীয় অর্থনীতির সাথেও জড়িত। কেন?</v>
      </c>
      <c r="K101" s="6" t="str">
        <f>IFERROR(__xludf.DUMMYFUNCTION("GOOGLETRANSLATE(C101, ""en"", ""bn"")"),"ক) এটি পর্যটকদের আকর্ষণ করে, খ) এতে পণ্যের লেনদেন জড়িত, গ) অনুষ্ঠানের পাশাপাশি মেলা অনুষ্ঠিত হয়, ঘ) পুরষ্কারগুলি খুব ব্যয়বহুল")</f>
        <v>ক) এটি পর্যটকদের আকর্ষণ করে, খ) এতে পণ্যের লেনদেন জড়িত, গ) অনুষ্ঠানের পাশাপাশি মেলা অনুষ্ঠিত হয়, ঘ) পুরষ্কারগুলি খুব ব্যয়বহুল</v>
      </c>
      <c r="L101" s="5" t="str">
        <f>IFERROR(__xludf.DUMMYFUNCTION("GOOGLETRANSLATE(D101, ""en"", ""bn"")"),"গ) অনুষ্ঠানের পাশাপাশি অনুষ্ঠিত মেলা")</f>
        <v>গ) অনুষ্ঠানের পাশাপাশি অনুষ্ঠিত মেলা</v>
      </c>
      <c r="M101" s="6" t="str">
        <f>IFERROR(__xludf.DUMMYFUNCTION("GOOGLETRANSLATE(E101, ""en"", ""bn"")"),"""বৈশাখী মেলা"" স্থানীয় কারিগর এবং বিক্রেতাদের জন্য একটি গুরুত্বপূর্ণ অর্থনৈতিক অনুষ্ঠান।")</f>
        <v>"বৈশাখী মেলা" স্থানীয় কারিগর এবং বিক্রেতাদের জন্য একটি গুরুত্বপূর্ণ অর্থনৈতিক অনুষ্ঠান।</v>
      </c>
    </row>
    <row r="102">
      <c r="A102" s="7">
        <v>101.0</v>
      </c>
      <c r="B102" s="7" t="s">
        <v>406</v>
      </c>
      <c r="C102" s="7" t="s">
        <v>407</v>
      </c>
      <c r="D102" s="7" t="s">
        <v>408</v>
      </c>
      <c r="E102" s="7" t="s">
        <v>409</v>
      </c>
      <c r="I102" s="5" t="str">
        <f>IFERROR(__xludf.DUMMYFUNCTION("GOOGLETRANSLATE(A102, ""en"", ""bn"")"),"১০১")</f>
        <v>১০১</v>
      </c>
      <c r="J102" s="6" t="str">
        <f>IFERROR(__xludf.DUMMYFUNCTION("GOOGLETRANSLATE(B102, ""en"", ""bn"")"),"বলি খেলা ম্যাচের ঐতিহাসিক উদ্দেশ্য কী ছিল?")</f>
        <v>বলি খেলা ম্যাচের ঐতিহাসিক উদ্দেশ্য কী ছিল?</v>
      </c>
      <c r="K102" s="6" t="str">
        <f>IFERROR(__xludf.DUMMYFUNCTION("GOOGLETRANSLATE(C102, ""en"", ""bn"")"),"ক) প্রতিপক্ষকে আহত করা, খ) পয়েন্ট অর্জন করা, গ) প্রতিপক্ষের শরীরের যেকোনো অংশকে মাটিতে স্পর্শ করতে বাধ্য করা (পা ছাড়া), ঘ) পিন ধরা।")</f>
        <v>ক) প্রতিপক্ষকে আহত করা, খ) পয়েন্ট অর্জন করা, গ) প্রতিপক্ষের শরীরের যেকোনো অংশকে মাটিতে স্পর্শ করতে বাধ্য করা (পা ছাড়া), ঘ) পিন ধরা।</v>
      </c>
      <c r="L102" s="5" t="str">
        <f>IFERROR(__xludf.DUMMYFUNCTION("GOOGLETRANSLATE(D102, ""en"", ""bn"")"),"গ) প্রতিপক্ষের শরীরের যেকোনো অংশকে মাটিতে স্পর্শ করতে বাধ্য করা (পা ছাড়া)")</f>
        <v>গ) প্রতিপক্ষের শরীরের যেকোনো অংশকে মাটিতে স্পর্শ করতে বাধ্য করা (পা ছাড়া)</v>
      </c>
      <c r="M102" s="6" t="str">
        <f>IFERROR(__xludf.DUMMYFUNCTION("GOOGLETRANSLATE(E102, ""en"", ""bn"")"),"এটিই এই খেলার মৌলিক লক্ষ্য, যা এটিকে অন্যান্য ধরণের লোক কুস্তির মতো করে তোলে।")</f>
        <v>এটিই এই খেলার মৌলিক লক্ষ্য, যা এটিকে অন্যান্য ধরণের লোক কুস্তির মতো করে তোলে।</v>
      </c>
    </row>
    <row r="103">
      <c r="A103" s="7">
        <v>102.0</v>
      </c>
      <c r="B103" s="7" t="s">
        <v>410</v>
      </c>
      <c r="C103" s="7" t="s">
        <v>411</v>
      </c>
      <c r="D103" s="7" t="s">
        <v>412</v>
      </c>
      <c r="E103" s="7" t="s">
        <v>413</v>
      </c>
      <c r="I103" s="5" t="str">
        <f>IFERROR(__xludf.DUMMYFUNCTION("GOOGLETRANSLATE(A103, ""en"", ""bn"")"),"১০২")</f>
        <v>১০২</v>
      </c>
      <c r="J103" s="6" t="str">
        <f>IFERROR(__xludf.DUMMYFUNCTION("GOOGLETRANSLATE(B103, ""en"", ""bn"")"),"টুর্নামেন্ট আয়োজনের জন্য ব্রিটিশরা আব্দুল জব্বার সওদাগরকে কোন উপাধিতে ভূষিত করেছিল, যা তিনি প্রত্যাখ্যান করেছিলেন?")</f>
        <v>টুর্নামেন্ট আয়োজনের জন্য ব্রিটিশরা আব্দুল জব্বার সওদাগরকে কোন উপাধিতে ভূষিত করেছিল, যা তিনি প্রত্যাখ্যান করেছিলেন?</v>
      </c>
      <c r="K103" s="6" t="str">
        <f>IFERROR(__xludf.DUMMYFUNCTION("GOOGLETRANSLATE(C103, ""en"", ""bn"")"),"A) মোলো, B) সর্দার, C) খান বাহাদুর, D) বলি")</f>
        <v>A) মোলো, B) সর্দার, C) খান বাহাদুর, D) বলি</v>
      </c>
      <c r="L103" s="5" t="str">
        <f>IFERROR(__xludf.DUMMYFUNCTION("GOOGLETRANSLATE(D103, ""en"", ""bn"")"),"গ) খান বাহাদুর")</f>
        <v>গ) খান বাহাদুর</v>
      </c>
      <c r="M103" s="6" t="str">
        <f>IFERROR(__xludf.DUMMYFUNCTION("GOOGLETRANSLATE(E103, ""en"", ""bn"")"),"ব্রিটিশ বিরোধী আন্দোলনের একজন কট্টর সমর্থক জব্বার ঔপনিবেশিক সরকারের কাছ থেকে এই উপাধি গ্রহণ করতে অস্বীকৃতি জানান।")</f>
        <v>ব্রিটিশ বিরোধী আন্দোলনের একজন কট্টর সমর্থক জব্বার ঔপনিবেশিক সরকারের কাছ থেকে এই উপাধি গ্রহণ করতে অস্বীকৃতি জানান।</v>
      </c>
    </row>
    <row r="104">
      <c r="A104" s="7">
        <v>103.0</v>
      </c>
      <c r="B104" s="7" t="s">
        <v>414</v>
      </c>
      <c r="C104" s="7" t="s">
        <v>415</v>
      </c>
      <c r="D104" s="7" t="s">
        <v>416</v>
      </c>
      <c r="E104" s="7" t="s">
        <v>417</v>
      </c>
      <c r="I104" s="5" t="str">
        <f>IFERROR(__xludf.DUMMYFUNCTION("GOOGLETRANSLATE(A104, ""en"", ""bn"")"),"১০৩")</f>
        <v>১০৩</v>
      </c>
      <c r="J104" s="6" t="str">
        <f>IFERROR(__xludf.DUMMYFUNCTION("GOOGLETRANSLATE(B104, ""en"", ""bn"")"),"বলি খেলার ইতিহাসে, কুস্তিগীরদের জন্য প্রস্তুতির একটি সাধারণ রীতি কী ছিল?")</f>
        <v>বলি খেলার ইতিহাসে, কুস্তিগীরদের জন্য প্রস্তুতির একটি সাধারণ রীতি কী ছিল?</v>
      </c>
      <c r="K104" s="6" t="str">
        <f>IFERROR(__xludf.DUMMYFUNCTION("GOOGLETRANSLATE(C104, ""en"", ""bn"")"),"ক) তারা কয়েক মাস আগে চট্টগ্রাম ভ্রমণ করত, খ) তারা লাঠি দিয়ে প্রশিক্ষণ দিত, গ) তারা ওজন নিয়ে প্রশিক্ষণ দিত, ঘ) তারা মার্শাল আর্ট অনুশীলন করত।")</f>
        <v>ক) তারা কয়েক মাস আগে চট্টগ্রাম ভ্রমণ করত, খ) তারা লাঠি দিয়ে প্রশিক্ষণ দিত, গ) তারা ওজন নিয়ে প্রশিক্ষণ দিত, ঘ) তারা মার্শাল আর্ট অনুশীলন করত।</v>
      </c>
      <c r="L104" s="5" t="str">
        <f>IFERROR(__xludf.DUMMYFUNCTION("GOOGLETRANSLATE(D104, ""en"", ""bn"")"),"ক) তারা কয়েক মাস আগে চট্টগ্রাম ভ্রমণ করত।")</f>
        <v>ক) তারা কয়েক মাস আগে চট্টগ্রাম ভ্রমণ করত।</v>
      </c>
      <c r="M104" s="6" t="str">
        <f>IFERROR(__xludf.DUMMYFUNCTION("GOOGLETRANSLATE(E104, ""en"", ""bn"")"),"প্রতিযোগিতার প্রস্তুতি এবং প্রশিক্ষণের জন্য কুস্তিগীররা শহরে আসত।")</f>
        <v>প্রতিযোগিতার প্রস্তুতি এবং প্রশিক্ষণের জন্য কুস্তিগীররা শহরে আসত।</v>
      </c>
    </row>
    <row r="105">
      <c r="A105" s="7">
        <v>104.0</v>
      </c>
      <c r="B105" s="7" t="s">
        <v>418</v>
      </c>
      <c r="C105" s="7" t="s">
        <v>419</v>
      </c>
      <c r="D105" s="7" t="s">
        <v>420</v>
      </c>
      <c r="E105" s="7" t="s">
        <v>421</v>
      </c>
      <c r="I105" s="5" t="str">
        <f>IFERROR(__xludf.DUMMYFUNCTION("GOOGLETRANSLATE(A105, ""en"", ""bn"")"),"১০৪")</f>
        <v>১০৪</v>
      </c>
      <c r="J105" s="6" t="str">
        <f>IFERROR(__xludf.DUMMYFUNCTION("GOOGLETRANSLATE(B105, ""en"", ""bn"")"),"চট্টগ্রাম অঞ্চলে কুস্তির ইতিহাস কোন যুগ থেকে শুরু হয়?")</f>
        <v>চট্টগ্রাম অঞ্চলে কুস্তির ইতিহাস কোন যুগ থেকে শুরু হয়?</v>
      </c>
      <c r="K105" s="6" t="str">
        <f>IFERROR(__xludf.DUMMYFUNCTION("GOOGLETRANSLATE(C105, ""en"", ""bn"")"),"ক) ব্রিটিশ ঔপনিবেশিক যুগ, খ) মুঘল আমল, গ) প্রাচীন যুগ, ঘ) সুলতানি আমল")</f>
        <v>ক) ব্রিটিশ ঔপনিবেশিক যুগ, খ) মুঘল আমল, গ) প্রাচীন যুগ, ঘ) সুলতানি আমল</v>
      </c>
      <c r="L105" s="5" t="str">
        <f>IFERROR(__xludf.DUMMYFUNCTION("GOOGLETRANSLATE(D105, ""en"", ""bn"")"),"খ) মুঘল আমল")</f>
        <v>খ) মুঘল আমল</v>
      </c>
      <c r="M105" s="6" t="str">
        <f>IFERROR(__xludf.DUMMYFUNCTION("GOOGLETRANSLATE(E105, ""en"", ""bn"")"),"কিছু সূত্র থেকে জানা যায় যে মুঘল আমলে কুস্তি একটি জনপ্রিয় খেলা ছিল, যেখান থেকে বলি খেলা বিবর্তিত হতে পারে।")</f>
        <v>কিছু সূত্র থেকে জানা যায় যে মুঘল আমলে কুস্তি একটি জনপ্রিয় খেলা ছিল, যেখান থেকে বলি খেলা বিবর্তিত হতে পারে।</v>
      </c>
    </row>
    <row r="106">
      <c r="A106" s="7">
        <v>105.0</v>
      </c>
      <c r="B106" s="7" t="s">
        <v>422</v>
      </c>
      <c r="C106" s="7" t="s">
        <v>423</v>
      </c>
      <c r="D106" s="7" t="s">
        <v>178</v>
      </c>
      <c r="E106" s="7" t="s">
        <v>424</v>
      </c>
      <c r="I106" s="5" t="str">
        <f>IFERROR(__xludf.DUMMYFUNCTION("GOOGLETRANSLATE(A106, ""en"", ""bn"")"),"১০৫")</f>
        <v>১০৫</v>
      </c>
      <c r="J106" s="6" t="str">
        <f>IFERROR(__xludf.DUMMYFUNCTION("GOOGLETRANSLATE(B106, ""en"", ""bn"")"),"জব্বারের এবং মোক্কারো ছাড়াও, আরেকটি ঐতিহাসিক বলি খেলা টুর্নামেন্টের নাম কী?")</f>
        <v>জব্বারের এবং মোক্কারো ছাড়াও, আরেকটি ঐতিহাসিক বলি খেলা টুর্নামেন্টের নাম কী?</v>
      </c>
      <c r="K106" s="6" t="str">
        <f>IFERROR(__xludf.DUMMYFUNCTION("GOOGLETRANSLATE(C106, ""en"", ""bn"")"),"A) সরকারের বলি খেলা, B) ডিসি সাহেবের বলি, C) মৌলবীর বলি, D) উপরের সবগুলো")</f>
        <v>A) সরকারের বলি খেলা, B) ডিসি সাহেবের বলি, C) মৌলবীর বলি, D) উপরের সবগুলো</v>
      </c>
      <c r="L106" s="5" t="str">
        <f>IFERROR(__xludf.DUMMYFUNCTION("GOOGLETRANSLATE(D106, ""en"", ""bn"")"),"ঘ) উপরের সবগুলো")</f>
        <v>ঘ) উপরের সবগুলো</v>
      </c>
      <c r="M106" s="6" t="str">
        <f>IFERROR(__xludf.DUMMYFUNCTION("GOOGLETRANSLATE(E106, ""en"", ""bn"")"),"চট্টগ্রাম অঞ্চলে আরও বেশ কয়েকটি বলি খেলা প্রতিযোগিতার ইতিহাস রয়েছে, যার প্রতিটির নিজস্ব স্থানীয় তাৎপর্য রয়েছে।")</f>
        <v>চট্টগ্রাম অঞ্চলে আরও বেশ কয়েকটি বলি খেলা প্রতিযোগিতার ইতিহাস রয়েছে, যার প্রতিটির নিজস্ব স্থানীয় তাৎপর্য রয়েছে।</v>
      </c>
    </row>
    <row r="107">
      <c r="A107" s="7">
        <v>106.0</v>
      </c>
      <c r="B107" s="7" t="s">
        <v>425</v>
      </c>
      <c r="C107" s="7" t="s">
        <v>426</v>
      </c>
      <c r="D107" s="7" t="s">
        <v>178</v>
      </c>
      <c r="E107" s="7" t="s">
        <v>427</v>
      </c>
      <c r="I107" s="5" t="str">
        <f>IFERROR(__xludf.DUMMYFUNCTION("GOOGLETRANSLATE(A107, ""en"", ""bn"")"),"১০৬")</f>
        <v>১০৬</v>
      </c>
      <c r="J107" s="6" t="str">
        <f>IFERROR(__xludf.DUMMYFUNCTION("GOOGLETRANSLATE(B107, ""en"", ""bn"")"),"বলি খেলা উৎসবে বাজানো সঙ্গীতের ঐতিহাসিক উদ্দেশ্য কী?")</f>
        <v>বলি খেলা উৎসবে বাজানো সঙ্গীতের ঐতিহাসিক উদ্দেশ্য কী?</v>
      </c>
      <c r="K107" s="6" t="str">
        <f>IFERROR(__xludf.DUMMYFUNCTION("GOOGLETRANSLATE(C107, ""en"", ""bn"")"),"ক) দর্শকদের মনোরঞ্জন করা, খ) উৎসবমুখর পরিবেশ তৈরি করা, গ) অনুষ্ঠানের সূচনা উপলক্ষে, ঘ) উপরের সবগুলোই")</f>
        <v>ক) দর্শকদের মনোরঞ্জন করা, খ) উৎসবমুখর পরিবেশ তৈরি করা, গ) অনুষ্ঠানের সূচনা উপলক্ষে, ঘ) উপরের সবগুলোই</v>
      </c>
      <c r="L107" s="5" t="str">
        <f>IFERROR(__xludf.DUMMYFUNCTION("GOOGLETRANSLATE(D107, ""en"", ""bn"")"),"ঘ) উপরের সবগুলো")</f>
        <v>ঘ) উপরের সবগুলো</v>
      </c>
      <c r="M107" s="6" t="str">
        <f>IFERROR(__xludf.DUMMYFUNCTION("GOOGLETRANSLATE(E107, ""en"", ""bn"")"),"লোকজ ঢোল এবং বাঁশি সমন্বিত সঙ্গীত উৎসবের আমেজকে আরও বাড়িয়ে তোলে এবং ম্যাচ শুরুর ইঙ্গিত দেয়।")</f>
        <v>লোকজ ঢোল এবং বাঁশি সমন্বিত সঙ্গীত উৎসবের আমেজকে আরও বাড়িয়ে তোলে এবং ম্যাচ শুরুর ইঙ্গিত দেয়।</v>
      </c>
    </row>
    <row r="108">
      <c r="A108" s="7">
        <v>107.0</v>
      </c>
      <c r="B108" s="7" t="s">
        <v>428</v>
      </c>
      <c r="C108" s="7" t="s">
        <v>429</v>
      </c>
      <c r="D108" s="7" t="s">
        <v>430</v>
      </c>
      <c r="E108" s="7" t="s">
        <v>431</v>
      </c>
      <c r="I108" s="5" t="str">
        <f>IFERROR(__xludf.DUMMYFUNCTION("GOOGLETRANSLATE(A108, ""en"", ""bn"")"),"১০৭")</f>
        <v>১০৭</v>
      </c>
      <c r="J108" s="6" t="str">
        <f>IFERROR(__xludf.DUMMYFUNCTION("GOOGLETRANSLATE(B108, ""en"", ""bn"")"),"সামাজিক বন্ধনের ক্ষেত্রে বলি খেলার ঐতিহাসিক প্রভাব কী ছিল?")</f>
        <v>সামাজিক বন্ধনের ক্ষেত্রে বলি খেলার ঐতিহাসিক প্রভাব কী ছিল?</v>
      </c>
      <c r="K108" s="6" t="str">
        <f>IFERROR(__xludf.DUMMYFUNCTION("GOOGLETRANSLATE(C108, ""en"", ""bn"")"),"ক) এটি সম্প্রদায়গুলিকে বিভক্ত করেছিল, খ) এটি সম্প্রদায়গুলিকে একত্রিত করেছিল, গ) এটি প্রতিদ্বন্দ্বিতা তৈরি করেছিল, ঘ) এর কোনও সামাজিক প্রভাব ছিল না")</f>
        <v>ক) এটি সম্প্রদায়গুলিকে বিভক্ত করেছিল, খ) এটি সম্প্রদায়গুলিকে একত্রিত করেছিল, গ) এটি প্রতিদ্বন্দ্বিতা তৈরি করেছিল, ঘ) এর কোনও সামাজিক প্রভাব ছিল না</v>
      </c>
      <c r="L108" s="5" t="str">
        <f>IFERROR(__xludf.DUMMYFUNCTION("GOOGLETRANSLATE(D108, ""en"", ""bn"")"),"খ) এটি সম্প্রদায়গুলিকে একত্রিত করেছিল")</f>
        <v>খ) এটি সম্প্রদায়গুলিকে একত্রিত করেছিল</v>
      </c>
      <c r="M108" s="6" t="str">
        <f>IFERROR(__xludf.DUMMYFUNCTION("GOOGLETRANSLATE(E108, ""en"", ""bn"")"),"এই উৎসবটি ছিল একটি প্রধান সামাজিক অনুষ্ঠান যা বিভিন্ন গ্রামের মানুষ উদযাপনের জন্য একত্রিত হত।")</f>
        <v>এই উৎসবটি ছিল একটি প্রধান সামাজিক অনুষ্ঠান যা বিভিন্ন গ্রামের মানুষ উদযাপনের জন্য একত্রিত হত।</v>
      </c>
    </row>
    <row r="109">
      <c r="A109" s="7">
        <v>108.0</v>
      </c>
      <c r="B109" s="7" t="s">
        <v>432</v>
      </c>
      <c r="C109" s="7" t="s">
        <v>433</v>
      </c>
      <c r="D109" s="7" t="s">
        <v>434</v>
      </c>
      <c r="E109" s="7" t="s">
        <v>435</v>
      </c>
      <c r="I109" s="5" t="str">
        <f>IFERROR(__xludf.DUMMYFUNCTION("GOOGLETRANSLATE(A109, ""en"", ""bn"")"),"১০৮")</f>
        <v>১০৮</v>
      </c>
      <c r="J109" s="6" t="str">
        <f>IFERROR(__xludf.DUMMYFUNCTION("GOOGLETRANSLATE(B109, ""en"", ""bn"")"),"বলি খেলার ইতিহাস প্রায়শই কীসের প্রতীক হিসেবে পালিত হয়?")</f>
        <v>বলি খেলার ইতিহাস প্রায়শই কীসের প্রতীক হিসেবে পালিত হয়?</v>
      </c>
      <c r="K109" s="6" t="str">
        <f>IFERROR(__xludf.DUMMYFUNCTION("GOOGLETRANSLATE(C109, ""en"", ""bn"")"),"ক) সম্পদ ও সমৃদ্ধি, খ) শারীরিক দক্ষতা এবং স্বাধীনতার চেতনা, গ) ধর্মীয় নিষ্ঠা, ঘ) কৃষিক্ষেত্রে সাফল্য")</f>
        <v>ক) সম্পদ ও সমৃদ্ধি, খ) শারীরিক দক্ষতা এবং স্বাধীনতার চেতনা, গ) ধর্মীয় নিষ্ঠা, ঘ) কৃষিক্ষেত্রে সাফল্য</v>
      </c>
      <c r="L109" s="5" t="str">
        <f>IFERROR(__xludf.DUMMYFUNCTION("GOOGLETRANSLATE(D109, ""en"", ""bn"")"),"খ) শারীরিক দক্ষতা এবং স্বাধীনতার চেতনা")</f>
        <v>খ) শারীরিক দক্ষতা এবং স্বাধীনতার চেতনা</v>
      </c>
      <c r="M109" s="6" t="str">
        <f>IFERROR(__xludf.DUMMYFUNCTION("GOOGLETRANSLATE(E109, ""en"", ""bn"")"),"এই খেলাটিকে বাংলাদেশী জনগণের শক্তি এবং দেশপ্রেমের প্রতীক হিসেবে দেখা হয়।")</f>
        <v>এই খেলাটিকে বাংলাদেশী জনগণের শক্তি এবং দেশপ্রেমের প্রতীক হিসেবে দেখা হয়।</v>
      </c>
    </row>
    <row r="110">
      <c r="A110" s="7">
        <v>109.0</v>
      </c>
      <c r="B110" s="7" t="s">
        <v>436</v>
      </c>
      <c r="C110" s="7" t="s">
        <v>437</v>
      </c>
      <c r="D110" s="7" t="s">
        <v>438</v>
      </c>
      <c r="E110" s="7" t="s">
        <v>439</v>
      </c>
      <c r="I110" s="5" t="str">
        <f>IFERROR(__xludf.DUMMYFUNCTION("GOOGLETRANSLATE(A110, ""en"", ""bn"")"),"১০৯")</f>
        <v>১০৯</v>
      </c>
      <c r="J110" s="6" t="str">
        <f>IFERROR(__xludf.DUMMYFUNCTION("GOOGLETRANSLATE(B110, ""en"", ""bn"")"),"বলি খেলা শুরুর দিকে একজন পেশাদার কুস্তিগীরের ডাকনাম কী ছিল?")</f>
        <v>বলি খেলা শুরুর দিকে একজন পেশাদার কুস্তিগীরের ডাকনাম কী ছিল?</v>
      </c>
      <c r="K110" s="6" t="str">
        <f>IFERROR(__xludf.DUMMYFUNCTION("GOOGLETRANSLATE(C110, ""en"", ""bn"")"),"ক) বলি, খ) ওস্তাদ, গ) পেহলওয়ান, ঘ) মোলো")</f>
        <v>ক) বলি, খ) ওস্তাদ, গ) পেহলওয়ান, ঘ) মোলো</v>
      </c>
      <c r="L110" s="5" t="str">
        <f>IFERROR(__xludf.DUMMYFUNCTION("GOOGLETRANSLATE(D110, ""en"", ""bn"")"),"গ) পেহলওয়ান")</f>
        <v>গ) পেহলওয়ান</v>
      </c>
      <c r="M110" s="6" t="str">
        <f>IFERROR(__xludf.DUMMYFUNCTION("GOOGLETRANSLATE(E110, ""en"", ""bn"")"),"""পেহলওয়ান"" (কুস্তিগীর) শব্দটি ভারতীয় উপমহাদেশে পেশাদার কুস্তিগীরদের বোঝাতে ব্যবহৃত একটি সাধারণ শব্দ ছিল।")</f>
        <v>"পেহলওয়ান" (কুস্তিগীর) শব্দটি ভারতীয় উপমহাদেশে পেশাদার কুস্তিগীরদের বোঝাতে ব্যবহৃত একটি সাধারণ শব্দ ছিল।</v>
      </c>
    </row>
    <row r="111">
      <c r="A111" s="7">
        <v>110.0</v>
      </c>
      <c r="B111" s="7" t="s">
        <v>440</v>
      </c>
      <c r="C111" s="7" t="s">
        <v>441</v>
      </c>
      <c r="D111" s="7" t="s">
        <v>442</v>
      </c>
      <c r="E111" s="7" t="s">
        <v>443</v>
      </c>
      <c r="I111" s="5" t="str">
        <f>IFERROR(__xludf.DUMMYFUNCTION("GOOGLETRANSLATE(A111, ""en"", ""bn"")"),"১১০")</f>
        <v>১১০</v>
      </c>
      <c r="J111" s="6" t="str">
        <f>IFERROR(__xludf.DUMMYFUNCTION("GOOGLETRANSLATE(B111, ""en"", ""bn"")"),"ঐতিহাসিক বলি খেলা কোন ধরণের কুস্তি কৌশলের সাথে ঘনিষ্ঠভাবে জড়িত?")</f>
        <v>ঐতিহাসিক বলি খেলা কোন ধরণের কুস্তি কৌশলের সাথে ঘনিষ্ঠভাবে জড়িত?</v>
      </c>
      <c r="K111" s="6" t="str">
        <f>IFERROR(__xludf.DUMMYFUNCTION("GOOGLETRANSLATE(C111, ""en"", ""bn"")"),"ক) জমা দেওয়া এবং শ্বাসরোধ করা, খ) ক্লিনচিং, থ্রো এবং টেকডাউন, গ) জয়েন্ট লক এবং আর্মবার, ঘ) স্থল লড়াই")</f>
        <v>ক) জমা দেওয়া এবং শ্বাসরোধ করা, খ) ক্লিনচিং, থ্রো এবং টেকডাউন, গ) জয়েন্ট লক এবং আর্মবার, ঘ) স্থল লড়াই</v>
      </c>
      <c r="L111" s="5" t="str">
        <f>IFERROR(__xludf.DUMMYFUNCTION("GOOGLETRANSLATE(D111, ""en"", ""bn"")"),"খ) ক্লিনচিং, থ্রো এবং টেকডাউন")</f>
        <v>খ) ক্লিনচিং, থ্রো এবং টেকডাউন</v>
      </c>
      <c r="M111" s="6" t="str">
        <f>IFERROR(__xludf.DUMMYFUNCTION("GOOGLETRANSLATE(E111, ""en"", ""bn"")"),"এই খেলার নিয়মগুলি প্রতিপক্ষকে কুস্তি করা এবং পরাজিত করার উপর জোর দেয়।")</f>
        <v>এই খেলার নিয়মগুলি প্রতিপক্ষকে কুস্তি করা এবং পরাজিত করার উপর জোর দেয়।</v>
      </c>
    </row>
    <row r="112">
      <c r="A112" s="7">
        <v>111.0</v>
      </c>
      <c r="B112" s="7" t="s">
        <v>444</v>
      </c>
      <c r="C112" s="7" t="s">
        <v>445</v>
      </c>
      <c r="D112" s="7" t="s">
        <v>446</v>
      </c>
      <c r="E112" s="7" t="s">
        <v>447</v>
      </c>
      <c r="I112" s="5" t="str">
        <f>IFERROR(__xludf.DUMMYFUNCTION("GOOGLETRANSLATE(A112, ""en"", ""bn"")"),"১১১")</f>
        <v>১১১</v>
      </c>
      <c r="J112" s="6" t="str">
        <f>IFERROR(__xludf.DUMMYFUNCTION("GOOGLETRANSLATE(B112, ""en"", ""bn"")"),"১২ই বৈশাখে অনুষ্ঠিত ""জব্বারের বলি খেলা""-এর ঐতিহাসিক তাৎপর্য কী ছিল?")</f>
        <v>১২ই বৈশাখে অনুষ্ঠিত "জব্বারের বলি খেলা"-এর ঐতিহাসিক তাৎপর্য কী ছিল?</v>
      </c>
      <c r="K112" s="6" t="str">
        <f>IFERROR(__xludf.DUMMYFUNCTION("GOOGLETRANSLATE(C112, ""en"", ""bn"")"),"ক) এটি একটি সুবিধাজনক তারিখ ছিল, খ) এটি একটি এলোমেলো তারিখ ছিল, গ) এটি একটি ঐতিহাসিক তাৎপর্যের জন্য নির্বাচিত তারিখ ছিল, ঘ) এটি একটি ধর্মীয় তাৎপর্যের জন্য নির্বাচিত তারিখ ছিল")</f>
        <v>ক) এটি একটি সুবিধাজনক তারিখ ছিল, খ) এটি একটি এলোমেলো তারিখ ছিল, গ) এটি একটি ঐতিহাসিক তাৎপর্যের জন্য নির্বাচিত তারিখ ছিল, ঘ) এটি একটি ধর্মীয় তাৎপর্যের জন্য নির্বাচিত তারিখ ছিল</v>
      </c>
      <c r="L112" s="5" t="str">
        <f>IFERROR(__xludf.DUMMYFUNCTION("GOOGLETRANSLATE(D112, ""en"", ""bn"")"),"গ) এটি তার ঐতিহাসিক তাৎপর্যের জন্য নির্বাচিত একটি তারিখ ছিল")</f>
        <v>গ) এটি তার ঐতিহাসিক তাৎপর্যের জন্য নির্বাচিত একটি তারিখ ছিল</v>
      </c>
      <c r="M112" s="6" t="str">
        <f>IFERROR(__xludf.DUMMYFUNCTION("GOOGLETRANSLATE(E112, ""en"", ""bn"")"),"জব্বারের টুর্নামেন্টকে মোক্কারো বলি খেলা থেকে আলাদা করার জন্য কৌশলগতভাবে এই তারিখটি বেছে নেওয়া হয়েছিল।")</f>
        <v>জব্বারের টুর্নামেন্টকে মোক্কারো বলি খেলা থেকে আলাদা করার জন্য কৌশলগতভাবে এই তারিখটি বেছে নেওয়া হয়েছিল।</v>
      </c>
    </row>
    <row r="113">
      <c r="A113" s="7">
        <v>112.0</v>
      </c>
      <c r="B113" s="7" t="s">
        <v>448</v>
      </c>
      <c r="C113" s="7" t="s">
        <v>449</v>
      </c>
      <c r="D113" s="7" t="s">
        <v>178</v>
      </c>
      <c r="E113" s="7" t="s">
        <v>450</v>
      </c>
      <c r="I113" s="5" t="str">
        <f>IFERROR(__xludf.DUMMYFUNCTION("GOOGLETRANSLATE(A113, ""en"", ""bn"")"),"১১২")</f>
        <v>১১২</v>
      </c>
      <c r="J113" s="6" t="str">
        <f>IFERROR(__xludf.DUMMYFUNCTION("GOOGLETRANSLATE(B113, ""en"", ""bn"")"),"বলি খেলা প্রতিযোগিতার আগে চট্টগ্রাম অঞ্চলে কুস্তির অস্তিত্ব সম্পর্কে কোন ঐতিহাসিক সূত্র তথ্য প্রদান করে?")</f>
        <v>বলি খেলা প্রতিযোগিতার আগে চট্টগ্রাম অঞ্চলে কুস্তির অস্তিত্ব সম্পর্কে কোন ঐতিহাসিক সূত্র তথ্য প্রদান করে?</v>
      </c>
      <c r="K113" s="6" t="str">
        <f>IFERROR(__xludf.DUMMYFUNCTION("GOOGLETRANSLATE(C113, ""en"", ""bn"")"),"ক) মৌখিক ইতিহাস, খ) লিখিত রেকর্ড, গ) লোকসঙ্গীত এবং গল্প, ঘ) উপরের সবগুলো")</f>
        <v>ক) মৌখিক ইতিহাস, খ) লিখিত রেকর্ড, গ) লোকসঙ্গীত এবং গল্প, ঘ) উপরের সবগুলো</v>
      </c>
      <c r="L113" s="5" t="str">
        <f>IFERROR(__xludf.DUMMYFUNCTION("GOOGLETRANSLATE(D113, ""en"", ""bn"")"),"ঘ) উপরের সবগুলো")</f>
        <v>ঘ) উপরের সবগুলো</v>
      </c>
      <c r="M113" s="6" t="str">
        <f>IFERROR(__xludf.DUMMYFUNCTION("GOOGLETRANSLATE(E113, ""en"", ""bn"")"),"এই অঞ্চলে কুস্তির ইতিহাস লিখিত রেকর্ড, মৌখিক ইতিহাস এবং ঐতিহ্যবাহী গল্পের সংমিশ্রণের মাধ্যমে নথিভুক্ত করা হয়েছে।")</f>
        <v>এই অঞ্চলে কুস্তির ইতিহাস লিখিত রেকর্ড, মৌখিক ইতিহাস এবং ঐতিহ্যবাহী গল্পের সংমিশ্রণের মাধ্যমে নথিভুক্ত করা হয়েছে।</v>
      </c>
    </row>
    <row r="114">
      <c r="A114" s="7">
        <v>113.0</v>
      </c>
      <c r="B114" s="7" t="s">
        <v>451</v>
      </c>
      <c r="C114" s="7" t="s">
        <v>452</v>
      </c>
      <c r="D114" s="7" t="s">
        <v>453</v>
      </c>
      <c r="E114" s="7" t="s">
        <v>454</v>
      </c>
      <c r="I114" s="5" t="str">
        <f>IFERROR(__xludf.DUMMYFUNCTION("GOOGLETRANSLATE(A114, ""en"", ""bn"")"),"১১৩")</f>
        <v>১১৩</v>
      </c>
      <c r="J114" s="6" t="str">
        <f>IFERROR(__xludf.DUMMYFUNCTION("GOOGLETRANSLATE(B114, ""en"", ""bn"")"),"বলি খেলার প্রাথমিক দিনগুলিতে, অংশগ্রহণকারীদের সাধারণ বয়স কত ছিল?")</f>
        <v>বলি খেলার প্রাথমিক দিনগুলিতে, অংশগ্রহণকারীদের সাধারণ বয়স কত ছিল?</v>
      </c>
      <c r="K114" s="6" t="str">
        <f>IFERROR(__xludf.DUMMYFUNCTION("GOOGLETRANSLATE(C114, ""en"", ""bn"")"),"ক) শিশু এবং কিশোর, খ) বিশ এবং ত্রিশের দশকের যুবক, গ) বয়স্ক ব্যক্তি, ঘ) সকল বয়সের মানুষ")</f>
        <v>ক) শিশু এবং কিশোর, খ) বিশ এবং ত্রিশের দশকের যুবক, গ) বয়স্ক ব্যক্তি, ঘ) সকল বয়সের মানুষ</v>
      </c>
      <c r="L114" s="5" t="str">
        <f>IFERROR(__xludf.DUMMYFUNCTION("GOOGLETRANSLATE(D114, ""en"", ""bn"")"),"খ) বিশ এবং ত্রিশের দশকের যুবকরা")</f>
        <v>খ) বিশ এবং ত্রিশের দশকের যুবকরা</v>
      </c>
      <c r="M114" s="6" t="str">
        <f>IFERROR(__xludf.DUMMYFUNCTION("GOOGLETRANSLATE(E114, ""en"", ""bn"")"),"এই খেলাধুলা ছিল শক্তিশালী, তরুণ পুরুষদের তাদের শারীরিক দক্ষতা প্রদর্শনের একটি উপায়।")</f>
        <v>এই খেলাধুলা ছিল শক্তিশালী, তরুণ পুরুষদের তাদের শারীরিক দক্ষতা প্রদর্শনের একটি উপায়।</v>
      </c>
    </row>
    <row r="115">
      <c r="A115" s="7">
        <v>114.0</v>
      </c>
      <c r="B115" s="7" t="s">
        <v>455</v>
      </c>
      <c r="C115" s="7" t="s">
        <v>456</v>
      </c>
      <c r="D115" s="7" t="s">
        <v>457</v>
      </c>
      <c r="E115" s="7" t="s">
        <v>458</v>
      </c>
      <c r="I115" s="5" t="str">
        <f>IFERROR(__xludf.DUMMYFUNCTION("GOOGLETRANSLATE(A115, ""en"", ""bn"")"),"১১৪")</f>
        <v>১১৪</v>
      </c>
      <c r="J115" s="6" t="str">
        <f>IFERROR(__xludf.DUMMYFUNCTION("GOOGLETRANSLATE(B115, ""en"", ""bn"")"),"বলি খেলার প্রাথমিক ইতিহাসে স্থানীয় সম্প্রদায়ের ভূমিকা কী ছিল?")</f>
        <v>বলি খেলার প্রাথমিক ইতিহাসে স্থানীয় সম্প্রদায়ের ভূমিকা কী ছিল?</v>
      </c>
      <c r="K115" s="6" t="str">
        <f>IFERROR(__xludf.DUMMYFUNCTION("GOOGLETRANSLATE(C115, ""en"", ""bn"")"),"ক) তারা বিচারক হিসেবে কাজ করেছিলেন, খ) তারা ছিলেন প্রধান দর্শক এবং সমর্থক, গ) তারা অনুষ্ঠানটি আয়োজনে সহায়তা করেছিলেন, ঘ) তারা পুরষ্কার প্রদান করেছিলেন")</f>
        <v>ক) তারা বিচারক হিসেবে কাজ করেছিলেন, খ) তারা ছিলেন প্রধান দর্শক এবং সমর্থক, গ) তারা অনুষ্ঠানটি আয়োজনে সহায়তা করেছিলেন, ঘ) তারা পুরষ্কার প্রদান করেছিলেন</v>
      </c>
      <c r="L115" s="5" t="str">
        <f>IFERROR(__xludf.DUMMYFUNCTION("GOOGLETRANSLATE(D115, ""en"", ""bn"")"),"খ) তারাই ছিলেন প্রধান দর্শক এবং সমর্থক")</f>
        <v>খ) তারাই ছিলেন প্রধান দর্শক এবং সমর্থক</v>
      </c>
      <c r="M115" s="6" t="str">
        <f>IFERROR(__xludf.DUMMYFUNCTION("GOOGLETRANSLATE(E115, ""en"", ""bn"")"),"টুর্নামেন্টের সাফল্য এবং জনপ্রিয়তার জন্য স্থানীয় সম্প্রদায়ের উৎসাহ এবং সমর্থন অত্যন্ত গুরুত্বপূর্ণ ছিল।")</f>
        <v>টুর্নামেন্টের সাফল্য এবং জনপ্রিয়তার জন্য স্থানীয় সম্প্রদায়ের উৎসাহ এবং সমর্থন অত্যন্ত গুরুত্বপূর্ণ ছিল।</v>
      </c>
    </row>
    <row r="116">
      <c r="A116" s="7">
        <v>115.0</v>
      </c>
      <c r="B116" s="7" t="s">
        <v>459</v>
      </c>
      <c r="C116" s="7" t="s">
        <v>460</v>
      </c>
      <c r="D116" s="7" t="s">
        <v>461</v>
      </c>
      <c r="E116" s="7" t="s">
        <v>462</v>
      </c>
      <c r="I116" s="5" t="str">
        <f>IFERROR(__xludf.DUMMYFUNCTION("GOOGLETRANSLATE(A116, ""en"", ""bn"")"),"১১৫")</f>
        <v>১১৫</v>
      </c>
      <c r="J116" s="6" t="str">
        <f>IFERROR(__xludf.DUMMYFUNCTION("GOOGLETRANSLATE(B116, ""en"", ""bn"")"),"বলি খেলার ইতিহাস গ্রামীণ বাংলার কোন সাংস্কৃতিক মূল্যবোধের প্রতিফলন?")</f>
        <v>বলি খেলার ইতিহাস গ্রামীণ বাংলার কোন সাংস্কৃতিক মূল্যবোধের প্রতিফলন?</v>
      </c>
      <c r="K116" s="6" t="str">
        <f>IFERROR(__xludf.DUMMYFUNCTION("GOOGLETRANSLATE(C116, ""en"", ""bn"")"),"ক) সম্পদ ও মর্যাদা, খ) ক্ষমতা ও আধিপত্য, গ) শক্তি, স্থিতিস্থাপকতা এবং সম্প্রদায়গত মনোভাব, ঘ) উদ্ভাবন এবং আধুনিকীকরণ")</f>
        <v>ক) সম্পদ ও মর্যাদা, খ) ক্ষমতা ও আধিপত্য, গ) শক্তি, স্থিতিস্থাপকতা এবং সম্প্রদায়গত মনোভাব, ঘ) উদ্ভাবন এবং আধুনিকীকরণ</v>
      </c>
      <c r="L116" s="5" t="str">
        <f>IFERROR(__xludf.DUMMYFUNCTION("GOOGLETRANSLATE(D116, ""en"", ""bn"")"),"গ) শক্তি, স্থিতিস্থাপকতা এবং সম্প্রদায়ের মনোবল")</f>
        <v>গ) শক্তি, স্থিতিস্থাপকতা এবং সম্প্রদায়ের মনোবল</v>
      </c>
      <c r="M116" s="6" t="str">
        <f>IFERROR(__xludf.DUMMYFUNCTION("GOOGLETRANSLATE(E116, ""en"", ""bn"")"),"এই খেলাধুলা কঠোর পরিশ্রম, শারীরিক শক্তি এবং সম্প্রদায়ের ঐক্যের মূল্যবোধকে মূর্ত করে।")</f>
        <v>এই খেলাধুলা কঠোর পরিশ্রম, শারীরিক শক্তি এবং সম্প্রদায়ের ঐক্যের মূল্যবোধকে মূর্ত করে।</v>
      </c>
    </row>
    <row r="117">
      <c r="A117" s="7">
        <v>116.0</v>
      </c>
      <c r="B117" s="7" t="s">
        <v>463</v>
      </c>
      <c r="C117" s="7" t="s">
        <v>464</v>
      </c>
      <c r="D117" s="7" t="s">
        <v>465</v>
      </c>
      <c r="E117" s="7" t="s">
        <v>466</v>
      </c>
      <c r="I117" s="5" t="str">
        <f>IFERROR(__xludf.DUMMYFUNCTION("GOOGLETRANSLATE(A117, ""en"", ""bn"")"),"১১৬")</f>
        <v>১১৬</v>
      </c>
      <c r="J117" s="6" t="str">
        <f>IFERROR(__xludf.DUMMYFUNCTION("GOOGLETRANSLATE(B117, ""en"", ""bn"")"),"অতীতে বলি খেলা মেলার সামাজিক তাৎপর্য কী ছিল?")</f>
        <v>অতীতে বলি খেলা মেলার সামাজিক তাৎপর্য কী ছিল?</v>
      </c>
      <c r="K117" s="6" t="str">
        <f>IFERROR(__xludf.DUMMYFUNCTION("GOOGLETRANSLATE(C117, ""en"", ""bn"")"),"ক) তারা রাজনৈতিক সমাবেশের স্থান ছিল, খ) তারা ধর্মীয় অনুষ্ঠানের স্থান ছিল, গ) তারা একটি সামাজিক ও অর্থনৈতিক কেন্দ্র ছিল, ঘ) তারা পশুপাখির ব্যবসার স্থান ছিল")</f>
        <v>ক) তারা রাজনৈতিক সমাবেশের স্থান ছিল, খ) তারা ধর্মীয় অনুষ্ঠানের স্থান ছিল, গ) তারা একটি সামাজিক ও অর্থনৈতিক কেন্দ্র ছিল, ঘ) তারা পশুপাখির ব্যবসার স্থান ছিল</v>
      </c>
      <c r="L117" s="5" t="str">
        <f>IFERROR(__xludf.DUMMYFUNCTION("GOOGLETRANSLATE(D117, ""en"", ""bn"")"),"গ) তারা ছিল একটি সামাজিক ও অর্থনৈতিক কেন্দ্র")</f>
        <v>গ) তারা ছিল একটি সামাজিক ও অর্থনৈতিক কেন্দ্র</v>
      </c>
      <c r="M117" s="6" t="str">
        <f>IFERROR(__xludf.DUMMYFUNCTION("GOOGLETRANSLATE(E117, ""en"", ""bn"")"),"মেলাগুলি মানুষের সামাজিকীকরণ, পণ্য ব্যবসা এবং সাংস্কৃতিক অনুষ্ঠান উপভোগ করার জন্য একটি স্থান প্রদান করে।")</f>
        <v>মেলাগুলি মানুষের সামাজিকীকরণ, পণ্য ব্যবসা এবং সাংস্কৃতিক অনুষ্ঠান উপভোগ করার জন্য একটি স্থান প্রদান করে।</v>
      </c>
    </row>
    <row r="118">
      <c r="A118" s="7">
        <v>117.0</v>
      </c>
      <c r="B118" s="7" t="s">
        <v>467</v>
      </c>
      <c r="C118" s="7" t="s">
        <v>468</v>
      </c>
      <c r="D118" s="7" t="s">
        <v>469</v>
      </c>
      <c r="E118" s="7" t="s">
        <v>470</v>
      </c>
      <c r="I118" s="5" t="str">
        <f>IFERROR(__xludf.DUMMYFUNCTION("GOOGLETRANSLATE(A118, ""en"", ""bn"")"),"১১৭")</f>
        <v>১১৭</v>
      </c>
      <c r="J118" s="6" t="str">
        <f>IFERROR(__xludf.DUMMYFUNCTION("GOOGLETRANSLATE(B118, ""en"", ""bn"")"),"""মোক্কার বলি খেলা"" নামটি কোন ঐতিহাসিক ব্যক্তিত্বের নাম থেকে এসেছে বলে মনে করা হয়?")</f>
        <v>"মোক্কার বলি খেলা" নামটি কোন ঐতিহাসিক ব্যক্তিত্বের নাম থেকে এসেছে বলে মনে করা হয়?</v>
      </c>
      <c r="K118" s="6" t="str">
        <f>IFERROR(__xludf.DUMMYFUNCTION("GOOGLETRANSLATE(C118, ""en"", ""bn"")"),"ক) কাদের বক্সো, খ) ইয়াসিন মাক্কি, গ) দিদার বলি, ঘ) মারমা সিং")</f>
        <v>ক) কাদের বক্সো, খ) ইয়াসিন মাক্কি, গ) দিদার বলি, ঘ) মারমা সিং</v>
      </c>
      <c r="L118" s="5" t="str">
        <f>IFERROR(__xludf.DUMMYFUNCTION("GOOGLETRANSLATE(D118, ""en"", ""bn"")"),"খ) ইয়াসিন মক্কী")</f>
        <v>খ) ইয়াসিন মক্কী</v>
      </c>
      <c r="M118" s="6" t="str">
        <f>IFERROR(__xludf.DUMMYFUNCTION("GOOGLETRANSLATE(E118, ""en"", ""bn"")"),"""মোক্কার"" নামটি ইয়াসিন মক্কির সাথে যুক্ত, যিনি সৌদি আরবের মক্কা থেকে এসে এই অঞ্চলে বসতি স্থাপন করেছিলেন।")</f>
        <v>"মোক্কার" নামটি ইয়াসিন মক্কির সাথে যুক্ত, যিনি সৌদি আরবের মক্কা থেকে এসে এই অঞ্চলে বসতি স্থাপন করেছিলেন।</v>
      </c>
    </row>
    <row r="119">
      <c r="A119" s="7">
        <v>118.0</v>
      </c>
      <c r="B119" s="7" t="s">
        <v>471</v>
      </c>
      <c r="C119" s="7" t="s">
        <v>472</v>
      </c>
      <c r="D119" s="7" t="s">
        <v>473</v>
      </c>
      <c r="E119" s="7" t="s">
        <v>474</v>
      </c>
      <c r="I119" s="5" t="str">
        <f>IFERROR(__xludf.DUMMYFUNCTION("GOOGLETRANSLATE(A119, ""en"", ""bn"")"),"১১৮")</f>
        <v>১১৮</v>
      </c>
      <c r="J119" s="6" t="str">
        <f>IFERROR(__xludf.DUMMYFUNCTION("GOOGLETRANSLATE(B119, ""en"", ""bn"")"),"বলি খেলার ঐতিহাসিক বিবর্তন কোনটি থেকে কোনটিতে রূপান্তরিত হয়েছে তা দেখায়?")</f>
        <v>বলি খেলার ঐতিহাসিক বিবর্তন কোনটি থেকে কোনটিতে রূপান্তরিত হয়েছে তা দেখায়?</v>
      </c>
      <c r="K119" s="6" t="str">
        <f>IFERROR(__xludf.DUMMYFUNCTION("GOOGLETRANSLATE(C119, ""en"", ""bn"")"),"ক) যুদ্ধ খেলা থেকে বল খেলা, খ) বিনোদনের এক রূপ থেকে দেশাত্মবোধক আন্দোলন, গ) শহুরে খেলা থেকে গ্রামীণ খেলা, ঘ) দলগত খেলা থেকে ব্যক্তিগত খেলা")</f>
        <v>ক) যুদ্ধ খেলা থেকে বল খেলা, খ) বিনোদনের এক রূপ থেকে দেশাত্মবোধক আন্দোলন, গ) শহুরে খেলা থেকে গ্রামীণ খেলা, ঘ) দলগত খেলা থেকে ব্যক্তিগত খেলা</v>
      </c>
      <c r="L119" s="5" t="str">
        <f>IFERROR(__xludf.DUMMYFUNCTION("GOOGLETRANSLATE(D119, ""en"", ""bn"")"),"খ) বিনোদনের এক রূপ থেকে দেশপ্রেমিক আন্দোলনে")</f>
        <v>খ) বিনোদনের এক রূপ থেকে দেশপ্রেমিক আন্দোলনে</v>
      </c>
      <c r="M119" s="6" t="str">
        <f>IFERROR(__xludf.DUMMYFUNCTION("GOOGLETRANSLATE(E119, ""en"", ""bn"")"),"এই খেলাটি একজন বাড়িওয়ালার তার ভাড়াটেদের বিনোদন দেওয়ার পদ্ধতি থেকে শুরু করে ঔপনিবেশিকতা বিরোধী আন্দোলনকে অনুপ্রাণিত করার হাতিয়ারে পরিণত হয়েছে।")</f>
        <v>এই খেলাটি একজন বাড়িওয়ালার তার ভাড়াটেদের বিনোদন দেওয়ার পদ্ধতি থেকে শুরু করে ঔপনিবেশিকতা বিরোধী আন্দোলনকে অনুপ্রাণিত করার হাতিয়ারে পরিণত হয়েছে।</v>
      </c>
    </row>
    <row r="120">
      <c r="A120" s="7">
        <v>119.0</v>
      </c>
      <c r="B120" s="7" t="s">
        <v>475</v>
      </c>
      <c r="C120" s="7" t="s">
        <v>476</v>
      </c>
      <c r="D120" s="7" t="s">
        <v>477</v>
      </c>
      <c r="E120" s="7" t="s">
        <v>478</v>
      </c>
      <c r="I120" s="5" t="str">
        <f>IFERROR(__xludf.DUMMYFUNCTION("GOOGLETRANSLATE(A120, ""en"", ""bn"")"),"১১৯")</f>
        <v>১১৯</v>
      </c>
      <c r="J120" s="6" t="str">
        <f>IFERROR(__xludf.DUMMYFUNCTION("GOOGLETRANSLATE(B120, ""en"", ""bn"")"),"ঐতিহাসিক বলি খেলা ম্যাচে রেফারির ভূমিকা কী ছিল?")</f>
        <v>ঐতিহাসিক বলি খেলা ম্যাচে রেফারির ভূমিকা কী ছিল?</v>
      </c>
      <c r="K120" s="6" t="str">
        <f>IFERROR(__xludf.DUMMYFUNCTION("GOOGLETRANSLATE(C120, ""en"", ""bn"")"),"ক) তারাই ছিলেন চূড়ান্ত বিচারক, খ) তারা ন্যায্যতা নিশ্চিত করেছিলেন, গ) তাদের কোনও ভূমিকা ছিল না, ঘ) তাদের ভূমিকা ছিল ন্যূনতম।")</f>
        <v>ক) তারাই ছিলেন চূড়ান্ত বিচারক, খ) তারা ন্যায্যতা নিশ্চিত করেছিলেন, গ) তাদের কোনও ভূমিকা ছিল না, ঘ) তাদের ভূমিকা ছিল ন্যূনতম।</v>
      </c>
      <c r="L120" s="5" t="str">
        <f>IFERROR(__xludf.DUMMYFUNCTION("GOOGLETRANSLATE(D120, ""en"", ""bn"")"),"খ) তারা ন্যায্য খেলা নিশ্চিত করেছিল")</f>
        <v>খ) তারা ন্যায্য খেলা নিশ্চিত করেছিল</v>
      </c>
      <c r="M120" s="6" t="str">
        <f>IFERROR(__xludf.DUMMYFUNCTION("GOOGLETRANSLATE(E120, ""en"", ""bn"")"),"রেফারির কাজ ছিল ম্যাচের নিয়ম মেনে চলা এবং প্রতিযোগিতা সুষ্ঠুভাবে সম্পন্ন করা নিশ্চিত করা।")</f>
        <v>রেফারির কাজ ছিল ম্যাচের নিয়ম মেনে চলা এবং প্রতিযোগিতা সুষ্ঠুভাবে সম্পন্ন করা নিশ্চিত করা।</v>
      </c>
    </row>
    <row r="121">
      <c r="A121" s="7">
        <v>120.0</v>
      </c>
      <c r="B121" s="7" t="s">
        <v>479</v>
      </c>
      <c r="C121" s="7" t="s">
        <v>480</v>
      </c>
      <c r="D121" s="7" t="s">
        <v>178</v>
      </c>
      <c r="E121" s="7" t="s">
        <v>481</v>
      </c>
      <c r="I121" s="5" t="str">
        <f>IFERROR(__xludf.DUMMYFUNCTION("GOOGLETRANSLATE(A121, ""en"", ""bn"")"),"১২০")</f>
        <v>১২০</v>
      </c>
      <c r="J121" s="6" t="str">
        <f>IFERROR(__xludf.DUMMYFUNCTION("GOOGLETRANSLATE(B121, ""en"", ""bn"")"),"বলি খেলা টুর্নামেন্টের উপর ""বৈশাখী মেলা""র ঐতিহাসিক প্রভাব কী ছিল?")</f>
        <v>বলি খেলা টুর্নামেন্টের উপর "বৈশাখী মেলা"র ঐতিহাসিক প্রভাব কী ছিল?</v>
      </c>
      <c r="K121" s="6" t="str">
        <f>IFERROR(__xludf.DUMMYFUNCTION("GOOGLETRANSLATE(C121, ""en"", ""bn"")"),"ক) এতে উপস্থিতি বৃদ্ধি পেয়েছে, খ) উৎসবমুখর পরিবেশ বৃদ্ধি পেয়েছে, গ) বাণিজ্যের জন্য একটি প্ল্যাটফর্ম তৈরি হয়েছে, ঘ) উপরের সবগুলোই")</f>
        <v>ক) এতে উপস্থিতি বৃদ্ধি পেয়েছে, খ) উৎসবমুখর পরিবেশ বৃদ্ধি পেয়েছে, গ) বাণিজ্যের জন্য একটি প্ল্যাটফর্ম তৈরি হয়েছে, ঘ) উপরের সবগুলোই</v>
      </c>
      <c r="L121" s="5" t="str">
        <f>IFERROR(__xludf.DUMMYFUNCTION("GOOGLETRANSLATE(D121, ""en"", ""bn"")"),"ঘ) উপরের সবগুলো")</f>
        <v>ঘ) উপরের সবগুলো</v>
      </c>
      <c r="M121" s="6" t="str">
        <f>IFERROR(__xludf.DUMMYFUNCTION("GOOGLETRANSLATE(E121, ""en"", ""bn"")"),"এই মেলাটি অনুষ্ঠানের একটি অবিচ্ছেদ্য অংশ ছিল, যা আরও বেশি দর্শক আকর্ষণ করেছিল এবং স্থানীয় অর্থনীতিকে চাঙ্গা করেছিল।")</f>
        <v>এই মেলাটি অনুষ্ঠানের একটি অবিচ্ছেদ্য অংশ ছিল, যা আরও বেশি দর্শক আকর্ষণ করেছিল এবং স্থানীয় অর্থনীতিকে চাঙ্গা করেছিল।</v>
      </c>
    </row>
    <row r="122">
      <c r="A122" s="7">
        <v>121.0</v>
      </c>
      <c r="B122" s="7" t="s">
        <v>482</v>
      </c>
      <c r="C122" s="7" t="s">
        <v>483</v>
      </c>
      <c r="D122" s="7" t="s">
        <v>484</v>
      </c>
      <c r="E122" s="7" t="s">
        <v>485</v>
      </c>
      <c r="I122" s="5" t="str">
        <f>IFERROR(__xludf.DUMMYFUNCTION("GOOGLETRANSLATE(A122, ""en"", ""bn"")"),"১২১")</f>
        <v>১২১</v>
      </c>
      <c r="J122" s="6" t="str">
        <f>IFERROR(__xludf.DUMMYFUNCTION("GOOGLETRANSLATE(B122, ""en"", ""bn"")"),"বলি খেলার ইতিহাসে, অংশগ্রহণকারীদের প্রেরণার প্রাথমিক উৎস কী ছিল?")</f>
        <v>বলি খেলার ইতিহাসে, অংশগ্রহণকারীদের প্রেরণার প্রাথমিক উৎস কী ছিল?</v>
      </c>
      <c r="K122" s="6" t="str">
        <f>IFERROR(__xludf.DUMMYFUNCTION("GOOGLETRANSLATE(C122, ""en"", ""bn"")"),"ক) নগদ পুরস্কার, খ) সামাজিক স্বীকৃতি এবং সম্মান, গ) ""চ্যাম্পিয়ন"" উপাধি, ঘ) খ এবং গ উভয়ই")</f>
        <v>ক) নগদ পুরস্কার, খ) সামাজিক স্বীকৃতি এবং সম্মান, গ) "চ্যাম্পিয়ন" উপাধি, ঘ) খ এবং গ উভয়ই</v>
      </c>
      <c r="L122" s="5" t="str">
        <f>IFERROR(__xludf.DUMMYFUNCTION("GOOGLETRANSLATE(D122, ""en"", ""bn"")"),"ঘ) খ এবং গ উভয়ই")</f>
        <v>ঘ) খ এবং গ উভয়ই</v>
      </c>
      <c r="M122" s="6" t="str">
        <f>IFERROR(__xludf.DUMMYFUNCTION("GOOGLETRANSLATE(E122, ""en"", ""bn"")"),"কুস্তিগীররা তাদের সম্প্রদায়ের কাছ থেকে প্রাপ্ত সম্মান এবং স্বীকৃতি, সেইসাথে ""চ্যাম্পিয়ন"" উপাধি দ্বারা অনুপ্রাণিত হয়েছিল।")</f>
        <v>কুস্তিগীররা তাদের সম্প্রদায়ের কাছ থেকে প্রাপ্ত সম্মান এবং স্বীকৃতি, সেইসাথে "চ্যাম্পিয়ন" উপাধি দ্বারা অনুপ্রাণিত হয়েছিল।</v>
      </c>
    </row>
    <row r="123">
      <c r="A123" s="7">
        <v>122.0</v>
      </c>
      <c r="B123" s="7" t="s">
        <v>486</v>
      </c>
      <c r="C123" s="7" t="s">
        <v>487</v>
      </c>
      <c r="D123" s="7" t="s">
        <v>488</v>
      </c>
      <c r="E123" s="7" t="s">
        <v>489</v>
      </c>
      <c r="I123" s="5" t="str">
        <f>IFERROR(__xludf.DUMMYFUNCTION("GOOGLETRANSLATE(A123, ""en"", ""bn"")"),"১২২")</f>
        <v>১২২</v>
      </c>
      <c r="J123" s="6" t="str">
        <f>IFERROR(__xludf.DUMMYFUNCTION("GOOGLETRANSLATE(B123, ""en"", ""bn"")"),"বলি খেলার ঐতিহাসিক তাৎপর্য প্রায়শই কোন অঞ্চলের মানুষের শক্তি এবং চেতনার প্রতিফলনে দেখা যায়?")</f>
        <v>বলি খেলার ঐতিহাসিক তাৎপর্য প্রায়শই কোন অঞ্চলের মানুষের শক্তি এবং চেতনার প্রতিফলনে দেখা যায়?</v>
      </c>
      <c r="K123" s="6" t="str">
        <f>IFERROR(__xludf.DUMMYFUNCTION("GOOGLETRANSLATE(C123, ""en"", ""bn"")"),"ক) গ্রামীণ বাংলাদেশ, খ) নগর ঢাকা, গ) পার্বত্য চট্টগ্রাম, ঘ) সুন্দরবন")</f>
        <v>ক) গ্রামীণ বাংলাদেশ, খ) নগর ঢাকা, গ) পার্বত্য চট্টগ্রাম, ঘ) সুন্দরবন</v>
      </c>
      <c r="L123" s="5" t="str">
        <f>IFERROR(__xludf.DUMMYFUNCTION("GOOGLETRANSLATE(D123, ""en"", ""bn"")"),"ক) গ্রামীণ বাংলাদেশ")</f>
        <v>ক) গ্রামীণ বাংলাদেশ</v>
      </c>
      <c r="M123" s="6" t="str">
        <f>IFERROR(__xludf.DUMMYFUNCTION("GOOGLETRANSLATE(E123, ""en"", ""bn"")"),"খেলাধুলা একটি লোক ঐতিহ্য যা গ্রামীণ সম্প্রদায়ের মূল্যবোধ এবং জীবনধারাকে মূর্ত করে তোলে।")</f>
        <v>খেলাধুলা একটি লোক ঐতিহ্য যা গ্রামীণ সম্প্রদায়ের মূল্যবোধ এবং জীবনধারাকে মূর্ত করে তোলে।</v>
      </c>
    </row>
    <row r="124">
      <c r="A124" s="7">
        <v>123.0</v>
      </c>
      <c r="B124" s="7" t="s">
        <v>490</v>
      </c>
      <c r="C124" s="7" t="s">
        <v>491</v>
      </c>
      <c r="D124" s="7" t="s">
        <v>492</v>
      </c>
      <c r="E124" s="7" t="s">
        <v>493</v>
      </c>
      <c r="I124" s="5" t="str">
        <f>IFERROR(__xludf.DUMMYFUNCTION("GOOGLETRANSLATE(A124, ""en"", ""bn"")"),"১২৩")</f>
        <v>১২৩</v>
      </c>
      <c r="J124" s="6" t="str">
        <f>IFERROR(__xludf.DUMMYFUNCTION("GOOGLETRANSLATE(B124, ""en"", ""bn"")"),"একটি নির্দিষ্ট সময়ের পরে বলি খেলা জনপ্রিয়তা হ্রাসের একটি উল্লেখযোগ্য ঐতিহাসিক কারণ কী ছিল?")</f>
        <v>একটি নির্দিষ্ট সময়ের পরে বলি খেলা জনপ্রিয়তা হ্রাসের একটি উল্লেখযোগ্য ঐতিহাসিক কারণ কী ছিল?</v>
      </c>
      <c r="K124" s="6" t="str">
        <f>IFERROR(__xludf.DUMMYFUNCTION("GOOGLETRANSLATE(C124, ""en"", ""bn"")"),"ক) অন্যান্য খেলার উত্থান, খ) সরকারি সহায়তার অভাব, গ) এটি অবৈধ হয়ে ওঠে, ঘ) এটি অত্যধিক হিংসাত্মক হয়ে ওঠে")</f>
        <v>ক) অন্যান্য খেলার উত্থান, খ) সরকারি সহায়তার অভাব, গ) এটি অবৈধ হয়ে ওঠে, ঘ) এটি অত্যধিক হিংসাত্মক হয়ে ওঠে</v>
      </c>
      <c r="L124" s="5" t="str">
        <f>IFERROR(__xludf.DUMMYFUNCTION("GOOGLETRANSLATE(D124, ""en"", ""bn"")"),"ক) অন্যান্য খেলার উত্থান")</f>
        <v>ক) অন্যান্য খেলার উত্থান</v>
      </c>
      <c r="M124" s="6" t="str">
        <f>IFERROR(__xludf.DUMMYFUNCTION("GOOGLETRANSLATE(E124, ""en"", ""bn"")"),"ক্রিকেট এবং ফুটবলের মতো আন্তর্জাতিক খেলার উত্থান বলি খেলার মতো লোকজ খেলার পতনে অবদান রাখে।")</f>
        <v>ক্রিকেট এবং ফুটবলের মতো আন্তর্জাতিক খেলার উত্থান বলি খেলার মতো লোকজ খেলার পতনে অবদান রাখে।</v>
      </c>
    </row>
    <row r="125">
      <c r="A125" s="7">
        <v>124.0</v>
      </c>
      <c r="B125" s="7" t="s">
        <v>494</v>
      </c>
      <c r="C125" s="7" t="s">
        <v>495</v>
      </c>
      <c r="D125" s="7" t="s">
        <v>496</v>
      </c>
      <c r="E125" s="7" t="s">
        <v>497</v>
      </c>
      <c r="I125" s="5" t="str">
        <f>IFERROR(__xludf.DUMMYFUNCTION("GOOGLETRANSLATE(A125, ""en"", ""bn"")"),"১২৪")</f>
        <v>১২৪</v>
      </c>
      <c r="J125" s="6" t="str">
        <f>IFERROR(__xludf.DUMMYFUNCTION("GOOGLETRANSLATE(B125, ""en"", ""bn"")"),"স্থানীয় অর্থনীতির সাথে বলি খেলার ঐতিহাসিক সম্পর্ক কী ছিল?")</f>
        <v>স্থানীয় অর্থনীতির সাথে বলি খেলার ঐতিহাসিক সম্পর্ক কী ছিল?</v>
      </c>
      <c r="K125" s="6" t="str">
        <f>IFERROR(__xludf.DUMMYFUNCTION("GOOGLETRANSLATE(C125, ""en"", ""bn"")"),"ক) বলি খেলা লাভজনক ছিল না, খ) বলি খেলা আয়ের একটি প্রধান উৎস ছিল, গ) এর সাথে যুক্ত মেলা অর্থনীতিকে চাঙ্গা করেছিল, ঘ) অর্থনীতিতে এর কোনও প্রভাব পড়েনি")</f>
        <v>ক) বলি খেলা লাভজনক ছিল না, খ) বলি খেলা আয়ের একটি প্রধান উৎস ছিল, গ) এর সাথে যুক্ত মেলা অর্থনীতিকে চাঙ্গা করেছিল, ঘ) অর্থনীতিতে এর কোনও প্রভাব পড়েনি</v>
      </c>
      <c r="L125" s="5" t="str">
        <f>IFERROR(__xludf.DUMMYFUNCTION("GOOGLETRANSLATE(D125, ""en"", ""bn"")"),"গ) এর সাথে সম্পর্কিত মেলা অর্থনীতিকে চাঙ্গা করেছে")</f>
        <v>গ) এর সাথে সম্পর্কিত মেলা অর্থনীতিকে চাঙ্গা করেছে</v>
      </c>
      <c r="M125" s="6" t="str">
        <f>IFERROR(__xludf.DUMMYFUNCTION("GOOGLETRANSLATE(E125, ""en"", ""bn"")"),"বিশাল মেলায় বিক্রেতা এবং ক্রেতাদের সমাগম ঘটে, যা স্থানীয় অর্থনীতিতে উল্লেখযোগ্য উন্নতি সাধন করে।")</f>
        <v>বিশাল মেলায় বিক্রেতা এবং ক্রেতাদের সমাগম ঘটে, যা স্থানীয় অর্থনীতিতে উল্লেখযোগ্য উন্নতি সাধন করে।</v>
      </c>
    </row>
    <row r="126">
      <c r="A126" s="7">
        <v>125.0</v>
      </c>
      <c r="B126" s="7" t="s">
        <v>498</v>
      </c>
      <c r="C126" s="7" t="s">
        <v>499</v>
      </c>
      <c r="D126" s="7" t="s">
        <v>500</v>
      </c>
      <c r="E126" s="7" t="s">
        <v>501</v>
      </c>
      <c r="I126" s="5" t="str">
        <f>IFERROR(__xludf.DUMMYFUNCTION("GOOGLETRANSLATE(A126, ""en"", ""bn"")"),"১২৫")</f>
        <v>১২৫</v>
      </c>
      <c r="J126" s="6" t="str">
        <f>IFERROR(__xludf.DUMMYFUNCTION("GOOGLETRANSLATE(B126, ""en"", ""bn"")"),"বলি খেলা টুর্নামেন্টের বিজয়ীকে কোন ঐতিহাসিক উপাধি দেওয়া হয়েছিল?")</f>
        <v>বলি খেলা টুর্নামেন্টের বিজয়ীকে কোন ঐতিহাসিক উপাধি দেওয়া হয়েছিল?</v>
      </c>
      <c r="K126" s="6" t="str">
        <f>IFERROR(__xludf.DUMMYFUNCTION("GOOGLETRANSLATE(C126, ""en"", ""bn"")"),"ক) ""বলি"", খ) ""চ্যাম্পিয়ন"", গ) ""রাজা"", ঘ) ""মোলো""")</f>
        <v>ক) "বলি", খ) "চ্যাম্পিয়ন", গ) "রাজা", ঘ) "মোলো"</v>
      </c>
      <c r="L126" s="5" t="str">
        <f>IFERROR(__xludf.DUMMYFUNCTION("GOOGLETRANSLATE(D126, ""en"", ""bn"")"),"খ) ""চ্যাম্পিয়ন""")</f>
        <v>খ) "চ্যাম্পিয়ন"</v>
      </c>
      <c r="M126" s="6" t="str">
        <f>IFERROR(__xludf.DUMMYFUNCTION("GOOGLETRANSLATE(E126, ""en"", ""bn"")"),"বিজয়ীকে আনুষ্ঠানিকভাবে টুর্নামেন্টের ""চ্যাম্পিয়ন"" ঘোষণা করা হয়, যার ফলে তিনি প্রচুর সম্মান ও শ্রদ্ধা অর্জন করেন।")</f>
        <v>বিজয়ীকে আনুষ্ঠানিকভাবে টুর্নামেন্টের "চ্যাম্পিয়ন" ঘোষণা করা হয়, যার ফলে তিনি প্রচুর সম্মান ও শ্রদ্ধা অর্জন করেন।</v>
      </c>
    </row>
    <row r="127">
      <c r="J127" s="8"/>
      <c r="K127" s="8"/>
      <c r="M127" s="8"/>
    </row>
    <row r="128">
      <c r="J128" s="8"/>
      <c r="K128" s="8"/>
      <c r="M128" s="8"/>
    </row>
    <row r="129">
      <c r="J129" s="8"/>
      <c r="K129" s="8"/>
      <c r="M129" s="8"/>
    </row>
    <row r="130">
      <c r="J130" s="8"/>
      <c r="K130" s="8"/>
      <c r="M130" s="8"/>
    </row>
    <row r="131">
      <c r="J131" s="8"/>
      <c r="K131" s="8"/>
      <c r="M131" s="8"/>
    </row>
    <row r="132">
      <c r="J132" s="8"/>
      <c r="K132" s="8"/>
      <c r="M132" s="8"/>
    </row>
    <row r="133">
      <c r="J133" s="8"/>
      <c r="K133" s="8"/>
      <c r="M133" s="8"/>
    </row>
    <row r="134">
      <c r="J134" s="8"/>
      <c r="K134" s="8"/>
      <c r="M134" s="8"/>
    </row>
    <row r="135">
      <c r="J135" s="8"/>
      <c r="K135" s="8"/>
      <c r="M135" s="8"/>
    </row>
    <row r="136">
      <c r="J136" s="8"/>
      <c r="K136" s="8"/>
      <c r="M136" s="8"/>
    </row>
    <row r="137">
      <c r="J137" s="8"/>
      <c r="K137" s="8"/>
      <c r="M137" s="8"/>
    </row>
    <row r="138">
      <c r="J138" s="8"/>
      <c r="K138" s="8"/>
      <c r="M138" s="8"/>
    </row>
    <row r="139">
      <c r="J139" s="8"/>
      <c r="K139" s="8"/>
      <c r="M139" s="8"/>
    </row>
    <row r="140">
      <c r="J140" s="8"/>
      <c r="K140" s="8"/>
      <c r="M140" s="8"/>
    </row>
    <row r="141">
      <c r="J141" s="8"/>
      <c r="K141" s="8"/>
      <c r="M141" s="8"/>
    </row>
    <row r="142">
      <c r="J142" s="8"/>
      <c r="K142" s="8"/>
      <c r="M142" s="8"/>
    </row>
    <row r="143">
      <c r="J143" s="8"/>
      <c r="K143" s="8"/>
      <c r="M143" s="8"/>
    </row>
    <row r="144">
      <c r="J144" s="8"/>
      <c r="K144" s="8"/>
      <c r="M144" s="8"/>
    </row>
    <row r="145">
      <c r="J145" s="8"/>
      <c r="K145" s="8"/>
      <c r="M145" s="8"/>
    </row>
    <row r="146">
      <c r="J146" s="8"/>
      <c r="K146" s="8"/>
      <c r="M146" s="8"/>
    </row>
    <row r="147">
      <c r="J147" s="8"/>
      <c r="K147" s="8"/>
      <c r="M147" s="8"/>
    </row>
    <row r="148">
      <c r="J148" s="8"/>
      <c r="K148" s="8"/>
      <c r="M148" s="8"/>
    </row>
    <row r="149">
      <c r="J149" s="8"/>
      <c r="K149" s="8"/>
      <c r="M149" s="8"/>
    </row>
    <row r="150">
      <c r="J150" s="8"/>
      <c r="K150" s="8"/>
      <c r="M150" s="8"/>
    </row>
    <row r="151">
      <c r="J151" s="8"/>
      <c r="K151" s="8"/>
      <c r="M151" s="8"/>
    </row>
    <row r="152">
      <c r="J152" s="8"/>
      <c r="K152" s="8"/>
      <c r="M152" s="8"/>
    </row>
    <row r="153">
      <c r="J153" s="8"/>
      <c r="K153" s="8"/>
      <c r="M153" s="8"/>
    </row>
    <row r="154">
      <c r="J154" s="8"/>
      <c r="K154" s="8"/>
      <c r="M154" s="8"/>
    </row>
    <row r="155">
      <c r="J155" s="8"/>
      <c r="K155" s="8"/>
      <c r="M155" s="8"/>
    </row>
    <row r="156">
      <c r="J156" s="8"/>
      <c r="K156" s="8"/>
      <c r="M156" s="8"/>
    </row>
    <row r="157">
      <c r="J157" s="8"/>
      <c r="K157" s="8"/>
      <c r="M157" s="8"/>
    </row>
    <row r="158">
      <c r="J158" s="8"/>
      <c r="K158" s="8"/>
      <c r="M158" s="8"/>
    </row>
    <row r="159">
      <c r="J159" s="8"/>
      <c r="K159" s="8"/>
      <c r="M159" s="8"/>
    </row>
    <row r="160">
      <c r="J160" s="8"/>
      <c r="K160" s="8"/>
      <c r="M160" s="8"/>
    </row>
    <row r="161">
      <c r="J161" s="8"/>
      <c r="K161" s="8"/>
      <c r="M161" s="8"/>
    </row>
    <row r="162">
      <c r="J162" s="8"/>
      <c r="K162" s="8"/>
      <c r="M162" s="8"/>
    </row>
    <row r="163">
      <c r="J163" s="8"/>
      <c r="K163" s="8"/>
      <c r="M163" s="8"/>
    </row>
    <row r="164">
      <c r="J164" s="8"/>
      <c r="K164" s="8"/>
      <c r="M164" s="8"/>
    </row>
    <row r="165">
      <c r="J165" s="8"/>
      <c r="K165" s="8"/>
      <c r="M165" s="8"/>
    </row>
    <row r="166">
      <c r="J166" s="8"/>
      <c r="K166" s="8"/>
      <c r="M166" s="8"/>
    </row>
    <row r="167">
      <c r="J167" s="8"/>
      <c r="K167" s="8"/>
      <c r="M167" s="8"/>
    </row>
    <row r="168">
      <c r="J168" s="8"/>
      <c r="K168" s="8"/>
      <c r="M168" s="8"/>
    </row>
    <row r="169">
      <c r="J169" s="8"/>
      <c r="K169" s="8"/>
      <c r="M169" s="8"/>
    </row>
    <row r="170">
      <c r="J170" s="8"/>
      <c r="K170" s="8"/>
      <c r="M170" s="8"/>
    </row>
    <row r="171">
      <c r="J171" s="8"/>
      <c r="K171" s="8"/>
      <c r="M171" s="8"/>
    </row>
    <row r="172">
      <c r="J172" s="8"/>
      <c r="K172" s="8"/>
      <c r="M172" s="8"/>
    </row>
    <row r="173">
      <c r="J173" s="8"/>
      <c r="K173" s="8"/>
      <c r="M173" s="8"/>
    </row>
    <row r="174">
      <c r="J174" s="8"/>
      <c r="K174" s="8"/>
      <c r="M174" s="8"/>
    </row>
    <row r="175">
      <c r="J175" s="8"/>
      <c r="K175" s="8"/>
      <c r="M175" s="8"/>
    </row>
    <row r="176">
      <c r="J176" s="8"/>
      <c r="K176" s="8"/>
      <c r="M176" s="8"/>
    </row>
    <row r="177">
      <c r="J177" s="8"/>
      <c r="K177" s="8"/>
      <c r="M177" s="8"/>
    </row>
    <row r="178">
      <c r="J178" s="8"/>
      <c r="K178" s="8"/>
      <c r="M178" s="8"/>
    </row>
    <row r="179">
      <c r="J179" s="8"/>
      <c r="K179" s="8"/>
      <c r="M179" s="8"/>
    </row>
    <row r="180">
      <c r="J180" s="8"/>
      <c r="K180" s="8"/>
      <c r="M180" s="8"/>
    </row>
    <row r="181">
      <c r="J181" s="8"/>
      <c r="K181" s="8"/>
      <c r="M181" s="8"/>
    </row>
    <row r="182">
      <c r="J182" s="8"/>
      <c r="K182" s="8"/>
      <c r="M182" s="8"/>
    </row>
    <row r="183">
      <c r="J183" s="8"/>
      <c r="K183" s="8"/>
      <c r="M183" s="8"/>
    </row>
    <row r="184">
      <c r="J184" s="8"/>
      <c r="K184" s="8"/>
      <c r="M184" s="8"/>
    </row>
    <row r="185">
      <c r="J185" s="8"/>
      <c r="K185" s="8"/>
      <c r="M185" s="8"/>
    </row>
    <row r="186">
      <c r="J186" s="8"/>
      <c r="K186" s="8"/>
      <c r="M186" s="8"/>
    </row>
    <row r="187">
      <c r="J187" s="8"/>
      <c r="K187" s="8"/>
      <c r="M187" s="8"/>
    </row>
    <row r="188">
      <c r="J188" s="8"/>
      <c r="K188" s="8"/>
      <c r="M188" s="8"/>
    </row>
    <row r="189">
      <c r="J189" s="8"/>
      <c r="K189" s="8"/>
      <c r="M189" s="8"/>
    </row>
    <row r="190">
      <c r="J190" s="8"/>
      <c r="K190" s="8"/>
      <c r="M190" s="8"/>
    </row>
    <row r="191">
      <c r="J191" s="8"/>
      <c r="K191" s="8"/>
      <c r="M191" s="8"/>
    </row>
    <row r="192">
      <c r="J192" s="8"/>
      <c r="K192" s="8"/>
      <c r="M192" s="8"/>
    </row>
    <row r="193">
      <c r="J193" s="8"/>
      <c r="K193" s="8"/>
      <c r="M193" s="8"/>
    </row>
    <row r="194">
      <c r="J194" s="8"/>
      <c r="K194" s="8"/>
      <c r="M194" s="8"/>
    </row>
    <row r="195">
      <c r="J195" s="8"/>
      <c r="K195" s="8"/>
      <c r="M195" s="8"/>
    </row>
    <row r="196">
      <c r="J196" s="8"/>
      <c r="K196" s="8"/>
      <c r="M196" s="8"/>
    </row>
    <row r="197">
      <c r="J197" s="8"/>
      <c r="K197" s="8"/>
      <c r="M197" s="8"/>
    </row>
    <row r="198">
      <c r="J198" s="8"/>
      <c r="K198" s="8"/>
      <c r="M198" s="8"/>
    </row>
    <row r="199">
      <c r="J199" s="8"/>
      <c r="K199" s="8"/>
      <c r="M199" s="8"/>
    </row>
    <row r="200">
      <c r="J200" s="8"/>
      <c r="K200" s="8"/>
      <c r="M200" s="8"/>
    </row>
    <row r="201">
      <c r="J201" s="8"/>
      <c r="K201" s="8"/>
      <c r="M201" s="8"/>
    </row>
    <row r="202">
      <c r="J202" s="8"/>
      <c r="K202" s="8"/>
      <c r="M202" s="8"/>
    </row>
    <row r="203">
      <c r="J203" s="8"/>
      <c r="K203" s="8"/>
      <c r="M203" s="8"/>
    </row>
    <row r="204">
      <c r="J204" s="8"/>
      <c r="K204" s="8"/>
      <c r="M204" s="8"/>
    </row>
    <row r="205">
      <c r="J205" s="8"/>
      <c r="K205" s="8"/>
      <c r="M205" s="8"/>
    </row>
    <row r="206">
      <c r="J206" s="8"/>
      <c r="K206" s="8"/>
      <c r="M206" s="8"/>
    </row>
    <row r="207">
      <c r="J207" s="8"/>
      <c r="K207" s="8"/>
      <c r="M207" s="8"/>
    </row>
    <row r="208">
      <c r="J208" s="8"/>
      <c r="K208" s="8"/>
      <c r="M208" s="8"/>
    </row>
    <row r="209">
      <c r="J209" s="8"/>
      <c r="K209" s="8"/>
      <c r="M209" s="8"/>
    </row>
    <row r="210">
      <c r="J210" s="8"/>
      <c r="K210" s="8"/>
      <c r="M210" s="8"/>
    </row>
    <row r="211">
      <c r="J211" s="8"/>
      <c r="K211" s="8"/>
      <c r="M211" s="8"/>
    </row>
    <row r="212">
      <c r="J212" s="8"/>
      <c r="K212" s="8"/>
      <c r="M212" s="8"/>
    </row>
    <row r="213">
      <c r="J213" s="8"/>
      <c r="K213" s="8"/>
      <c r="M213" s="8"/>
    </row>
    <row r="214">
      <c r="J214" s="8"/>
      <c r="K214" s="8"/>
      <c r="M214" s="8"/>
    </row>
    <row r="215">
      <c r="J215" s="8"/>
      <c r="K215" s="8"/>
      <c r="M215" s="8"/>
    </row>
    <row r="216">
      <c r="J216" s="8"/>
      <c r="K216" s="8"/>
      <c r="M216" s="8"/>
    </row>
    <row r="217">
      <c r="J217" s="8"/>
      <c r="K217" s="8"/>
      <c r="M217" s="8"/>
    </row>
    <row r="218">
      <c r="J218" s="8"/>
      <c r="K218" s="8"/>
      <c r="M218" s="8"/>
    </row>
    <row r="219">
      <c r="J219" s="8"/>
      <c r="K219" s="8"/>
      <c r="M219" s="8"/>
    </row>
    <row r="220">
      <c r="J220" s="8"/>
      <c r="K220" s="8"/>
      <c r="M220" s="8"/>
    </row>
    <row r="221">
      <c r="J221" s="8"/>
      <c r="K221" s="8"/>
      <c r="M221" s="8"/>
    </row>
    <row r="222">
      <c r="J222" s="8"/>
      <c r="K222" s="8"/>
      <c r="M222" s="8"/>
    </row>
    <row r="223">
      <c r="J223" s="8"/>
      <c r="K223" s="8"/>
      <c r="M223" s="8"/>
    </row>
    <row r="224">
      <c r="J224" s="8"/>
      <c r="K224" s="8"/>
      <c r="M224" s="8"/>
    </row>
    <row r="225">
      <c r="J225" s="8"/>
      <c r="K225" s="8"/>
      <c r="M225" s="8"/>
    </row>
    <row r="226">
      <c r="J226" s="8"/>
      <c r="K226" s="8"/>
      <c r="M226" s="8"/>
    </row>
    <row r="227">
      <c r="J227" s="8"/>
      <c r="K227" s="8"/>
      <c r="M227" s="8"/>
    </row>
    <row r="228">
      <c r="J228" s="8"/>
      <c r="K228" s="8"/>
      <c r="M228" s="8"/>
    </row>
    <row r="229">
      <c r="J229" s="8"/>
      <c r="K229" s="8"/>
      <c r="M229" s="8"/>
    </row>
    <row r="230">
      <c r="J230" s="8"/>
      <c r="K230" s="8"/>
      <c r="M230" s="8"/>
    </row>
    <row r="231">
      <c r="J231" s="8"/>
      <c r="K231" s="8"/>
      <c r="M231" s="8"/>
    </row>
    <row r="232">
      <c r="J232" s="8"/>
      <c r="K232" s="8"/>
      <c r="M232" s="8"/>
    </row>
    <row r="233">
      <c r="J233" s="8"/>
      <c r="K233" s="8"/>
      <c r="M233" s="8"/>
    </row>
    <row r="234">
      <c r="J234" s="8"/>
      <c r="K234" s="8"/>
      <c r="M234" s="8"/>
    </row>
    <row r="235">
      <c r="J235" s="8"/>
      <c r="K235" s="8"/>
      <c r="M235" s="8"/>
    </row>
    <row r="236">
      <c r="J236" s="8"/>
      <c r="K236" s="8"/>
      <c r="M236" s="8"/>
    </row>
    <row r="237">
      <c r="J237" s="8"/>
      <c r="K237" s="8"/>
      <c r="M237" s="8"/>
    </row>
    <row r="238">
      <c r="J238" s="8"/>
      <c r="K238" s="8"/>
      <c r="M238" s="8"/>
    </row>
    <row r="239">
      <c r="J239" s="8"/>
      <c r="K239" s="8"/>
      <c r="M239" s="8"/>
    </row>
    <row r="240">
      <c r="J240" s="8"/>
      <c r="K240" s="8"/>
      <c r="M240" s="8"/>
    </row>
    <row r="241">
      <c r="J241" s="8"/>
      <c r="K241" s="8"/>
      <c r="M241" s="8"/>
    </row>
    <row r="242">
      <c r="J242" s="8"/>
      <c r="K242" s="8"/>
      <c r="M242" s="8"/>
    </row>
    <row r="243">
      <c r="J243" s="8"/>
      <c r="K243" s="8"/>
      <c r="M243" s="8"/>
    </row>
    <row r="244">
      <c r="J244" s="8"/>
      <c r="K244" s="8"/>
      <c r="M244" s="8"/>
    </row>
    <row r="245">
      <c r="J245" s="8"/>
      <c r="K245" s="8"/>
      <c r="M245" s="8"/>
    </row>
    <row r="246">
      <c r="J246" s="8"/>
      <c r="K246" s="8"/>
      <c r="M246" s="8"/>
    </row>
    <row r="247">
      <c r="J247" s="8"/>
      <c r="K247" s="8"/>
      <c r="M247" s="8"/>
    </row>
    <row r="248">
      <c r="J248" s="8"/>
      <c r="K248" s="8"/>
      <c r="M248" s="8"/>
    </row>
    <row r="249">
      <c r="J249" s="8"/>
      <c r="K249" s="8"/>
      <c r="M249" s="8"/>
    </row>
    <row r="250">
      <c r="J250" s="8"/>
      <c r="K250" s="8"/>
      <c r="M250" s="8"/>
    </row>
    <row r="251">
      <c r="J251" s="8"/>
      <c r="K251" s="8"/>
      <c r="M251" s="8"/>
    </row>
    <row r="252">
      <c r="J252" s="8"/>
      <c r="K252" s="8"/>
      <c r="M252" s="8"/>
    </row>
    <row r="253">
      <c r="J253" s="8"/>
      <c r="K253" s="8"/>
      <c r="M253" s="8"/>
    </row>
    <row r="254">
      <c r="J254" s="8"/>
      <c r="K254" s="8"/>
      <c r="M254" s="8"/>
    </row>
    <row r="255">
      <c r="J255" s="8"/>
      <c r="K255" s="8"/>
      <c r="M255" s="8"/>
    </row>
    <row r="256">
      <c r="J256" s="8"/>
      <c r="K256" s="8"/>
      <c r="M256" s="8"/>
    </row>
    <row r="257">
      <c r="J257" s="8"/>
      <c r="K257" s="8"/>
      <c r="M257" s="8"/>
    </row>
    <row r="258">
      <c r="J258" s="8"/>
      <c r="K258" s="8"/>
      <c r="M258" s="8"/>
    </row>
    <row r="259">
      <c r="J259" s="8"/>
      <c r="K259" s="8"/>
      <c r="M259" s="8"/>
    </row>
    <row r="260">
      <c r="J260" s="8"/>
      <c r="K260" s="8"/>
      <c r="M260" s="8"/>
    </row>
    <row r="261">
      <c r="J261" s="8"/>
      <c r="K261" s="8"/>
      <c r="M261" s="8"/>
    </row>
    <row r="262">
      <c r="J262" s="8"/>
      <c r="K262" s="8"/>
      <c r="M262" s="8"/>
    </row>
    <row r="263">
      <c r="J263" s="8"/>
      <c r="K263" s="8"/>
      <c r="M263" s="8"/>
    </row>
    <row r="264">
      <c r="J264" s="8"/>
      <c r="K264" s="8"/>
      <c r="M264" s="8"/>
    </row>
    <row r="265">
      <c r="J265" s="8"/>
      <c r="K265" s="8"/>
      <c r="M265" s="8"/>
    </row>
    <row r="266">
      <c r="J266" s="8"/>
      <c r="K266" s="8"/>
      <c r="M266" s="8"/>
    </row>
    <row r="267">
      <c r="J267" s="8"/>
      <c r="K267" s="8"/>
      <c r="M267" s="8"/>
    </row>
    <row r="268">
      <c r="J268" s="8"/>
      <c r="K268" s="8"/>
      <c r="M268" s="8"/>
    </row>
    <row r="269">
      <c r="J269" s="8"/>
      <c r="K269" s="8"/>
      <c r="M269" s="8"/>
    </row>
    <row r="270">
      <c r="J270" s="8"/>
      <c r="K270" s="8"/>
      <c r="M270" s="8"/>
    </row>
    <row r="271">
      <c r="J271" s="8"/>
      <c r="K271" s="8"/>
      <c r="M271" s="8"/>
    </row>
    <row r="272">
      <c r="J272" s="8"/>
      <c r="K272" s="8"/>
      <c r="M272" s="8"/>
    </row>
    <row r="273">
      <c r="J273" s="8"/>
      <c r="K273" s="8"/>
      <c r="M273" s="8"/>
    </row>
    <row r="274">
      <c r="J274" s="8"/>
      <c r="K274" s="8"/>
      <c r="M274" s="8"/>
    </row>
    <row r="275">
      <c r="J275" s="8"/>
      <c r="K275" s="8"/>
      <c r="M275" s="8"/>
    </row>
    <row r="276">
      <c r="J276" s="8"/>
      <c r="K276" s="8"/>
      <c r="M276" s="8"/>
    </row>
    <row r="277">
      <c r="J277" s="8"/>
      <c r="K277" s="8"/>
      <c r="M277" s="8"/>
    </row>
    <row r="278">
      <c r="J278" s="8"/>
      <c r="K278" s="8"/>
      <c r="M278" s="8"/>
    </row>
    <row r="279">
      <c r="J279" s="8"/>
      <c r="K279" s="8"/>
      <c r="M279" s="8"/>
    </row>
    <row r="280">
      <c r="J280" s="8"/>
      <c r="K280" s="8"/>
      <c r="M280" s="8"/>
    </row>
    <row r="281">
      <c r="J281" s="8"/>
      <c r="K281" s="8"/>
      <c r="M281" s="8"/>
    </row>
    <row r="282">
      <c r="J282" s="8"/>
      <c r="K282" s="8"/>
      <c r="M282" s="8"/>
    </row>
    <row r="283">
      <c r="J283" s="8"/>
      <c r="K283" s="8"/>
      <c r="M283" s="8"/>
    </row>
    <row r="284">
      <c r="J284" s="8"/>
      <c r="K284" s="8"/>
      <c r="M284" s="8"/>
    </row>
    <row r="285">
      <c r="J285" s="8"/>
      <c r="K285" s="8"/>
      <c r="M285" s="8"/>
    </row>
    <row r="286">
      <c r="J286" s="8"/>
      <c r="K286" s="8"/>
      <c r="M286" s="8"/>
    </row>
    <row r="287">
      <c r="J287" s="8"/>
      <c r="K287" s="8"/>
      <c r="M287" s="8"/>
    </row>
    <row r="288">
      <c r="J288" s="8"/>
      <c r="K288" s="8"/>
      <c r="M288" s="8"/>
    </row>
    <row r="289">
      <c r="J289" s="8"/>
      <c r="K289" s="8"/>
      <c r="M289" s="8"/>
    </row>
    <row r="290">
      <c r="J290" s="8"/>
      <c r="K290" s="8"/>
      <c r="M290" s="8"/>
    </row>
    <row r="291">
      <c r="J291" s="8"/>
      <c r="K291" s="8"/>
      <c r="M291" s="8"/>
    </row>
    <row r="292">
      <c r="J292" s="8"/>
      <c r="K292" s="8"/>
      <c r="M292" s="8"/>
    </row>
    <row r="293">
      <c r="J293" s="8"/>
      <c r="K293" s="8"/>
      <c r="M293" s="8"/>
    </row>
    <row r="294">
      <c r="J294" s="8"/>
      <c r="K294" s="8"/>
      <c r="M294" s="8"/>
    </row>
    <row r="295">
      <c r="J295" s="8"/>
      <c r="K295" s="8"/>
      <c r="M295" s="8"/>
    </row>
    <row r="296">
      <c r="J296" s="8"/>
      <c r="K296" s="8"/>
      <c r="M296" s="8"/>
    </row>
    <row r="297">
      <c r="J297" s="8"/>
      <c r="K297" s="8"/>
      <c r="M297" s="8"/>
    </row>
    <row r="298">
      <c r="J298" s="8"/>
      <c r="K298" s="8"/>
      <c r="M298" s="8"/>
    </row>
    <row r="299">
      <c r="J299" s="8"/>
      <c r="K299" s="8"/>
      <c r="M299" s="8"/>
    </row>
    <row r="300">
      <c r="J300" s="8"/>
      <c r="K300" s="8"/>
      <c r="M300" s="8"/>
    </row>
    <row r="301">
      <c r="J301" s="8"/>
      <c r="K301" s="8"/>
      <c r="M301" s="8"/>
    </row>
    <row r="302">
      <c r="J302" s="8"/>
      <c r="K302" s="8"/>
      <c r="M302" s="8"/>
    </row>
    <row r="303">
      <c r="J303" s="8"/>
      <c r="K303" s="8"/>
      <c r="M303" s="8"/>
    </row>
    <row r="304">
      <c r="J304" s="8"/>
      <c r="K304" s="8"/>
      <c r="M304" s="8"/>
    </row>
    <row r="305">
      <c r="J305" s="8"/>
      <c r="K305" s="8"/>
      <c r="M305" s="8"/>
    </row>
    <row r="306">
      <c r="J306" s="8"/>
      <c r="K306" s="8"/>
      <c r="M306" s="8"/>
    </row>
    <row r="307">
      <c r="J307" s="8"/>
      <c r="K307" s="8"/>
      <c r="M307" s="8"/>
    </row>
    <row r="308">
      <c r="J308" s="8"/>
      <c r="K308" s="8"/>
      <c r="M308" s="8"/>
    </row>
    <row r="309">
      <c r="J309" s="8"/>
      <c r="K309" s="8"/>
      <c r="M309" s="8"/>
    </row>
    <row r="310">
      <c r="J310" s="8"/>
      <c r="K310" s="8"/>
      <c r="M310" s="8"/>
    </row>
    <row r="311">
      <c r="J311" s="8"/>
      <c r="K311" s="8"/>
      <c r="M311" s="8"/>
    </row>
    <row r="312">
      <c r="J312" s="8"/>
      <c r="K312" s="8"/>
      <c r="M312" s="8"/>
    </row>
    <row r="313">
      <c r="J313" s="8"/>
      <c r="K313" s="8"/>
      <c r="M313" s="8"/>
    </row>
    <row r="314">
      <c r="J314" s="8"/>
      <c r="K314" s="8"/>
      <c r="M314" s="8"/>
    </row>
    <row r="315">
      <c r="J315" s="8"/>
      <c r="K315" s="8"/>
      <c r="M315" s="8"/>
    </row>
    <row r="316">
      <c r="J316" s="8"/>
      <c r="K316" s="8"/>
      <c r="M316" s="8"/>
    </row>
    <row r="317">
      <c r="J317" s="8"/>
      <c r="K317" s="8"/>
      <c r="M317" s="8"/>
    </row>
    <row r="318">
      <c r="J318" s="8"/>
      <c r="K318" s="8"/>
      <c r="M318" s="8"/>
    </row>
    <row r="319">
      <c r="J319" s="8"/>
      <c r="K319" s="8"/>
      <c r="M319" s="8"/>
    </row>
    <row r="320">
      <c r="J320" s="8"/>
      <c r="K320" s="8"/>
      <c r="M320" s="8"/>
    </row>
    <row r="321">
      <c r="J321" s="8"/>
      <c r="K321" s="8"/>
      <c r="M321" s="8"/>
    </row>
    <row r="322">
      <c r="J322" s="8"/>
      <c r="K322" s="8"/>
      <c r="M322" s="8"/>
    </row>
    <row r="323">
      <c r="J323" s="8"/>
      <c r="K323" s="8"/>
      <c r="M323" s="8"/>
    </row>
    <row r="324">
      <c r="J324" s="8"/>
      <c r="K324" s="8"/>
      <c r="M324" s="8"/>
    </row>
    <row r="325">
      <c r="J325" s="8"/>
      <c r="K325" s="8"/>
      <c r="M325" s="8"/>
    </row>
    <row r="326">
      <c r="J326" s="8"/>
      <c r="K326" s="8"/>
      <c r="M326" s="8"/>
    </row>
    <row r="327">
      <c r="J327" s="8"/>
      <c r="K327" s="8"/>
      <c r="M327" s="8"/>
    </row>
    <row r="328">
      <c r="J328" s="8"/>
      <c r="K328" s="8"/>
      <c r="M328" s="8"/>
    </row>
    <row r="329">
      <c r="J329" s="8"/>
      <c r="K329" s="8"/>
      <c r="M329" s="8"/>
    </row>
    <row r="330">
      <c r="J330" s="8"/>
      <c r="K330" s="8"/>
      <c r="M330" s="8"/>
    </row>
    <row r="331">
      <c r="J331" s="8"/>
      <c r="K331" s="8"/>
      <c r="M331" s="8"/>
    </row>
    <row r="332">
      <c r="J332" s="8"/>
      <c r="K332" s="8"/>
      <c r="M332" s="8"/>
    </row>
    <row r="333">
      <c r="J333" s="8"/>
      <c r="K333" s="8"/>
      <c r="M333" s="8"/>
    </row>
    <row r="334">
      <c r="J334" s="8"/>
      <c r="K334" s="8"/>
      <c r="M334" s="8"/>
    </row>
    <row r="335">
      <c r="J335" s="8"/>
      <c r="K335" s="8"/>
      <c r="M335" s="8"/>
    </row>
    <row r="336">
      <c r="J336" s="8"/>
      <c r="K336" s="8"/>
      <c r="M336" s="8"/>
    </row>
    <row r="337">
      <c r="J337" s="8"/>
      <c r="K337" s="8"/>
      <c r="M337" s="8"/>
    </row>
    <row r="338">
      <c r="J338" s="8"/>
      <c r="K338" s="8"/>
      <c r="M338" s="8"/>
    </row>
    <row r="339">
      <c r="J339" s="8"/>
      <c r="K339" s="8"/>
      <c r="M339" s="8"/>
    </row>
    <row r="340">
      <c r="J340" s="8"/>
      <c r="K340" s="8"/>
      <c r="M340" s="8"/>
    </row>
    <row r="341">
      <c r="J341" s="8"/>
      <c r="K341" s="8"/>
      <c r="M341" s="8"/>
    </row>
    <row r="342">
      <c r="J342" s="8"/>
      <c r="K342" s="8"/>
      <c r="M342" s="8"/>
    </row>
    <row r="343">
      <c r="J343" s="8"/>
      <c r="K343" s="8"/>
      <c r="M343" s="8"/>
    </row>
    <row r="344">
      <c r="J344" s="8"/>
      <c r="K344" s="8"/>
      <c r="M344" s="8"/>
    </row>
    <row r="345">
      <c r="J345" s="8"/>
      <c r="K345" s="8"/>
      <c r="M345" s="8"/>
    </row>
    <row r="346">
      <c r="J346" s="8"/>
      <c r="K346" s="8"/>
      <c r="M346" s="8"/>
    </row>
    <row r="347">
      <c r="J347" s="8"/>
      <c r="K347" s="8"/>
      <c r="M347" s="8"/>
    </row>
    <row r="348">
      <c r="J348" s="8"/>
      <c r="K348" s="8"/>
      <c r="M348" s="8"/>
    </row>
    <row r="349">
      <c r="J349" s="8"/>
      <c r="K349" s="8"/>
      <c r="M349" s="8"/>
    </row>
    <row r="350">
      <c r="J350" s="8"/>
      <c r="K350" s="8"/>
      <c r="M350" s="8"/>
    </row>
    <row r="351">
      <c r="J351" s="8"/>
      <c r="K351" s="8"/>
      <c r="M351" s="8"/>
    </row>
    <row r="352">
      <c r="J352" s="8"/>
      <c r="K352" s="8"/>
      <c r="M352" s="8"/>
    </row>
    <row r="353">
      <c r="J353" s="8"/>
      <c r="K353" s="8"/>
      <c r="M353" s="8"/>
    </row>
    <row r="354">
      <c r="J354" s="8"/>
      <c r="K354" s="8"/>
      <c r="M354" s="8"/>
    </row>
    <row r="355">
      <c r="J355" s="8"/>
      <c r="K355" s="8"/>
      <c r="M355" s="8"/>
    </row>
    <row r="356">
      <c r="J356" s="8"/>
      <c r="K356" s="8"/>
      <c r="M356" s="8"/>
    </row>
    <row r="357">
      <c r="J357" s="8"/>
      <c r="K357" s="8"/>
      <c r="M357" s="8"/>
    </row>
    <row r="358">
      <c r="J358" s="8"/>
      <c r="K358" s="8"/>
      <c r="M358" s="8"/>
    </row>
    <row r="359">
      <c r="J359" s="8"/>
      <c r="K359" s="8"/>
      <c r="M359" s="8"/>
    </row>
    <row r="360">
      <c r="J360" s="8"/>
      <c r="K360" s="8"/>
      <c r="M360" s="8"/>
    </row>
    <row r="361">
      <c r="J361" s="8"/>
      <c r="K361" s="8"/>
      <c r="M361" s="8"/>
    </row>
    <row r="362">
      <c r="J362" s="8"/>
      <c r="K362" s="8"/>
      <c r="M362" s="8"/>
    </row>
    <row r="363">
      <c r="J363" s="8"/>
      <c r="K363" s="8"/>
      <c r="M363" s="8"/>
    </row>
    <row r="364">
      <c r="J364" s="8"/>
      <c r="K364" s="8"/>
      <c r="M364" s="8"/>
    </row>
    <row r="365">
      <c r="J365" s="8"/>
      <c r="K365" s="8"/>
      <c r="M365" s="8"/>
    </row>
    <row r="366">
      <c r="J366" s="8"/>
      <c r="K366" s="8"/>
      <c r="M366" s="8"/>
    </row>
    <row r="367">
      <c r="J367" s="8"/>
      <c r="K367" s="8"/>
      <c r="M367" s="8"/>
    </row>
    <row r="368">
      <c r="J368" s="8"/>
      <c r="K368" s="8"/>
      <c r="M368" s="8"/>
    </row>
    <row r="369">
      <c r="J369" s="8"/>
      <c r="K369" s="8"/>
      <c r="M369" s="8"/>
    </row>
    <row r="370">
      <c r="J370" s="8"/>
      <c r="K370" s="8"/>
      <c r="M370" s="8"/>
    </row>
    <row r="371">
      <c r="J371" s="8"/>
      <c r="K371" s="8"/>
      <c r="M371" s="8"/>
    </row>
    <row r="372">
      <c r="J372" s="8"/>
      <c r="K372" s="8"/>
      <c r="M372" s="8"/>
    </row>
    <row r="373">
      <c r="J373" s="8"/>
      <c r="K373" s="8"/>
      <c r="M373" s="8"/>
    </row>
    <row r="374">
      <c r="J374" s="8"/>
      <c r="K374" s="8"/>
      <c r="M374" s="8"/>
    </row>
    <row r="375">
      <c r="J375" s="8"/>
      <c r="K375" s="8"/>
      <c r="M375" s="8"/>
    </row>
    <row r="376">
      <c r="J376" s="8"/>
      <c r="K376" s="8"/>
      <c r="M376" s="8"/>
    </row>
    <row r="377">
      <c r="J377" s="8"/>
      <c r="K377" s="8"/>
      <c r="M377" s="8"/>
    </row>
    <row r="378">
      <c r="J378" s="8"/>
      <c r="K378" s="8"/>
      <c r="M378" s="8"/>
    </row>
    <row r="379">
      <c r="J379" s="8"/>
      <c r="K379" s="8"/>
      <c r="M379" s="8"/>
    </row>
    <row r="380">
      <c r="J380" s="8"/>
      <c r="K380" s="8"/>
      <c r="M380" s="8"/>
    </row>
    <row r="381">
      <c r="J381" s="8"/>
      <c r="K381" s="8"/>
      <c r="M381" s="8"/>
    </row>
    <row r="382">
      <c r="J382" s="8"/>
      <c r="K382" s="8"/>
      <c r="M382" s="8"/>
    </row>
    <row r="383">
      <c r="J383" s="8"/>
      <c r="K383" s="8"/>
      <c r="M383" s="8"/>
    </row>
    <row r="384">
      <c r="J384" s="8"/>
      <c r="K384" s="8"/>
      <c r="M384" s="8"/>
    </row>
    <row r="385">
      <c r="J385" s="8"/>
      <c r="K385" s="8"/>
      <c r="M385" s="8"/>
    </row>
    <row r="386">
      <c r="J386" s="8"/>
      <c r="K386" s="8"/>
      <c r="M386" s="8"/>
    </row>
    <row r="387">
      <c r="J387" s="8"/>
      <c r="K387" s="8"/>
      <c r="M387" s="8"/>
    </row>
    <row r="388">
      <c r="J388" s="8"/>
      <c r="K388" s="8"/>
      <c r="M388" s="8"/>
    </row>
    <row r="389">
      <c r="J389" s="8"/>
      <c r="K389" s="8"/>
      <c r="M389" s="8"/>
    </row>
    <row r="390">
      <c r="J390" s="8"/>
      <c r="K390" s="8"/>
      <c r="M390" s="8"/>
    </row>
    <row r="391">
      <c r="J391" s="8"/>
      <c r="K391" s="8"/>
      <c r="M391" s="8"/>
    </row>
    <row r="392">
      <c r="J392" s="8"/>
      <c r="K392" s="8"/>
      <c r="M392" s="8"/>
    </row>
    <row r="393">
      <c r="J393" s="8"/>
      <c r="K393" s="8"/>
      <c r="M393" s="8"/>
    </row>
    <row r="394">
      <c r="J394" s="8"/>
      <c r="K394" s="8"/>
      <c r="M394" s="8"/>
    </row>
    <row r="395">
      <c r="J395" s="8"/>
      <c r="K395" s="8"/>
      <c r="M395" s="8"/>
    </row>
    <row r="396">
      <c r="J396" s="8"/>
      <c r="K396" s="8"/>
      <c r="M396" s="8"/>
    </row>
    <row r="397">
      <c r="J397" s="8"/>
      <c r="K397" s="8"/>
      <c r="M397" s="8"/>
    </row>
    <row r="398">
      <c r="J398" s="8"/>
      <c r="K398" s="8"/>
      <c r="M398" s="8"/>
    </row>
    <row r="399">
      <c r="J399" s="8"/>
      <c r="K399" s="8"/>
      <c r="M399" s="8"/>
    </row>
    <row r="400">
      <c r="J400" s="8"/>
      <c r="K400" s="8"/>
      <c r="M400" s="8"/>
    </row>
    <row r="401">
      <c r="J401" s="8"/>
      <c r="K401" s="8"/>
      <c r="M401" s="8"/>
    </row>
    <row r="402">
      <c r="J402" s="8"/>
      <c r="K402" s="8"/>
      <c r="M402" s="8"/>
    </row>
    <row r="403">
      <c r="J403" s="8"/>
      <c r="K403" s="8"/>
      <c r="M403" s="8"/>
    </row>
    <row r="404">
      <c r="J404" s="8"/>
      <c r="K404" s="8"/>
      <c r="M404" s="8"/>
    </row>
    <row r="405">
      <c r="J405" s="8"/>
      <c r="K405" s="8"/>
      <c r="M405" s="8"/>
    </row>
    <row r="406">
      <c r="J406" s="8"/>
      <c r="K406" s="8"/>
      <c r="M406" s="8"/>
    </row>
    <row r="407">
      <c r="J407" s="8"/>
      <c r="K407" s="8"/>
      <c r="M407" s="8"/>
    </row>
    <row r="408">
      <c r="J408" s="8"/>
      <c r="K408" s="8"/>
      <c r="M408" s="8"/>
    </row>
    <row r="409">
      <c r="J409" s="8"/>
      <c r="K409" s="8"/>
      <c r="M409" s="8"/>
    </row>
    <row r="410">
      <c r="J410" s="8"/>
      <c r="K410" s="8"/>
      <c r="M410" s="8"/>
    </row>
    <row r="411">
      <c r="J411" s="8"/>
      <c r="K411" s="8"/>
      <c r="M411" s="8"/>
    </row>
    <row r="412">
      <c r="J412" s="8"/>
      <c r="K412" s="8"/>
      <c r="M412" s="8"/>
    </row>
    <row r="413">
      <c r="J413" s="8"/>
      <c r="K413" s="8"/>
      <c r="M413" s="8"/>
    </row>
    <row r="414">
      <c r="J414" s="8"/>
      <c r="K414" s="8"/>
      <c r="M414" s="8"/>
    </row>
    <row r="415">
      <c r="J415" s="8"/>
      <c r="K415" s="8"/>
      <c r="M415" s="8"/>
    </row>
    <row r="416">
      <c r="J416" s="8"/>
      <c r="K416" s="8"/>
      <c r="M416" s="8"/>
    </row>
    <row r="417">
      <c r="J417" s="8"/>
      <c r="K417" s="8"/>
      <c r="M417" s="8"/>
    </row>
    <row r="418">
      <c r="J418" s="8"/>
      <c r="K418" s="8"/>
      <c r="M418" s="8"/>
    </row>
    <row r="419">
      <c r="J419" s="8"/>
      <c r="K419" s="8"/>
      <c r="M419" s="8"/>
    </row>
    <row r="420">
      <c r="J420" s="8"/>
      <c r="K420" s="8"/>
      <c r="M420" s="8"/>
    </row>
    <row r="421">
      <c r="J421" s="8"/>
      <c r="K421" s="8"/>
      <c r="M421" s="8"/>
    </row>
    <row r="422">
      <c r="J422" s="8"/>
      <c r="K422" s="8"/>
      <c r="M422" s="8"/>
    </row>
    <row r="423">
      <c r="J423" s="8"/>
      <c r="K423" s="8"/>
      <c r="M423" s="8"/>
    </row>
    <row r="424">
      <c r="J424" s="8"/>
      <c r="K424" s="8"/>
      <c r="M424" s="8"/>
    </row>
    <row r="425">
      <c r="J425" s="8"/>
      <c r="K425" s="8"/>
      <c r="M425" s="8"/>
    </row>
    <row r="426">
      <c r="J426" s="8"/>
      <c r="K426" s="8"/>
      <c r="M426" s="8"/>
    </row>
    <row r="427">
      <c r="J427" s="8"/>
      <c r="K427" s="8"/>
      <c r="M427" s="8"/>
    </row>
    <row r="428">
      <c r="J428" s="8"/>
      <c r="K428" s="8"/>
      <c r="M428" s="8"/>
    </row>
    <row r="429">
      <c r="J429" s="8"/>
      <c r="K429" s="8"/>
      <c r="M429" s="8"/>
    </row>
    <row r="430">
      <c r="J430" s="8"/>
      <c r="K430" s="8"/>
      <c r="M430" s="8"/>
    </row>
    <row r="431">
      <c r="J431" s="8"/>
      <c r="K431" s="8"/>
      <c r="M431" s="8"/>
    </row>
    <row r="432">
      <c r="J432" s="8"/>
      <c r="K432" s="8"/>
      <c r="M432" s="8"/>
    </row>
    <row r="433">
      <c r="J433" s="8"/>
      <c r="K433" s="8"/>
      <c r="M433" s="8"/>
    </row>
    <row r="434">
      <c r="J434" s="8"/>
      <c r="K434" s="8"/>
      <c r="M434" s="8"/>
    </row>
    <row r="435">
      <c r="J435" s="8"/>
      <c r="K435" s="8"/>
      <c r="M435" s="8"/>
    </row>
    <row r="436">
      <c r="J436" s="8"/>
      <c r="K436" s="8"/>
      <c r="M436" s="8"/>
    </row>
    <row r="437">
      <c r="J437" s="8"/>
      <c r="K437" s="8"/>
      <c r="M437" s="8"/>
    </row>
    <row r="438">
      <c r="J438" s="8"/>
      <c r="K438" s="8"/>
      <c r="M438" s="8"/>
    </row>
    <row r="439">
      <c r="J439" s="8"/>
      <c r="K439" s="8"/>
      <c r="M439" s="8"/>
    </row>
    <row r="440">
      <c r="J440" s="8"/>
      <c r="K440" s="8"/>
      <c r="M440" s="8"/>
    </row>
    <row r="441">
      <c r="J441" s="8"/>
      <c r="K441" s="8"/>
      <c r="M441" s="8"/>
    </row>
    <row r="442">
      <c r="J442" s="8"/>
      <c r="K442" s="8"/>
      <c r="M442" s="8"/>
    </row>
    <row r="443">
      <c r="J443" s="8"/>
      <c r="K443" s="8"/>
      <c r="M443" s="8"/>
    </row>
    <row r="444">
      <c r="J444" s="8"/>
      <c r="K444" s="8"/>
      <c r="M444" s="8"/>
    </row>
    <row r="445">
      <c r="J445" s="8"/>
      <c r="K445" s="8"/>
      <c r="M445" s="8"/>
    </row>
    <row r="446">
      <c r="J446" s="8"/>
      <c r="K446" s="8"/>
      <c r="M446" s="8"/>
    </row>
    <row r="447">
      <c r="J447" s="8"/>
      <c r="K447" s="8"/>
      <c r="M447" s="8"/>
    </row>
    <row r="448">
      <c r="J448" s="8"/>
      <c r="K448" s="8"/>
      <c r="M448" s="8"/>
    </row>
    <row r="449">
      <c r="J449" s="8"/>
      <c r="K449" s="8"/>
      <c r="M449" s="8"/>
    </row>
    <row r="450">
      <c r="J450" s="8"/>
      <c r="K450" s="8"/>
      <c r="M450" s="8"/>
    </row>
    <row r="451">
      <c r="J451" s="8"/>
      <c r="K451" s="8"/>
      <c r="M451" s="8"/>
    </row>
    <row r="452">
      <c r="J452" s="8"/>
      <c r="K452" s="8"/>
      <c r="M452" s="8"/>
    </row>
    <row r="453">
      <c r="J453" s="8"/>
      <c r="K453" s="8"/>
      <c r="M453" s="8"/>
    </row>
    <row r="454">
      <c r="J454" s="8"/>
      <c r="K454" s="8"/>
      <c r="M454" s="8"/>
    </row>
    <row r="455">
      <c r="J455" s="8"/>
      <c r="K455" s="8"/>
      <c r="M455" s="8"/>
    </row>
    <row r="456">
      <c r="J456" s="8"/>
      <c r="K456" s="8"/>
      <c r="M456" s="8"/>
    </row>
    <row r="457">
      <c r="J457" s="8"/>
      <c r="K457" s="8"/>
      <c r="M457" s="8"/>
    </row>
    <row r="458">
      <c r="J458" s="8"/>
      <c r="K458" s="8"/>
      <c r="M458" s="8"/>
    </row>
    <row r="459">
      <c r="J459" s="8"/>
      <c r="K459" s="8"/>
      <c r="M459" s="8"/>
    </row>
    <row r="460">
      <c r="J460" s="8"/>
      <c r="K460" s="8"/>
      <c r="M460" s="8"/>
    </row>
    <row r="461">
      <c r="J461" s="8"/>
      <c r="K461" s="8"/>
      <c r="M461" s="8"/>
    </row>
    <row r="462">
      <c r="J462" s="8"/>
      <c r="K462" s="8"/>
      <c r="M462" s="8"/>
    </row>
    <row r="463">
      <c r="J463" s="8"/>
      <c r="K463" s="8"/>
      <c r="M463" s="8"/>
    </row>
    <row r="464">
      <c r="J464" s="8"/>
      <c r="K464" s="8"/>
      <c r="M464" s="8"/>
    </row>
    <row r="465">
      <c r="J465" s="8"/>
      <c r="K465" s="8"/>
      <c r="M465" s="8"/>
    </row>
    <row r="466">
      <c r="J466" s="8"/>
      <c r="K466" s="8"/>
      <c r="M466" s="8"/>
    </row>
    <row r="467">
      <c r="J467" s="8"/>
      <c r="K467" s="8"/>
      <c r="M467" s="8"/>
    </row>
    <row r="468">
      <c r="J468" s="8"/>
      <c r="K468" s="8"/>
      <c r="M468" s="8"/>
    </row>
    <row r="469">
      <c r="J469" s="8"/>
      <c r="K469" s="8"/>
      <c r="M469" s="8"/>
    </row>
    <row r="470">
      <c r="J470" s="8"/>
      <c r="K470" s="8"/>
      <c r="M470" s="8"/>
    </row>
    <row r="471">
      <c r="J471" s="8"/>
      <c r="K471" s="8"/>
      <c r="M471" s="8"/>
    </row>
    <row r="472">
      <c r="J472" s="8"/>
      <c r="K472" s="8"/>
      <c r="M472" s="8"/>
    </row>
    <row r="473">
      <c r="J473" s="8"/>
      <c r="K473" s="8"/>
      <c r="M473" s="8"/>
    </row>
    <row r="474">
      <c r="J474" s="8"/>
      <c r="K474" s="8"/>
      <c r="M474" s="8"/>
    </row>
    <row r="475">
      <c r="J475" s="8"/>
      <c r="K475" s="8"/>
      <c r="M475" s="8"/>
    </row>
    <row r="476">
      <c r="J476" s="8"/>
      <c r="K476" s="8"/>
      <c r="M476" s="8"/>
    </row>
    <row r="477">
      <c r="J477" s="8"/>
      <c r="K477" s="8"/>
      <c r="M477" s="8"/>
    </row>
    <row r="478">
      <c r="J478" s="8"/>
      <c r="K478" s="8"/>
      <c r="M478" s="8"/>
    </row>
    <row r="479">
      <c r="J479" s="8"/>
      <c r="K479" s="8"/>
      <c r="M479" s="8"/>
    </row>
    <row r="480">
      <c r="J480" s="8"/>
      <c r="K480" s="8"/>
      <c r="M480" s="8"/>
    </row>
    <row r="481">
      <c r="J481" s="8"/>
      <c r="K481" s="8"/>
      <c r="M481" s="8"/>
    </row>
    <row r="482">
      <c r="J482" s="8"/>
      <c r="K482" s="8"/>
      <c r="M482" s="8"/>
    </row>
    <row r="483">
      <c r="J483" s="8"/>
      <c r="K483" s="8"/>
      <c r="M483" s="8"/>
    </row>
    <row r="484">
      <c r="J484" s="8"/>
      <c r="K484" s="8"/>
      <c r="M484" s="8"/>
    </row>
    <row r="485">
      <c r="J485" s="8"/>
      <c r="K485" s="8"/>
      <c r="M485" s="8"/>
    </row>
    <row r="486">
      <c r="J486" s="8"/>
      <c r="K486" s="8"/>
      <c r="M486" s="8"/>
    </row>
    <row r="487">
      <c r="J487" s="8"/>
      <c r="K487" s="8"/>
      <c r="M487" s="8"/>
    </row>
    <row r="488">
      <c r="J488" s="8"/>
      <c r="K488" s="8"/>
      <c r="M488" s="8"/>
    </row>
    <row r="489">
      <c r="J489" s="8"/>
      <c r="K489" s="8"/>
      <c r="M489" s="8"/>
    </row>
    <row r="490">
      <c r="J490" s="8"/>
      <c r="K490" s="8"/>
      <c r="M490" s="8"/>
    </row>
    <row r="491">
      <c r="J491" s="8"/>
      <c r="K491" s="8"/>
      <c r="M491" s="8"/>
    </row>
    <row r="492">
      <c r="J492" s="8"/>
      <c r="K492" s="8"/>
      <c r="M492" s="8"/>
    </row>
    <row r="493">
      <c r="J493" s="8"/>
      <c r="K493" s="8"/>
      <c r="M493" s="8"/>
    </row>
    <row r="494">
      <c r="J494" s="8"/>
      <c r="K494" s="8"/>
      <c r="M494" s="8"/>
    </row>
    <row r="495">
      <c r="J495" s="8"/>
      <c r="K495" s="8"/>
      <c r="M495" s="8"/>
    </row>
    <row r="496">
      <c r="J496" s="8"/>
      <c r="K496" s="8"/>
      <c r="M496" s="8"/>
    </row>
    <row r="497">
      <c r="J497" s="8"/>
      <c r="K497" s="8"/>
      <c r="M497" s="8"/>
    </row>
    <row r="498">
      <c r="J498" s="8"/>
      <c r="K498" s="8"/>
      <c r="M498" s="8"/>
    </row>
    <row r="499">
      <c r="J499" s="8"/>
      <c r="K499" s="8"/>
      <c r="M499" s="8"/>
    </row>
    <row r="500">
      <c r="J500" s="8"/>
      <c r="K500" s="8"/>
      <c r="M500" s="8"/>
    </row>
    <row r="501">
      <c r="J501" s="8"/>
      <c r="K501" s="8"/>
      <c r="M501" s="8"/>
    </row>
    <row r="502">
      <c r="J502" s="8"/>
      <c r="K502" s="8"/>
      <c r="M502" s="8"/>
    </row>
    <row r="503">
      <c r="J503" s="8"/>
      <c r="K503" s="8"/>
      <c r="M503" s="8"/>
    </row>
    <row r="504">
      <c r="J504" s="8"/>
      <c r="K504" s="8"/>
      <c r="M504" s="8"/>
    </row>
    <row r="505">
      <c r="J505" s="8"/>
      <c r="K505" s="8"/>
      <c r="M505" s="8"/>
    </row>
    <row r="506">
      <c r="J506" s="8"/>
      <c r="K506" s="8"/>
      <c r="M506" s="8"/>
    </row>
    <row r="507">
      <c r="J507" s="8"/>
      <c r="K507" s="8"/>
      <c r="M507" s="8"/>
    </row>
    <row r="508">
      <c r="J508" s="8"/>
      <c r="K508" s="8"/>
      <c r="M508" s="8"/>
    </row>
    <row r="509">
      <c r="J509" s="8"/>
      <c r="K509" s="8"/>
      <c r="M509" s="8"/>
    </row>
    <row r="510">
      <c r="J510" s="8"/>
      <c r="K510" s="8"/>
      <c r="M510" s="8"/>
    </row>
    <row r="511">
      <c r="J511" s="8"/>
      <c r="K511" s="8"/>
      <c r="M511" s="8"/>
    </row>
    <row r="512">
      <c r="J512" s="8"/>
      <c r="K512" s="8"/>
      <c r="M512" s="8"/>
    </row>
    <row r="513">
      <c r="J513" s="8"/>
      <c r="K513" s="8"/>
      <c r="M513" s="8"/>
    </row>
    <row r="514">
      <c r="J514" s="8"/>
      <c r="K514" s="8"/>
      <c r="M514" s="8"/>
    </row>
    <row r="515">
      <c r="J515" s="8"/>
      <c r="K515" s="8"/>
      <c r="M515" s="8"/>
    </row>
    <row r="516">
      <c r="J516" s="8"/>
      <c r="K516" s="8"/>
      <c r="M516" s="8"/>
    </row>
    <row r="517">
      <c r="J517" s="8"/>
      <c r="K517" s="8"/>
      <c r="M517" s="8"/>
    </row>
    <row r="518">
      <c r="J518" s="8"/>
      <c r="K518" s="8"/>
      <c r="M518" s="8"/>
    </row>
    <row r="519">
      <c r="J519" s="8"/>
      <c r="K519" s="8"/>
      <c r="M519" s="8"/>
    </row>
    <row r="520">
      <c r="J520" s="8"/>
      <c r="K520" s="8"/>
      <c r="M520" s="8"/>
    </row>
    <row r="521">
      <c r="J521" s="8"/>
      <c r="K521" s="8"/>
      <c r="M521" s="8"/>
    </row>
    <row r="522">
      <c r="J522" s="8"/>
      <c r="K522" s="8"/>
      <c r="M522" s="8"/>
    </row>
    <row r="523">
      <c r="J523" s="8"/>
      <c r="K523" s="8"/>
      <c r="M523" s="8"/>
    </row>
    <row r="524">
      <c r="J524" s="8"/>
      <c r="K524" s="8"/>
      <c r="M524" s="8"/>
    </row>
    <row r="525">
      <c r="J525" s="8"/>
      <c r="K525" s="8"/>
      <c r="M525" s="8"/>
    </row>
    <row r="526">
      <c r="J526" s="8"/>
      <c r="K526" s="8"/>
      <c r="M526" s="8"/>
    </row>
    <row r="527">
      <c r="J527" s="8"/>
      <c r="K527" s="8"/>
      <c r="M527" s="8"/>
    </row>
    <row r="528">
      <c r="J528" s="8"/>
      <c r="K528" s="8"/>
      <c r="M528" s="8"/>
    </row>
    <row r="529">
      <c r="J529" s="8"/>
      <c r="K529" s="8"/>
      <c r="M529" s="8"/>
    </row>
    <row r="530">
      <c r="J530" s="8"/>
      <c r="K530" s="8"/>
      <c r="M530" s="8"/>
    </row>
    <row r="531">
      <c r="J531" s="8"/>
      <c r="K531" s="8"/>
      <c r="M531" s="8"/>
    </row>
    <row r="532">
      <c r="J532" s="8"/>
      <c r="K532" s="8"/>
      <c r="M532" s="8"/>
    </row>
    <row r="533">
      <c r="J533" s="8"/>
      <c r="K533" s="8"/>
      <c r="M533" s="8"/>
    </row>
    <row r="534">
      <c r="J534" s="8"/>
      <c r="K534" s="8"/>
      <c r="M534" s="8"/>
    </row>
    <row r="535">
      <c r="J535" s="8"/>
      <c r="K535" s="8"/>
      <c r="M535" s="8"/>
    </row>
    <row r="536">
      <c r="J536" s="8"/>
      <c r="K536" s="8"/>
      <c r="M536" s="8"/>
    </row>
    <row r="537">
      <c r="J537" s="8"/>
      <c r="K537" s="8"/>
      <c r="M537" s="8"/>
    </row>
    <row r="538">
      <c r="J538" s="8"/>
      <c r="K538" s="8"/>
      <c r="M538" s="8"/>
    </row>
    <row r="539">
      <c r="J539" s="8"/>
      <c r="K539" s="8"/>
      <c r="M539" s="8"/>
    </row>
    <row r="540">
      <c r="J540" s="8"/>
      <c r="K540" s="8"/>
      <c r="M540" s="8"/>
    </row>
    <row r="541">
      <c r="J541" s="8"/>
      <c r="K541" s="8"/>
      <c r="M541" s="8"/>
    </row>
    <row r="542">
      <c r="J542" s="8"/>
      <c r="K542" s="8"/>
      <c r="M542" s="8"/>
    </row>
    <row r="543">
      <c r="J543" s="8"/>
      <c r="K543" s="8"/>
      <c r="M543" s="8"/>
    </row>
    <row r="544">
      <c r="J544" s="8"/>
      <c r="K544" s="8"/>
      <c r="M544" s="8"/>
    </row>
    <row r="545">
      <c r="J545" s="8"/>
      <c r="K545" s="8"/>
      <c r="M545" s="8"/>
    </row>
    <row r="546">
      <c r="J546" s="8"/>
      <c r="K546" s="8"/>
      <c r="M546" s="8"/>
    </row>
    <row r="547">
      <c r="J547" s="8"/>
      <c r="K547" s="8"/>
      <c r="M547" s="8"/>
    </row>
    <row r="548">
      <c r="J548" s="8"/>
      <c r="K548" s="8"/>
      <c r="M548" s="8"/>
    </row>
    <row r="549">
      <c r="J549" s="8"/>
      <c r="K549" s="8"/>
      <c r="M549" s="8"/>
    </row>
    <row r="550">
      <c r="J550" s="8"/>
      <c r="K550" s="8"/>
      <c r="M550" s="8"/>
    </row>
    <row r="551">
      <c r="J551" s="8"/>
      <c r="K551" s="8"/>
      <c r="M551" s="8"/>
    </row>
    <row r="552">
      <c r="J552" s="8"/>
      <c r="K552" s="8"/>
      <c r="M552" s="8"/>
    </row>
    <row r="553">
      <c r="J553" s="8"/>
      <c r="K553" s="8"/>
      <c r="M553" s="8"/>
    </row>
    <row r="554">
      <c r="J554" s="8"/>
      <c r="K554" s="8"/>
      <c r="M554" s="8"/>
    </row>
    <row r="555">
      <c r="J555" s="8"/>
      <c r="K555" s="8"/>
      <c r="M555" s="8"/>
    </row>
    <row r="556">
      <c r="J556" s="8"/>
      <c r="K556" s="8"/>
      <c r="M556" s="8"/>
    </row>
    <row r="557">
      <c r="J557" s="8"/>
      <c r="K557" s="8"/>
      <c r="M557" s="8"/>
    </row>
    <row r="558">
      <c r="J558" s="8"/>
      <c r="K558" s="8"/>
      <c r="M558" s="8"/>
    </row>
    <row r="559">
      <c r="J559" s="8"/>
      <c r="K559" s="8"/>
      <c r="M559" s="8"/>
    </row>
    <row r="560">
      <c r="J560" s="8"/>
      <c r="K560" s="8"/>
      <c r="M560" s="8"/>
    </row>
    <row r="561">
      <c r="J561" s="8"/>
      <c r="K561" s="8"/>
      <c r="M561" s="8"/>
    </row>
    <row r="562">
      <c r="J562" s="8"/>
      <c r="K562" s="8"/>
      <c r="M562" s="8"/>
    </row>
    <row r="563">
      <c r="J563" s="8"/>
      <c r="K563" s="8"/>
      <c r="M563" s="8"/>
    </row>
    <row r="564">
      <c r="J564" s="8"/>
      <c r="K564" s="8"/>
      <c r="M564" s="8"/>
    </row>
    <row r="565">
      <c r="J565" s="8"/>
      <c r="K565" s="8"/>
      <c r="M565" s="8"/>
    </row>
    <row r="566">
      <c r="J566" s="8"/>
      <c r="K566" s="8"/>
      <c r="M566" s="8"/>
    </row>
    <row r="567">
      <c r="J567" s="8"/>
      <c r="K567" s="8"/>
      <c r="M567" s="8"/>
    </row>
    <row r="568">
      <c r="J568" s="8"/>
      <c r="K568" s="8"/>
      <c r="M568" s="8"/>
    </row>
    <row r="569">
      <c r="J569" s="8"/>
      <c r="K569" s="8"/>
      <c r="M569" s="8"/>
    </row>
    <row r="570">
      <c r="J570" s="8"/>
      <c r="K570" s="8"/>
      <c r="M570" s="8"/>
    </row>
    <row r="571">
      <c r="J571" s="8"/>
      <c r="K571" s="8"/>
      <c r="M571" s="8"/>
    </row>
    <row r="572">
      <c r="J572" s="8"/>
      <c r="K572" s="8"/>
      <c r="M572" s="8"/>
    </row>
    <row r="573">
      <c r="J573" s="8"/>
      <c r="K573" s="8"/>
      <c r="M573" s="8"/>
    </row>
    <row r="574">
      <c r="J574" s="8"/>
      <c r="K574" s="8"/>
      <c r="M574" s="8"/>
    </row>
    <row r="575">
      <c r="J575" s="8"/>
      <c r="K575" s="8"/>
      <c r="M575" s="8"/>
    </row>
    <row r="576">
      <c r="J576" s="8"/>
      <c r="K576" s="8"/>
      <c r="M576" s="8"/>
    </row>
    <row r="577">
      <c r="J577" s="8"/>
      <c r="K577" s="8"/>
      <c r="M577" s="8"/>
    </row>
    <row r="578">
      <c r="J578" s="8"/>
      <c r="K578" s="8"/>
      <c r="M578" s="8"/>
    </row>
    <row r="579">
      <c r="J579" s="8"/>
      <c r="K579" s="8"/>
      <c r="M579" s="8"/>
    </row>
    <row r="580">
      <c r="J580" s="8"/>
      <c r="K580" s="8"/>
      <c r="M580" s="8"/>
    </row>
    <row r="581">
      <c r="J581" s="8"/>
      <c r="K581" s="8"/>
      <c r="M581" s="8"/>
    </row>
    <row r="582">
      <c r="J582" s="8"/>
      <c r="K582" s="8"/>
      <c r="M582" s="8"/>
    </row>
    <row r="583">
      <c r="J583" s="8"/>
      <c r="K583" s="8"/>
      <c r="M583" s="8"/>
    </row>
    <row r="584">
      <c r="J584" s="8"/>
      <c r="K584" s="8"/>
      <c r="M584" s="8"/>
    </row>
    <row r="585">
      <c r="J585" s="8"/>
      <c r="K585" s="8"/>
      <c r="M585" s="8"/>
    </row>
    <row r="586">
      <c r="J586" s="8"/>
      <c r="K586" s="8"/>
      <c r="M586" s="8"/>
    </row>
    <row r="587">
      <c r="J587" s="8"/>
      <c r="K587" s="8"/>
      <c r="M587" s="8"/>
    </row>
    <row r="588">
      <c r="J588" s="8"/>
      <c r="K588" s="8"/>
      <c r="M588" s="8"/>
    </row>
    <row r="589">
      <c r="J589" s="8"/>
      <c r="K589" s="8"/>
      <c r="M589" s="8"/>
    </row>
    <row r="590">
      <c r="J590" s="8"/>
      <c r="K590" s="8"/>
      <c r="M590" s="8"/>
    </row>
    <row r="591">
      <c r="J591" s="8"/>
      <c r="K591" s="8"/>
      <c r="M591" s="8"/>
    </row>
    <row r="592">
      <c r="J592" s="8"/>
      <c r="K592" s="8"/>
      <c r="M592" s="8"/>
    </row>
    <row r="593">
      <c r="J593" s="8"/>
      <c r="K593" s="8"/>
      <c r="M593" s="8"/>
    </row>
    <row r="594">
      <c r="J594" s="8"/>
      <c r="K594" s="8"/>
      <c r="M594" s="8"/>
    </row>
    <row r="595">
      <c r="J595" s="8"/>
      <c r="K595" s="8"/>
      <c r="M595" s="8"/>
    </row>
    <row r="596">
      <c r="J596" s="8"/>
      <c r="K596" s="8"/>
      <c r="M596" s="8"/>
    </row>
    <row r="597">
      <c r="J597" s="8"/>
      <c r="K597" s="8"/>
      <c r="M597" s="8"/>
    </row>
    <row r="598">
      <c r="J598" s="8"/>
      <c r="K598" s="8"/>
      <c r="M598" s="8"/>
    </row>
    <row r="599">
      <c r="J599" s="8"/>
      <c r="K599" s="8"/>
      <c r="M599" s="8"/>
    </row>
    <row r="600">
      <c r="J600" s="8"/>
      <c r="K600" s="8"/>
      <c r="M600" s="8"/>
    </row>
    <row r="601">
      <c r="J601" s="8"/>
      <c r="K601" s="8"/>
      <c r="M601" s="8"/>
    </row>
    <row r="602">
      <c r="J602" s="8"/>
      <c r="K602" s="8"/>
      <c r="M602" s="8"/>
    </row>
    <row r="603">
      <c r="J603" s="8"/>
      <c r="K603" s="8"/>
      <c r="M603" s="8"/>
    </row>
    <row r="604">
      <c r="J604" s="8"/>
      <c r="K604" s="8"/>
      <c r="M604" s="8"/>
    </row>
    <row r="605">
      <c r="J605" s="8"/>
      <c r="K605" s="8"/>
      <c r="M605" s="8"/>
    </row>
    <row r="606">
      <c r="J606" s="8"/>
      <c r="K606" s="8"/>
      <c r="M606" s="8"/>
    </row>
    <row r="607">
      <c r="J607" s="8"/>
      <c r="K607" s="8"/>
      <c r="M607" s="8"/>
    </row>
    <row r="608">
      <c r="J608" s="8"/>
      <c r="K608" s="8"/>
      <c r="M608" s="8"/>
    </row>
    <row r="609">
      <c r="J609" s="8"/>
      <c r="K609" s="8"/>
      <c r="M609" s="8"/>
    </row>
    <row r="610">
      <c r="J610" s="8"/>
      <c r="K610" s="8"/>
      <c r="M610" s="8"/>
    </row>
    <row r="611">
      <c r="J611" s="8"/>
      <c r="K611" s="8"/>
      <c r="M611" s="8"/>
    </row>
    <row r="612">
      <c r="J612" s="8"/>
      <c r="K612" s="8"/>
      <c r="M612" s="8"/>
    </row>
    <row r="613">
      <c r="J613" s="8"/>
      <c r="K613" s="8"/>
      <c r="M613" s="8"/>
    </row>
    <row r="614">
      <c r="J614" s="8"/>
      <c r="K614" s="8"/>
      <c r="M614" s="8"/>
    </row>
    <row r="615">
      <c r="J615" s="8"/>
      <c r="K615" s="8"/>
      <c r="M615" s="8"/>
    </row>
    <row r="616">
      <c r="J616" s="8"/>
      <c r="K616" s="8"/>
      <c r="M616" s="8"/>
    </row>
    <row r="617">
      <c r="J617" s="8"/>
      <c r="K617" s="8"/>
      <c r="M617" s="8"/>
    </row>
    <row r="618">
      <c r="J618" s="8"/>
      <c r="K618" s="8"/>
      <c r="M618" s="8"/>
    </row>
    <row r="619">
      <c r="J619" s="8"/>
      <c r="K619" s="8"/>
      <c r="M619" s="8"/>
    </row>
    <row r="620">
      <c r="J620" s="8"/>
      <c r="K620" s="8"/>
      <c r="M620" s="8"/>
    </row>
    <row r="621">
      <c r="J621" s="8"/>
      <c r="K621" s="8"/>
      <c r="M621" s="8"/>
    </row>
    <row r="622">
      <c r="J622" s="8"/>
      <c r="K622" s="8"/>
      <c r="M622" s="8"/>
    </row>
    <row r="623">
      <c r="J623" s="8"/>
      <c r="K623" s="8"/>
      <c r="M623" s="8"/>
    </row>
    <row r="624">
      <c r="J624" s="8"/>
      <c r="K624" s="8"/>
      <c r="M624" s="8"/>
    </row>
    <row r="625">
      <c r="J625" s="8"/>
      <c r="K625" s="8"/>
      <c r="M625" s="8"/>
    </row>
    <row r="626">
      <c r="J626" s="8"/>
      <c r="K626" s="8"/>
      <c r="M626" s="8"/>
    </row>
    <row r="627">
      <c r="J627" s="8"/>
      <c r="K627" s="8"/>
      <c r="M627" s="8"/>
    </row>
    <row r="628">
      <c r="J628" s="8"/>
      <c r="K628" s="8"/>
      <c r="M628" s="8"/>
    </row>
    <row r="629">
      <c r="J629" s="8"/>
      <c r="K629" s="8"/>
      <c r="M629" s="8"/>
    </row>
    <row r="630">
      <c r="J630" s="8"/>
      <c r="K630" s="8"/>
      <c r="M630" s="8"/>
    </row>
    <row r="631">
      <c r="J631" s="8"/>
      <c r="K631" s="8"/>
      <c r="M631" s="8"/>
    </row>
    <row r="632">
      <c r="J632" s="8"/>
      <c r="K632" s="8"/>
      <c r="M632" s="8"/>
    </row>
    <row r="633">
      <c r="J633" s="8"/>
      <c r="K633" s="8"/>
      <c r="M633" s="8"/>
    </row>
    <row r="634">
      <c r="J634" s="8"/>
      <c r="K634" s="8"/>
      <c r="M634" s="8"/>
    </row>
    <row r="635">
      <c r="J635" s="8"/>
      <c r="K635" s="8"/>
      <c r="M635" s="8"/>
    </row>
    <row r="636">
      <c r="J636" s="8"/>
      <c r="K636" s="8"/>
      <c r="M636" s="8"/>
    </row>
    <row r="637">
      <c r="J637" s="8"/>
      <c r="K637" s="8"/>
      <c r="M637" s="8"/>
    </row>
    <row r="638">
      <c r="J638" s="8"/>
      <c r="K638" s="8"/>
      <c r="M638" s="8"/>
    </row>
    <row r="639">
      <c r="J639" s="8"/>
      <c r="K639" s="8"/>
      <c r="M639" s="8"/>
    </row>
    <row r="640">
      <c r="J640" s="8"/>
      <c r="K640" s="8"/>
      <c r="M640" s="8"/>
    </row>
    <row r="641">
      <c r="J641" s="8"/>
      <c r="K641" s="8"/>
      <c r="M641" s="8"/>
    </row>
    <row r="642">
      <c r="J642" s="8"/>
      <c r="K642" s="8"/>
      <c r="M642" s="8"/>
    </row>
    <row r="643">
      <c r="J643" s="8"/>
      <c r="K643" s="8"/>
      <c r="M643" s="8"/>
    </row>
    <row r="644">
      <c r="J644" s="8"/>
      <c r="K644" s="8"/>
      <c r="M644" s="8"/>
    </row>
    <row r="645">
      <c r="J645" s="8"/>
      <c r="K645" s="8"/>
      <c r="M645" s="8"/>
    </row>
    <row r="646">
      <c r="J646" s="8"/>
      <c r="K646" s="8"/>
      <c r="M646" s="8"/>
    </row>
    <row r="647">
      <c r="J647" s="8"/>
      <c r="K647" s="8"/>
      <c r="M647" s="8"/>
    </row>
    <row r="648">
      <c r="J648" s="8"/>
      <c r="K648" s="8"/>
      <c r="M648" s="8"/>
    </row>
    <row r="649">
      <c r="J649" s="8"/>
      <c r="K649" s="8"/>
      <c r="M649" s="8"/>
    </row>
    <row r="650">
      <c r="J650" s="8"/>
      <c r="K650" s="8"/>
      <c r="M650" s="8"/>
    </row>
    <row r="651">
      <c r="J651" s="8"/>
      <c r="K651" s="8"/>
      <c r="M651" s="8"/>
    </row>
    <row r="652">
      <c r="J652" s="8"/>
      <c r="K652" s="8"/>
      <c r="M652" s="8"/>
    </row>
    <row r="653">
      <c r="J653" s="8"/>
      <c r="K653" s="8"/>
      <c r="M653" s="8"/>
    </row>
    <row r="654">
      <c r="J654" s="8"/>
      <c r="K654" s="8"/>
      <c r="M654" s="8"/>
    </row>
    <row r="655">
      <c r="J655" s="8"/>
      <c r="K655" s="8"/>
      <c r="M655" s="8"/>
    </row>
    <row r="656">
      <c r="J656" s="8"/>
      <c r="K656" s="8"/>
      <c r="M656" s="8"/>
    </row>
    <row r="657">
      <c r="J657" s="8"/>
      <c r="K657" s="8"/>
      <c r="M657" s="8"/>
    </row>
    <row r="658">
      <c r="J658" s="8"/>
      <c r="K658" s="8"/>
      <c r="M658" s="8"/>
    </row>
    <row r="659">
      <c r="J659" s="8"/>
      <c r="K659" s="8"/>
      <c r="M659" s="8"/>
    </row>
    <row r="660">
      <c r="J660" s="8"/>
      <c r="K660" s="8"/>
      <c r="M660" s="8"/>
    </row>
    <row r="661">
      <c r="J661" s="8"/>
      <c r="K661" s="8"/>
      <c r="M661" s="8"/>
    </row>
    <row r="662">
      <c r="J662" s="8"/>
      <c r="K662" s="8"/>
      <c r="M662" s="8"/>
    </row>
    <row r="663">
      <c r="J663" s="8"/>
      <c r="K663" s="8"/>
      <c r="M663" s="8"/>
    </row>
    <row r="664">
      <c r="J664" s="8"/>
      <c r="K664" s="8"/>
      <c r="M664" s="8"/>
    </row>
    <row r="665">
      <c r="J665" s="8"/>
      <c r="K665" s="8"/>
      <c r="M665" s="8"/>
    </row>
    <row r="666">
      <c r="J666" s="8"/>
      <c r="K666" s="8"/>
      <c r="M666" s="8"/>
    </row>
    <row r="667">
      <c r="J667" s="8"/>
      <c r="K667" s="8"/>
      <c r="M667" s="8"/>
    </row>
    <row r="668">
      <c r="J668" s="8"/>
      <c r="K668" s="8"/>
      <c r="M668" s="8"/>
    </row>
    <row r="669">
      <c r="J669" s="8"/>
      <c r="K669" s="8"/>
      <c r="M669" s="8"/>
    </row>
    <row r="670">
      <c r="J670" s="8"/>
      <c r="K670" s="8"/>
      <c r="M670" s="8"/>
    </row>
    <row r="671">
      <c r="J671" s="8"/>
      <c r="K671" s="8"/>
      <c r="M671" s="8"/>
    </row>
    <row r="672">
      <c r="J672" s="8"/>
      <c r="K672" s="8"/>
      <c r="M672" s="8"/>
    </row>
    <row r="673">
      <c r="J673" s="8"/>
      <c r="K673" s="8"/>
      <c r="M673" s="8"/>
    </row>
    <row r="674">
      <c r="J674" s="8"/>
      <c r="K674" s="8"/>
      <c r="M674" s="8"/>
    </row>
    <row r="675">
      <c r="J675" s="8"/>
      <c r="K675" s="8"/>
      <c r="M675" s="8"/>
    </row>
    <row r="676">
      <c r="J676" s="8"/>
      <c r="K676" s="8"/>
      <c r="M676" s="8"/>
    </row>
    <row r="677">
      <c r="J677" s="8"/>
      <c r="K677" s="8"/>
      <c r="M677" s="8"/>
    </row>
    <row r="678">
      <c r="J678" s="8"/>
      <c r="K678" s="8"/>
      <c r="M678" s="8"/>
    </row>
    <row r="679">
      <c r="J679" s="8"/>
      <c r="K679" s="8"/>
      <c r="M679" s="8"/>
    </row>
    <row r="680">
      <c r="J680" s="8"/>
      <c r="K680" s="8"/>
      <c r="M680" s="8"/>
    </row>
    <row r="681">
      <c r="J681" s="8"/>
      <c r="K681" s="8"/>
      <c r="M681" s="8"/>
    </row>
    <row r="682">
      <c r="J682" s="8"/>
      <c r="K682" s="8"/>
      <c r="M682" s="8"/>
    </row>
    <row r="683">
      <c r="J683" s="8"/>
      <c r="K683" s="8"/>
      <c r="M683" s="8"/>
    </row>
    <row r="684">
      <c r="J684" s="8"/>
      <c r="K684" s="8"/>
      <c r="M684" s="8"/>
    </row>
    <row r="685">
      <c r="J685" s="8"/>
      <c r="K685" s="8"/>
      <c r="M685" s="8"/>
    </row>
    <row r="686">
      <c r="J686" s="8"/>
      <c r="K686" s="8"/>
      <c r="M686" s="8"/>
    </row>
    <row r="687">
      <c r="J687" s="8"/>
      <c r="K687" s="8"/>
      <c r="M687" s="8"/>
    </row>
    <row r="688">
      <c r="J688" s="8"/>
      <c r="K688" s="8"/>
      <c r="M688" s="8"/>
    </row>
    <row r="689">
      <c r="J689" s="8"/>
      <c r="K689" s="8"/>
      <c r="M689" s="8"/>
    </row>
    <row r="690">
      <c r="J690" s="8"/>
      <c r="K690" s="8"/>
      <c r="M690" s="8"/>
    </row>
    <row r="691">
      <c r="J691" s="8"/>
      <c r="K691" s="8"/>
      <c r="M691" s="8"/>
    </row>
    <row r="692">
      <c r="J692" s="8"/>
      <c r="K692" s="8"/>
      <c r="M692" s="8"/>
    </row>
    <row r="693">
      <c r="J693" s="8"/>
      <c r="K693" s="8"/>
      <c r="M693" s="8"/>
    </row>
    <row r="694">
      <c r="J694" s="8"/>
      <c r="K694" s="8"/>
      <c r="M694" s="8"/>
    </row>
    <row r="695">
      <c r="J695" s="8"/>
      <c r="K695" s="8"/>
      <c r="M695" s="8"/>
    </row>
    <row r="696">
      <c r="J696" s="8"/>
      <c r="K696" s="8"/>
      <c r="M696" s="8"/>
    </row>
    <row r="697">
      <c r="J697" s="8"/>
      <c r="K697" s="8"/>
      <c r="M697" s="8"/>
    </row>
    <row r="698">
      <c r="J698" s="8"/>
      <c r="K698" s="8"/>
      <c r="M698" s="8"/>
    </row>
    <row r="699">
      <c r="J699" s="8"/>
      <c r="K699" s="8"/>
      <c r="M699" s="8"/>
    </row>
    <row r="700">
      <c r="J700" s="8"/>
      <c r="K700" s="8"/>
      <c r="M700" s="8"/>
    </row>
    <row r="701">
      <c r="J701" s="8"/>
      <c r="K701" s="8"/>
      <c r="M701" s="8"/>
    </row>
    <row r="702">
      <c r="J702" s="8"/>
      <c r="K702" s="8"/>
      <c r="M702" s="8"/>
    </row>
    <row r="703">
      <c r="J703" s="8"/>
      <c r="K703" s="8"/>
      <c r="M703" s="8"/>
    </row>
    <row r="704">
      <c r="J704" s="8"/>
      <c r="K704" s="8"/>
      <c r="M704" s="8"/>
    </row>
    <row r="705">
      <c r="J705" s="8"/>
      <c r="K705" s="8"/>
      <c r="M705" s="8"/>
    </row>
    <row r="706">
      <c r="J706" s="8"/>
      <c r="K706" s="8"/>
      <c r="M706" s="8"/>
    </row>
    <row r="707">
      <c r="J707" s="8"/>
      <c r="K707" s="8"/>
      <c r="M707" s="8"/>
    </row>
    <row r="708">
      <c r="J708" s="8"/>
      <c r="K708" s="8"/>
      <c r="M708" s="8"/>
    </row>
    <row r="709">
      <c r="J709" s="8"/>
      <c r="K709" s="8"/>
      <c r="M709" s="8"/>
    </row>
    <row r="710">
      <c r="J710" s="8"/>
      <c r="K710" s="8"/>
      <c r="M710" s="8"/>
    </row>
    <row r="711">
      <c r="J711" s="8"/>
      <c r="K711" s="8"/>
      <c r="M711" s="8"/>
    </row>
    <row r="712">
      <c r="J712" s="8"/>
      <c r="K712" s="8"/>
      <c r="M712" s="8"/>
    </row>
    <row r="713">
      <c r="J713" s="8"/>
      <c r="K713" s="8"/>
      <c r="M713" s="8"/>
    </row>
    <row r="714">
      <c r="J714" s="8"/>
      <c r="K714" s="8"/>
      <c r="M714" s="8"/>
    </row>
    <row r="715">
      <c r="J715" s="8"/>
      <c r="K715" s="8"/>
      <c r="M715" s="8"/>
    </row>
    <row r="716">
      <c r="J716" s="8"/>
      <c r="K716" s="8"/>
      <c r="M716" s="8"/>
    </row>
    <row r="717">
      <c r="J717" s="8"/>
      <c r="K717" s="8"/>
      <c r="M717" s="8"/>
    </row>
    <row r="718">
      <c r="J718" s="8"/>
      <c r="K718" s="8"/>
      <c r="M718" s="8"/>
    </row>
    <row r="719">
      <c r="J719" s="8"/>
      <c r="K719" s="8"/>
      <c r="M719" s="8"/>
    </row>
    <row r="720">
      <c r="J720" s="8"/>
      <c r="K720" s="8"/>
      <c r="M720" s="8"/>
    </row>
    <row r="721">
      <c r="J721" s="8"/>
      <c r="K721" s="8"/>
      <c r="M721" s="8"/>
    </row>
    <row r="722">
      <c r="J722" s="8"/>
      <c r="K722" s="8"/>
      <c r="M722" s="8"/>
    </row>
    <row r="723">
      <c r="J723" s="8"/>
      <c r="K723" s="8"/>
      <c r="M723" s="8"/>
    </row>
    <row r="724">
      <c r="J724" s="8"/>
      <c r="K724" s="8"/>
      <c r="M724" s="8"/>
    </row>
    <row r="725">
      <c r="J725" s="8"/>
      <c r="K725" s="8"/>
      <c r="M725" s="8"/>
    </row>
    <row r="726">
      <c r="J726" s="8"/>
      <c r="K726" s="8"/>
      <c r="M726" s="8"/>
    </row>
    <row r="727">
      <c r="J727" s="8"/>
      <c r="K727" s="8"/>
      <c r="M727" s="8"/>
    </row>
    <row r="728">
      <c r="J728" s="8"/>
      <c r="K728" s="8"/>
      <c r="M728" s="8"/>
    </row>
    <row r="729">
      <c r="J729" s="8"/>
      <c r="K729" s="8"/>
      <c r="M729" s="8"/>
    </row>
    <row r="730">
      <c r="J730" s="8"/>
      <c r="K730" s="8"/>
      <c r="M730" s="8"/>
    </row>
    <row r="731">
      <c r="J731" s="8"/>
      <c r="K731" s="8"/>
      <c r="M731" s="8"/>
    </row>
    <row r="732">
      <c r="J732" s="8"/>
      <c r="K732" s="8"/>
      <c r="M732" s="8"/>
    </row>
    <row r="733">
      <c r="J733" s="8"/>
      <c r="K733" s="8"/>
      <c r="M733" s="8"/>
    </row>
    <row r="734">
      <c r="J734" s="8"/>
      <c r="K734" s="8"/>
      <c r="M734" s="8"/>
    </row>
    <row r="735">
      <c r="J735" s="8"/>
      <c r="K735" s="8"/>
      <c r="M735" s="8"/>
    </row>
    <row r="736">
      <c r="J736" s="8"/>
      <c r="K736" s="8"/>
      <c r="M736" s="8"/>
    </row>
    <row r="737">
      <c r="J737" s="8"/>
      <c r="K737" s="8"/>
      <c r="M737" s="8"/>
    </row>
    <row r="738">
      <c r="J738" s="8"/>
      <c r="K738" s="8"/>
      <c r="M738" s="8"/>
    </row>
    <row r="739">
      <c r="J739" s="8"/>
      <c r="K739" s="8"/>
      <c r="M739" s="8"/>
    </row>
    <row r="740">
      <c r="J740" s="8"/>
      <c r="K740" s="8"/>
      <c r="M740" s="8"/>
    </row>
    <row r="741">
      <c r="J741" s="8"/>
      <c r="K741" s="8"/>
      <c r="M741" s="8"/>
    </row>
    <row r="742">
      <c r="J742" s="8"/>
      <c r="K742" s="8"/>
      <c r="M742" s="8"/>
    </row>
    <row r="743">
      <c r="J743" s="8"/>
      <c r="K743" s="8"/>
      <c r="M743" s="8"/>
    </row>
    <row r="744">
      <c r="J744" s="8"/>
      <c r="K744" s="8"/>
      <c r="M744" s="8"/>
    </row>
    <row r="745">
      <c r="J745" s="8"/>
      <c r="K745" s="8"/>
      <c r="M745" s="8"/>
    </row>
    <row r="746">
      <c r="J746" s="8"/>
      <c r="K746" s="8"/>
      <c r="M746" s="8"/>
    </row>
    <row r="747">
      <c r="J747" s="8"/>
      <c r="K747" s="8"/>
      <c r="M747" s="8"/>
    </row>
    <row r="748">
      <c r="J748" s="8"/>
      <c r="K748" s="8"/>
      <c r="M748" s="8"/>
    </row>
    <row r="749">
      <c r="J749" s="8"/>
      <c r="K749" s="8"/>
      <c r="M749" s="8"/>
    </row>
    <row r="750">
      <c r="J750" s="8"/>
      <c r="K750" s="8"/>
      <c r="M750" s="8"/>
    </row>
    <row r="751">
      <c r="J751" s="8"/>
      <c r="K751" s="8"/>
      <c r="M751" s="8"/>
    </row>
    <row r="752">
      <c r="J752" s="8"/>
      <c r="K752" s="8"/>
      <c r="M752" s="8"/>
    </row>
    <row r="753">
      <c r="J753" s="8"/>
      <c r="K753" s="8"/>
      <c r="M753" s="8"/>
    </row>
    <row r="754">
      <c r="J754" s="8"/>
      <c r="K754" s="8"/>
      <c r="M754" s="8"/>
    </row>
    <row r="755">
      <c r="J755" s="8"/>
      <c r="K755" s="8"/>
      <c r="M755" s="8"/>
    </row>
    <row r="756">
      <c r="J756" s="8"/>
      <c r="K756" s="8"/>
      <c r="M756" s="8"/>
    </row>
    <row r="757">
      <c r="J757" s="8"/>
      <c r="K757" s="8"/>
      <c r="M757" s="8"/>
    </row>
    <row r="758">
      <c r="J758" s="8"/>
      <c r="K758" s="8"/>
      <c r="M758" s="8"/>
    </row>
    <row r="759">
      <c r="J759" s="8"/>
      <c r="K759" s="8"/>
      <c r="M759" s="8"/>
    </row>
    <row r="760">
      <c r="J760" s="8"/>
      <c r="K760" s="8"/>
      <c r="M760" s="8"/>
    </row>
    <row r="761">
      <c r="J761" s="8"/>
      <c r="K761" s="8"/>
      <c r="M761" s="8"/>
    </row>
    <row r="762">
      <c r="J762" s="8"/>
      <c r="K762" s="8"/>
      <c r="M762" s="8"/>
    </row>
    <row r="763">
      <c r="J763" s="8"/>
      <c r="K763" s="8"/>
      <c r="M763" s="8"/>
    </row>
    <row r="764">
      <c r="J764" s="8"/>
      <c r="K764" s="8"/>
      <c r="M764" s="8"/>
    </row>
    <row r="765">
      <c r="J765" s="8"/>
      <c r="K765" s="8"/>
      <c r="M765" s="8"/>
    </row>
    <row r="766">
      <c r="J766" s="8"/>
      <c r="K766" s="8"/>
      <c r="M766" s="8"/>
    </row>
    <row r="767">
      <c r="J767" s="8"/>
      <c r="K767" s="8"/>
      <c r="M767" s="8"/>
    </row>
    <row r="768">
      <c r="J768" s="8"/>
      <c r="K768" s="8"/>
      <c r="M768" s="8"/>
    </row>
    <row r="769">
      <c r="J769" s="8"/>
      <c r="K769" s="8"/>
      <c r="M769" s="8"/>
    </row>
    <row r="770">
      <c r="J770" s="8"/>
      <c r="K770" s="8"/>
      <c r="M770" s="8"/>
    </row>
    <row r="771">
      <c r="J771" s="8"/>
      <c r="K771" s="8"/>
      <c r="M771" s="8"/>
    </row>
    <row r="772">
      <c r="J772" s="8"/>
      <c r="K772" s="8"/>
      <c r="M772" s="8"/>
    </row>
    <row r="773">
      <c r="J773" s="8"/>
      <c r="K773" s="8"/>
      <c r="M773" s="8"/>
    </row>
    <row r="774">
      <c r="J774" s="8"/>
      <c r="K774" s="8"/>
      <c r="M774" s="8"/>
    </row>
    <row r="775">
      <c r="J775" s="8"/>
      <c r="K775" s="8"/>
      <c r="M775" s="8"/>
    </row>
    <row r="776">
      <c r="J776" s="8"/>
      <c r="K776" s="8"/>
      <c r="M776" s="8"/>
    </row>
    <row r="777">
      <c r="J777" s="8"/>
      <c r="K777" s="8"/>
      <c r="M777" s="8"/>
    </row>
    <row r="778">
      <c r="J778" s="8"/>
      <c r="K778" s="8"/>
      <c r="M778" s="8"/>
    </row>
    <row r="779">
      <c r="J779" s="8"/>
      <c r="K779" s="8"/>
      <c r="M779" s="8"/>
    </row>
    <row r="780">
      <c r="J780" s="8"/>
      <c r="K780" s="8"/>
      <c r="M780" s="8"/>
    </row>
    <row r="781">
      <c r="J781" s="8"/>
      <c r="K781" s="8"/>
      <c r="M781" s="8"/>
    </row>
    <row r="782">
      <c r="J782" s="8"/>
      <c r="K782" s="8"/>
      <c r="M782" s="8"/>
    </row>
    <row r="783">
      <c r="J783" s="8"/>
      <c r="K783" s="8"/>
      <c r="M783" s="8"/>
    </row>
    <row r="784">
      <c r="J784" s="8"/>
      <c r="K784" s="8"/>
      <c r="M784" s="8"/>
    </row>
    <row r="785">
      <c r="J785" s="8"/>
      <c r="K785" s="8"/>
      <c r="M785" s="8"/>
    </row>
    <row r="786">
      <c r="J786" s="8"/>
      <c r="K786" s="8"/>
      <c r="M786" s="8"/>
    </row>
    <row r="787">
      <c r="J787" s="8"/>
      <c r="K787" s="8"/>
      <c r="M787" s="8"/>
    </row>
    <row r="788">
      <c r="J788" s="8"/>
      <c r="K788" s="8"/>
      <c r="M788" s="8"/>
    </row>
    <row r="789">
      <c r="J789" s="8"/>
      <c r="K789" s="8"/>
      <c r="M789" s="8"/>
    </row>
    <row r="790">
      <c r="J790" s="8"/>
      <c r="K790" s="8"/>
      <c r="M790" s="8"/>
    </row>
    <row r="791">
      <c r="J791" s="8"/>
      <c r="K791" s="8"/>
      <c r="M791" s="8"/>
    </row>
    <row r="792">
      <c r="J792" s="8"/>
      <c r="K792" s="8"/>
      <c r="M792" s="8"/>
    </row>
    <row r="793">
      <c r="J793" s="8"/>
      <c r="K793" s="8"/>
      <c r="M793" s="8"/>
    </row>
    <row r="794">
      <c r="J794" s="8"/>
      <c r="K794" s="8"/>
      <c r="M794" s="8"/>
    </row>
    <row r="795">
      <c r="J795" s="8"/>
      <c r="K795" s="8"/>
      <c r="M795" s="8"/>
    </row>
    <row r="796">
      <c r="J796" s="8"/>
      <c r="K796" s="8"/>
      <c r="M796" s="8"/>
    </row>
    <row r="797">
      <c r="J797" s="8"/>
      <c r="K797" s="8"/>
      <c r="M797" s="8"/>
    </row>
    <row r="798">
      <c r="J798" s="8"/>
      <c r="K798" s="8"/>
      <c r="M798" s="8"/>
    </row>
    <row r="799">
      <c r="J799" s="8"/>
      <c r="K799" s="8"/>
      <c r="M799" s="8"/>
    </row>
    <row r="800">
      <c r="J800" s="8"/>
      <c r="K800" s="8"/>
      <c r="M800" s="8"/>
    </row>
    <row r="801">
      <c r="J801" s="8"/>
      <c r="K801" s="8"/>
      <c r="M801" s="8"/>
    </row>
    <row r="802">
      <c r="J802" s="8"/>
      <c r="K802" s="8"/>
      <c r="M802" s="8"/>
    </row>
    <row r="803">
      <c r="J803" s="8"/>
      <c r="K803" s="8"/>
      <c r="M803" s="8"/>
    </row>
    <row r="804">
      <c r="J804" s="8"/>
      <c r="K804" s="8"/>
      <c r="M804" s="8"/>
    </row>
    <row r="805">
      <c r="J805" s="8"/>
      <c r="K805" s="8"/>
      <c r="M805" s="8"/>
    </row>
    <row r="806">
      <c r="J806" s="8"/>
      <c r="K806" s="8"/>
      <c r="M806" s="8"/>
    </row>
    <row r="807">
      <c r="J807" s="8"/>
      <c r="K807" s="8"/>
      <c r="M807" s="8"/>
    </row>
    <row r="808">
      <c r="J808" s="8"/>
      <c r="K808" s="8"/>
      <c r="M808" s="8"/>
    </row>
    <row r="809">
      <c r="J809" s="8"/>
      <c r="K809" s="8"/>
      <c r="M809" s="8"/>
    </row>
    <row r="810">
      <c r="J810" s="8"/>
      <c r="K810" s="8"/>
      <c r="M810" s="8"/>
    </row>
    <row r="811">
      <c r="J811" s="8"/>
      <c r="K811" s="8"/>
      <c r="M811" s="8"/>
    </row>
    <row r="812">
      <c r="J812" s="8"/>
      <c r="K812" s="8"/>
      <c r="M812" s="8"/>
    </row>
    <row r="813">
      <c r="J813" s="8"/>
      <c r="K813" s="8"/>
      <c r="M813" s="8"/>
    </row>
    <row r="814">
      <c r="J814" s="8"/>
      <c r="K814" s="8"/>
      <c r="M814" s="8"/>
    </row>
    <row r="815">
      <c r="J815" s="8"/>
      <c r="K815" s="8"/>
      <c r="M815" s="8"/>
    </row>
    <row r="816">
      <c r="J816" s="8"/>
      <c r="K816" s="8"/>
      <c r="M816" s="8"/>
    </row>
    <row r="817">
      <c r="J817" s="8"/>
      <c r="K817" s="8"/>
      <c r="M817" s="8"/>
    </row>
    <row r="818">
      <c r="J818" s="8"/>
      <c r="K818" s="8"/>
      <c r="M818" s="8"/>
    </row>
    <row r="819">
      <c r="J819" s="8"/>
      <c r="K819" s="8"/>
      <c r="M819" s="8"/>
    </row>
    <row r="820">
      <c r="J820" s="8"/>
      <c r="K820" s="8"/>
      <c r="M820" s="8"/>
    </row>
    <row r="821">
      <c r="J821" s="8"/>
      <c r="K821" s="8"/>
      <c r="M821" s="8"/>
    </row>
    <row r="822">
      <c r="J822" s="8"/>
      <c r="K822" s="8"/>
      <c r="M822" s="8"/>
    </row>
    <row r="823">
      <c r="J823" s="8"/>
      <c r="K823" s="8"/>
      <c r="M823" s="8"/>
    </row>
    <row r="824">
      <c r="J824" s="8"/>
      <c r="K824" s="8"/>
      <c r="M824" s="8"/>
    </row>
    <row r="825">
      <c r="J825" s="8"/>
      <c r="K825" s="8"/>
      <c r="M825" s="8"/>
    </row>
    <row r="826">
      <c r="J826" s="8"/>
      <c r="K826" s="8"/>
      <c r="M826" s="8"/>
    </row>
    <row r="827">
      <c r="J827" s="8"/>
      <c r="K827" s="8"/>
      <c r="M827" s="8"/>
    </row>
    <row r="828">
      <c r="J828" s="8"/>
      <c r="K828" s="8"/>
      <c r="M828" s="8"/>
    </row>
    <row r="829">
      <c r="J829" s="8"/>
      <c r="K829" s="8"/>
      <c r="M829" s="8"/>
    </row>
    <row r="830">
      <c r="J830" s="8"/>
      <c r="K830" s="8"/>
      <c r="M830" s="8"/>
    </row>
    <row r="831">
      <c r="J831" s="8"/>
      <c r="K831" s="8"/>
      <c r="M831" s="8"/>
    </row>
    <row r="832">
      <c r="J832" s="8"/>
      <c r="K832" s="8"/>
      <c r="M832" s="8"/>
    </row>
    <row r="833">
      <c r="J833" s="8"/>
      <c r="K833" s="8"/>
      <c r="M833" s="8"/>
    </row>
    <row r="834">
      <c r="J834" s="8"/>
      <c r="K834" s="8"/>
      <c r="M834" s="8"/>
    </row>
    <row r="835">
      <c r="J835" s="8"/>
      <c r="K835" s="8"/>
      <c r="M835" s="8"/>
    </row>
    <row r="836">
      <c r="J836" s="8"/>
      <c r="K836" s="8"/>
      <c r="M836" s="8"/>
    </row>
    <row r="837">
      <c r="J837" s="8"/>
      <c r="K837" s="8"/>
      <c r="M837" s="8"/>
    </row>
    <row r="838">
      <c r="J838" s="8"/>
      <c r="K838" s="8"/>
      <c r="M838" s="8"/>
    </row>
    <row r="839">
      <c r="J839" s="8"/>
      <c r="K839" s="8"/>
      <c r="M839" s="8"/>
    </row>
    <row r="840">
      <c r="J840" s="8"/>
      <c r="K840" s="8"/>
      <c r="M840" s="8"/>
    </row>
    <row r="841">
      <c r="J841" s="8"/>
      <c r="K841" s="8"/>
      <c r="M841" s="8"/>
    </row>
    <row r="842">
      <c r="J842" s="8"/>
      <c r="K842" s="8"/>
      <c r="M842" s="8"/>
    </row>
    <row r="843">
      <c r="J843" s="8"/>
      <c r="K843" s="8"/>
      <c r="M843" s="8"/>
    </row>
    <row r="844">
      <c r="J844" s="8"/>
      <c r="K844" s="8"/>
      <c r="M844" s="8"/>
    </row>
    <row r="845">
      <c r="J845" s="8"/>
      <c r="K845" s="8"/>
      <c r="M845" s="8"/>
    </row>
    <row r="846">
      <c r="J846" s="8"/>
      <c r="K846" s="8"/>
      <c r="M846" s="8"/>
    </row>
    <row r="847">
      <c r="J847" s="8"/>
      <c r="K847" s="8"/>
      <c r="M847" s="8"/>
    </row>
    <row r="848">
      <c r="J848" s="8"/>
      <c r="K848" s="8"/>
      <c r="M848" s="8"/>
    </row>
    <row r="849">
      <c r="J849" s="8"/>
      <c r="K849" s="8"/>
      <c r="M849" s="8"/>
    </row>
    <row r="850">
      <c r="J850" s="8"/>
      <c r="K850" s="8"/>
      <c r="M850" s="8"/>
    </row>
    <row r="851">
      <c r="J851" s="8"/>
      <c r="K851" s="8"/>
      <c r="M851" s="8"/>
    </row>
    <row r="852">
      <c r="J852" s="8"/>
      <c r="K852" s="8"/>
      <c r="M852" s="8"/>
    </row>
    <row r="853">
      <c r="J853" s="8"/>
      <c r="K853" s="8"/>
      <c r="M853" s="8"/>
    </row>
    <row r="854">
      <c r="J854" s="8"/>
      <c r="K854" s="8"/>
      <c r="M854" s="8"/>
    </row>
    <row r="855">
      <c r="J855" s="8"/>
      <c r="K855" s="8"/>
      <c r="M855" s="8"/>
    </row>
    <row r="856">
      <c r="J856" s="8"/>
      <c r="K856" s="8"/>
      <c r="M856" s="8"/>
    </row>
    <row r="857">
      <c r="J857" s="8"/>
      <c r="K857" s="8"/>
      <c r="M857" s="8"/>
    </row>
    <row r="858">
      <c r="J858" s="8"/>
      <c r="K858" s="8"/>
      <c r="M858" s="8"/>
    </row>
    <row r="859">
      <c r="J859" s="8"/>
      <c r="K859" s="8"/>
      <c r="M859" s="8"/>
    </row>
    <row r="860">
      <c r="J860" s="8"/>
      <c r="K860" s="8"/>
      <c r="M860" s="8"/>
    </row>
    <row r="861">
      <c r="J861" s="8"/>
      <c r="K861" s="8"/>
      <c r="M861" s="8"/>
    </row>
    <row r="862">
      <c r="J862" s="8"/>
      <c r="K862" s="8"/>
      <c r="M862" s="8"/>
    </row>
    <row r="863">
      <c r="J863" s="8"/>
      <c r="K863" s="8"/>
      <c r="M863" s="8"/>
    </row>
    <row r="864">
      <c r="J864" s="8"/>
      <c r="K864" s="8"/>
      <c r="M864" s="8"/>
    </row>
    <row r="865">
      <c r="J865" s="8"/>
      <c r="K865" s="8"/>
      <c r="M865" s="8"/>
    </row>
    <row r="866">
      <c r="J866" s="8"/>
      <c r="K866" s="8"/>
      <c r="M866" s="8"/>
    </row>
    <row r="867">
      <c r="J867" s="8"/>
      <c r="K867" s="8"/>
      <c r="M867" s="8"/>
    </row>
    <row r="868">
      <c r="J868" s="8"/>
      <c r="K868" s="8"/>
      <c r="M868" s="8"/>
    </row>
    <row r="869">
      <c r="J869" s="8"/>
      <c r="K869" s="8"/>
      <c r="M869" s="8"/>
    </row>
    <row r="870">
      <c r="J870" s="8"/>
      <c r="K870" s="8"/>
      <c r="M870" s="8"/>
    </row>
    <row r="871">
      <c r="J871" s="8"/>
      <c r="K871" s="8"/>
      <c r="M871" s="8"/>
    </row>
    <row r="872">
      <c r="J872" s="8"/>
      <c r="K872" s="8"/>
      <c r="M872" s="8"/>
    </row>
    <row r="873">
      <c r="J873" s="8"/>
      <c r="K873" s="8"/>
      <c r="M873" s="8"/>
    </row>
    <row r="874">
      <c r="J874" s="8"/>
      <c r="K874" s="8"/>
      <c r="M874" s="8"/>
    </row>
    <row r="875">
      <c r="J875" s="8"/>
      <c r="K875" s="8"/>
      <c r="M875" s="8"/>
    </row>
    <row r="876">
      <c r="J876" s="8"/>
      <c r="K876" s="8"/>
      <c r="M876" s="8"/>
    </row>
    <row r="877">
      <c r="J877" s="8"/>
      <c r="K877" s="8"/>
      <c r="M877" s="8"/>
    </row>
    <row r="878">
      <c r="J878" s="8"/>
      <c r="K878" s="8"/>
      <c r="M878" s="8"/>
    </row>
    <row r="879">
      <c r="J879" s="8"/>
      <c r="K879" s="8"/>
      <c r="M879" s="8"/>
    </row>
    <row r="880">
      <c r="J880" s="8"/>
      <c r="K880" s="8"/>
      <c r="M880" s="8"/>
    </row>
    <row r="881">
      <c r="J881" s="8"/>
      <c r="K881" s="8"/>
      <c r="M881" s="8"/>
    </row>
    <row r="882">
      <c r="J882" s="8"/>
      <c r="K882" s="8"/>
      <c r="M882" s="8"/>
    </row>
    <row r="883">
      <c r="J883" s="8"/>
      <c r="K883" s="8"/>
      <c r="M883" s="8"/>
    </row>
    <row r="884">
      <c r="J884" s="8"/>
      <c r="K884" s="8"/>
      <c r="M884" s="8"/>
    </row>
    <row r="885">
      <c r="J885" s="8"/>
      <c r="K885" s="8"/>
      <c r="M885" s="8"/>
    </row>
    <row r="886">
      <c r="J886" s="8"/>
      <c r="K886" s="8"/>
      <c r="M886" s="8"/>
    </row>
    <row r="887">
      <c r="J887" s="8"/>
      <c r="K887" s="8"/>
      <c r="M887" s="8"/>
    </row>
    <row r="888">
      <c r="J888" s="8"/>
      <c r="K888" s="8"/>
      <c r="M888" s="8"/>
    </row>
    <row r="889">
      <c r="J889" s="8"/>
      <c r="K889" s="8"/>
      <c r="M889" s="8"/>
    </row>
    <row r="890">
      <c r="J890" s="8"/>
      <c r="K890" s="8"/>
      <c r="M890" s="8"/>
    </row>
    <row r="891">
      <c r="J891" s="8"/>
      <c r="K891" s="8"/>
      <c r="M891" s="8"/>
    </row>
    <row r="892">
      <c r="J892" s="8"/>
      <c r="K892" s="8"/>
      <c r="M892" s="8"/>
    </row>
    <row r="893">
      <c r="J893" s="8"/>
      <c r="K893" s="8"/>
      <c r="M893" s="8"/>
    </row>
    <row r="894">
      <c r="J894" s="8"/>
      <c r="K894" s="8"/>
      <c r="M894" s="8"/>
    </row>
    <row r="895">
      <c r="J895" s="8"/>
      <c r="K895" s="8"/>
      <c r="M895" s="8"/>
    </row>
    <row r="896">
      <c r="J896" s="8"/>
      <c r="K896" s="8"/>
      <c r="M896" s="8"/>
    </row>
    <row r="897">
      <c r="J897" s="8"/>
      <c r="K897" s="8"/>
      <c r="M897" s="8"/>
    </row>
    <row r="898">
      <c r="J898" s="8"/>
      <c r="K898" s="8"/>
      <c r="M898" s="8"/>
    </row>
    <row r="899">
      <c r="J899" s="8"/>
      <c r="K899" s="8"/>
      <c r="M899" s="8"/>
    </row>
    <row r="900">
      <c r="J900" s="8"/>
      <c r="K900" s="8"/>
      <c r="M900" s="8"/>
    </row>
    <row r="901">
      <c r="J901" s="8"/>
      <c r="K901" s="8"/>
      <c r="M901" s="8"/>
    </row>
    <row r="902">
      <c r="J902" s="8"/>
      <c r="K902" s="8"/>
      <c r="M902" s="8"/>
    </row>
    <row r="903">
      <c r="J903" s="8"/>
      <c r="K903" s="8"/>
      <c r="M903" s="8"/>
    </row>
    <row r="904">
      <c r="J904" s="8"/>
      <c r="K904" s="8"/>
      <c r="M904" s="8"/>
    </row>
    <row r="905">
      <c r="J905" s="8"/>
      <c r="K905" s="8"/>
      <c r="M905" s="8"/>
    </row>
    <row r="906">
      <c r="J906" s="8"/>
      <c r="K906" s="8"/>
      <c r="M906" s="8"/>
    </row>
    <row r="907">
      <c r="J907" s="8"/>
      <c r="K907" s="8"/>
      <c r="M907" s="8"/>
    </row>
    <row r="908">
      <c r="J908" s="8"/>
      <c r="K908" s="8"/>
      <c r="M908" s="8"/>
    </row>
    <row r="909">
      <c r="J909" s="8"/>
      <c r="K909" s="8"/>
      <c r="M909" s="8"/>
    </row>
    <row r="910">
      <c r="J910" s="8"/>
      <c r="K910" s="8"/>
      <c r="M910" s="8"/>
    </row>
    <row r="911">
      <c r="J911" s="8"/>
      <c r="K911" s="8"/>
      <c r="M911" s="8"/>
    </row>
    <row r="912">
      <c r="J912" s="8"/>
      <c r="K912" s="8"/>
      <c r="M912" s="8"/>
    </row>
    <row r="913">
      <c r="J913" s="8"/>
      <c r="K913" s="8"/>
      <c r="M913" s="8"/>
    </row>
    <row r="914">
      <c r="J914" s="8"/>
      <c r="K914" s="8"/>
      <c r="M914" s="8"/>
    </row>
    <row r="915">
      <c r="J915" s="8"/>
      <c r="K915" s="8"/>
      <c r="M915" s="8"/>
    </row>
    <row r="916">
      <c r="J916" s="8"/>
      <c r="K916" s="8"/>
      <c r="M916" s="8"/>
    </row>
    <row r="917">
      <c r="J917" s="8"/>
      <c r="K917" s="8"/>
      <c r="M917" s="8"/>
    </row>
    <row r="918">
      <c r="J918" s="8"/>
      <c r="K918" s="8"/>
      <c r="M918" s="8"/>
    </row>
    <row r="919">
      <c r="J919" s="8"/>
      <c r="K919" s="8"/>
      <c r="M919" s="8"/>
    </row>
    <row r="920">
      <c r="J920" s="8"/>
      <c r="K920" s="8"/>
      <c r="M920" s="8"/>
    </row>
    <row r="921">
      <c r="J921" s="8"/>
      <c r="K921" s="8"/>
      <c r="M921" s="8"/>
    </row>
    <row r="922">
      <c r="J922" s="8"/>
      <c r="K922" s="8"/>
      <c r="M922" s="8"/>
    </row>
    <row r="923">
      <c r="J923" s="8"/>
      <c r="K923" s="8"/>
      <c r="M923" s="8"/>
    </row>
    <row r="924">
      <c r="J924" s="8"/>
      <c r="K924" s="8"/>
      <c r="M924" s="8"/>
    </row>
    <row r="925">
      <c r="J925" s="8"/>
      <c r="K925" s="8"/>
      <c r="M925" s="8"/>
    </row>
    <row r="926">
      <c r="J926" s="8"/>
      <c r="K926" s="8"/>
      <c r="M926" s="8"/>
    </row>
    <row r="927">
      <c r="J927" s="8"/>
      <c r="K927" s="8"/>
      <c r="M927" s="8"/>
    </row>
    <row r="928">
      <c r="J928" s="8"/>
      <c r="K928" s="8"/>
      <c r="M928" s="8"/>
    </row>
    <row r="929">
      <c r="J929" s="8"/>
      <c r="K929" s="8"/>
      <c r="M929" s="8"/>
    </row>
    <row r="930">
      <c r="J930" s="8"/>
      <c r="K930" s="8"/>
      <c r="M930" s="8"/>
    </row>
    <row r="931">
      <c r="J931" s="8"/>
      <c r="K931" s="8"/>
      <c r="M931" s="8"/>
    </row>
    <row r="932">
      <c r="J932" s="8"/>
      <c r="K932" s="8"/>
      <c r="M932" s="8"/>
    </row>
    <row r="933">
      <c r="J933" s="8"/>
      <c r="K933" s="8"/>
      <c r="M933" s="8"/>
    </row>
    <row r="934">
      <c r="J934" s="8"/>
      <c r="K934" s="8"/>
      <c r="M934" s="8"/>
    </row>
    <row r="935">
      <c r="J935" s="8"/>
      <c r="K935" s="8"/>
      <c r="M935" s="8"/>
    </row>
    <row r="936">
      <c r="J936" s="8"/>
      <c r="K936" s="8"/>
      <c r="M936" s="8"/>
    </row>
    <row r="937">
      <c r="J937" s="8"/>
      <c r="K937" s="8"/>
      <c r="M937" s="8"/>
    </row>
    <row r="938">
      <c r="J938" s="8"/>
      <c r="K938" s="8"/>
      <c r="M938" s="8"/>
    </row>
    <row r="939">
      <c r="J939" s="8"/>
      <c r="K939" s="8"/>
      <c r="M939" s="8"/>
    </row>
    <row r="940">
      <c r="J940" s="8"/>
      <c r="K940" s="8"/>
      <c r="M940" s="8"/>
    </row>
    <row r="941">
      <c r="J941" s="8"/>
      <c r="K941" s="8"/>
      <c r="M941" s="8"/>
    </row>
    <row r="942">
      <c r="J942" s="8"/>
      <c r="K942" s="8"/>
      <c r="M942" s="8"/>
    </row>
    <row r="943">
      <c r="J943" s="8"/>
      <c r="K943" s="8"/>
      <c r="M943" s="8"/>
    </row>
    <row r="944">
      <c r="J944" s="8"/>
      <c r="K944" s="8"/>
      <c r="M944" s="8"/>
    </row>
    <row r="945">
      <c r="J945" s="8"/>
      <c r="K945" s="8"/>
      <c r="M945" s="8"/>
    </row>
    <row r="946">
      <c r="J946" s="8"/>
      <c r="K946" s="8"/>
      <c r="M946" s="8"/>
    </row>
    <row r="947">
      <c r="J947" s="8"/>
      <c r="K947" s="8"/>
      <c r="M947" s="8"/>
    </row>
    <row r="948">
      <c r="J948" s="8"/>
      <c r="K948" s="8"/>
      <c r="M948" s="8"/>
    </row>
    <row r="949">
      <c r="J949" s="8"/>
      <c r="K949" s="8"/>
      <c r="M949" s="8"/>
    </row>
    <row r="950">
      <c r="J950" s="8"/>
      <c r="K950" s="8"/>
      <c r="M950" s="8"/>
    </row>
    <row r="951">
      <c r="J951" s="8"/>
      <c r="K951" s="8"/>
      <c r="M951" s="8"/>
    </row>
    <row r="952">
      <c r="J952" s="8"/>
      <c r="K952" s="8"/>
      <c r="M952" s="8"/>
    </row>
    <row r="953">
      <c r="J953" s="8"/>
      <c r="K953" s="8"/>
      <c r="M953" s="8"/>
    </row>
    <row r="954">
      <c r="J954" s="8"/>
      <c r="K954" s="8"/>
      <c r="M954" s="8"/>
    </row>
    <row r="955">
      <c r="J955" s="8"/>
      <c r="K955" s="8"/>
      <c r="M955" s="8"/>
    </row>
    <row r="956">
      <c r="J956" s="8"/>
      <c r="K956" s="8"/>
      <c r="M956" s="8"/>
    </row>
    <row r="957">
      <c r="J957" s="8"/>
      <c r="K957" s="8"/>
      <c r="M957" s="8"/>
    </row>
    <row r="958">
      <c r="J958" s="8"/>
      <c r="K958" s="8"/>
      <c r="M958" s="8"/>
    </row>
    <row r="959">
      <c r="J959" s="8"/>
      <c r="K959" s="8"/>
      <c r="M959" s="8"/>
    </row>
    <row r="960">
      <c r="J960" s="8"/>
      <c r="K960" s="8"/>
      <c r="M960" s="8"/>
    </row>
    <row r="961">
      <c r="J961" s="8"/>
      <c r="K961" s="8"/>
      <c r="M961" s="8"/>
    </row>
    <row r="962">
      <c r="J962" s="8"/>
      <c r="K962" s="8"/>
      <c r="M962" s="8"/>
    </row>
    <row r="963">
      <c r="J963" s="8"/>
      <c r="K963" s="8"/>
      <c r="M963" s="8"/>
    </row>
    <row r="964">
      <c r="J964" s="8"/>
      <c r="K964" s="8"/>
      <c r="M964" s="8"/>
    </row>
    <row r="965">
      <c r="J965" s="8"/>
      <c r="K965" s="8"/>
      <c r="M965" s="8"/>
    </row>
    <row r="966">
      <c r="J966" s="8"/>
      <c r="K966" s="8"/>
      <c r="M966" s="8"/>
    </row>
    <row r="967">
      <c r="J967" s="8"/>
      <c r="K967" s="8"/>
      <c r="M967" s="8"/>
    </row>
    <row r="968">
      <c r="J968" s="8"/>
      <c r="K968" s="8"/>
      <c r="M968" s="8"/>
    </row>
    <row r="969">
      <c r="J969" s="8"/>
      <c r="K969" s="8"/>
      <c r="M969" s="8"/>
    </row>
    <row r="970">
      <c r="J970" s="8"/>
      <c r="K970" s="8"/>
      <c r="M970" s="8"/>
    </row>
    <row r="971">
      <c r="J971" s="8"/>
      <c r="K971" s="8"/>
      <c r="M971" s="8"/>
    </row>
    <row r="972">
      <c r="J972" s="8"/>
      <c r="K972" s="8"/>
      <c r="M972" s="8"/>
    </row>
    <row r="973">
      <c r="J973" s="8"/>
      <c r="K973" s="8"/>
      <c r="M973" s="8"/>
    </row>
    <row r="974">
      <c r="J974" s="8"/>
      <c r="K974" s="8"/>
      <c r="M974" s="8"/>
    </row>
    <row r="975">
      <c r="J975" s="8"/>
      <c r="K975" s="8"/>
      <c r="M975" s="8"/>
    </row>
    <row r="976">
      <c r="J976" s="8"/>
      <c r="K976" s="8"/>
      <c r="M976" s="8"/>
    </row>
    <row r="977">
      <c r="J977" s="8"/>
      <c r="K977" s="8"/>
      <c r="M977" s="8"/>
    </row>
    <row r="978">
      <c r="J978" s="8"/>
      <c r="K978" s="8"/>
      <c r="M978" s="8"/>
    </row>
    <row r="979">
      <c r="J979" s="8"/>
      <c r="K979" s="8"/>
      <c r="M979" s="8"/>
    </row>
    <row r="980">
      <c r="J980" s="8"/>
      <c r="K980" s="8"/>
      <c r="M980" s="8"/>
    </row>
    <row r="981">
      <c r="J981" s="8"/>
      <c r="K981" s="8"/>
      <c r="M981" s="8"/>
    </row>
    <row r="982">
      <c r="J982" s="8"/>
      <c r="K982" s="8"/>
      <c r="M982" s="8"/>
    </row>
    <row r="983">
      <c r="J983" s="8"/>
      <c r="K983" s="8"/>
      <c r="M983" s="8"/>
    </row>
    <row r="984">
      <c r="J984" s="8"/>
      <c r="K984" s="8"/>
      <c r="M984" s="8"/>
    </row>
    <row r="985">
      <c r="J985" s="8"/>
      <c r="K985" s="8"/>
      <c r="M985" s="8"/>
    </row>
    <row r="986">
      <c r="J986" s="8"/>
      <c r="K986" s="8"/>
      <c r="M986" s="8"/>
    </row>
    <row r="987">
      <c r="J987" s="8"/>
      <c r="K987" s="8"/>
      <c r="M987" s="8"/>
    </row>
    <row r="988">
      <c r="J988" s="8"/>
      <c r="K988" s="8"/>
      <c r="M988" s="8"/>
    </row>
    <row r="989">
      <c r="J989" s="8"/>
      <c r="K989" s="8"/>
      <c r="M989" s="8"/>
    </row>
    <row r="990">
      <c r="J990" s="8"/>
      <c r="K990" s="8"/>
      <c r="M990" s="8"/>
    </row>
    <row r="991">
      <c r="J991" s="8"/>
      <c r="K991" s="8"/>
      <c r="M991" s="8"/>
    </row>
    <row r="992">
      <c r="J992" s="8"/>
      <c r="K992" s="8"/>
      <c r="M992" s="8"/>
    </row>
    <row r="993">
      <c r="J993" s="8"/>
      <c r="K993" s="8"/>
      <c r="M993" s="8"/>
    </row>
    <row r="994">
      <c r="J994" s="8"/>
      <c r="K994" s="8"/>
      <c r="M994" s="8"/>
    </row>
    <row r="995">
      <c r="J995" s="8"/>
      <c r="K995" s="8"/>
      <c r="M995" s="8"/>
    </row>
    <row r="996">
      <c r="J996" s="8"/>
      <c r="K996" s="8"/>
      <c r="M996" s="8"/>
    </row>
    <row r="997">
      <c r="J997" s="8"/>
      <c r="K997" s="8"/>
      <c r="M997" s="8"/>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37.63"/>
    <col customWidth="1" min="4" max="4" width="32.63"/>
    <col customWidth="1" min="5" max="5" width="37.63"/>
    <col customWidth="1" min="10" max="11" width="37.63"/>
    <col customWidth="1" min="12" max="12" width="32.13"/>
    <col customWidth="1" min="13" max="13" width="37.63"/>
  </cols>
  <sheetData>
    <row r="1">
      <c r="A1" s="1" t="s">
        <v>0</v>
      </c>
      <c r="B1" s="1" t="s">
        <v>1</v>
      </c>
      <c r="C1" s="1" t="s">
        <v>2</v>
      </c>
      <c r="D1" s="1" t="s">
        <v>3</v>
      </c>
      <c r="E1" s="1" t="s">
        <v>4</v>
      </c>
      <c r="I1" s="9" t="s">
        <v>5</v>
      </c>
      <c r="J1" s="9" t="s">
        <v>6</v>
      </c>
      <c r="K1" s="9" t="s">
        <v>7</v>
      </c>
      <c r="L1" s="9" t="s">
        <v>8</v>
      </c>
      <c r="M1" s="9" t="s">
        <v>9</v>
      </c>
    </row>
    <row r="2">
      <c r="A2" s="4">
        <v>1.0</v>
      </c>
      <c r="B2" s="4" t="s">
        <v>502</v>
      </c>
      <c r="C2" s="4" t="s">
        <v>503</v>
      </c>
      <c r="D2" s="4" t="s">
        <v>12</v>
      </c>
      <c r="E2" s="4" t="s">
        <v>504</v>
      </c>
      <c r="I2" s="10" t="str">
        <f>IFERROR(__xludf.DUMMYFUNCTION("GOOGLETRANSLATE(A2, ""en"", ""bn"")"),"১")</f>
        <v>১</v>
      </c>
      <c r="J2" s="10" t="str">
        <f>IFERROR(__xludf.DUMMYFUNCTION("GOOGLETRANSLATE(B2, ""en"", ""bn"")"),"দাড়িবান্ধা খেলার উৎপত্তি কোথায়?")</f>
        <v>দাড়িবান্ধা খেলার উৎপত্তি কোথায়?</v>
      </c>
      <c r="K2" s="10" t="str">
        <f>IFERROR(__xludf.DUMMYFUNCTION("GOOGLETRANSLATE(C2, ""en"", ""bn"")"),"ক) ভারত, খ) বাংলাদেশ, গ) নেপাল, ঘ) পাকিস্তান")</f>
        <v>ক) ভারত, খ) বাংলাদেশ, গ) নেপাল, ঘ) পাকিস্তান</v>
      </c>
      <c r="L2" s="10" t="str">
        <f>IFERROR(__xludf.DUMMYFUNCTION("GOOGLETRANSLATE(D2, ""en"", ""bn"")"),"খ) বাংলাদেশ")</f>
        <v>খ) বাংলাদেশ</v>
      </c>
      <c r="M2" s="10" t="str">
        <f>IFERROR(__xludf.DUMMYFUNCTION("GOOGLETRANSLATE(E2, ""en"", ""bn"")"),"দাড়িবান্ধা একটি ঐতিহ্যবাহী খেলা যার উৎপত্তি বাংলাদেশে।")</f>
        <v>দাড়িবান্ধা একটি ঐতিহ্যবাহী খেলা যার উৎপত্তি বাংলাদেশে।</v>
      </c>
    </row>
    <row r="3">
      <c r="A3" s="4">
        <v>2.0</v>
      </c>
      <c r="B3" s="4" t="s">
        <v>505</v>
      </c>
      <c r="C3" s="4" t="s">
        <v>506</v>
      </c>
      <c r="D3" s="4" t="s">
        <v>507</v>
      </c>
      <c r="E3" s="4" t="s">
        <v>508</v>
      </c>
      <c r="I3" s="10" t="str">
        <f>IFERROR(__xludf.DUMMYFUNCTION("GOOGLETRANSLATE(A3, ""en"", ""bn"")"),"২")</f>
        <v>২</v>
      </c>
      <c r="J3" s="10" t="str">
        <f>IFERROR(__xludf.DUMMYFUNCTION("GOOGLETRANSLATE(B3, ""en"", ""bn"")"),"দরিয়াবান্ধার জনপ্রিয়তার সাথে কোন ঐতিহাসিক ঘটনা জড়িত?")</f>
        <v>দরিয়াবান্ধার জনপ্রিয়তার সাথে কোন ঐতিহাসিক ঘটনা জড়িত?</v>
      </c>
      <c r="K3" s="10" t="str">
        <f>IFERROR(__xludf.DUMMYFUNCTION("GOOGLETRANSLATE(C3, ""en"", ""bn"")"),"ক) ব্রিটিশ ঔপনিবেশিক শাসন, খ) বাংলাদেশের স্বাধীনতা যুদ্ধ, গ) মুঘল সাম্রাজ্য, ঘ) দ্বিতীয় বিশ্বযুদ্ধ")</f>
        <v>ক) ব্রিটিশ ঔপনিবেশিক শাসন, খ) বাংলাদেশের স্বাধীনতা যুদ্ধ, গ) মুঘল সাম্রাজ্য, ঘ) দ্বিতীয় বিশ্বযুদ্ধ</v>
      </c>
      <c r="L3" s="10" t="str">
        <f>IFERROR(__xludf.DUMMYFUNCTION("GOOGLETRANSLATE(D3, ""en"", ""bn"")"),"খ) বাংলাদেশের স্বাধীনতা যুদ্ধ")</f>
        <v>খ) বাংলাদেশের স্বাধীনতা যুদ্ধ</v>
      </c>
      <c r="M3" s="10" t="str">
        <f>IFERROR(__xludf.DUMMYFUNCTION("GOOGLETRANSLATE(E3, ""en"", ""bn"")"),"স্বাধীনতার পর বাংলাদেশে এই খেলাটি জনপ্রিয়তা লাভ করে।")</f>
        <v>স্বাধীনতার পর বাংলাদেশে এই খেলাটি জনপ্রিয়তা লাভ করে।</v>
      </c>
    </row>
    <row r="4">
      <c r="A4" s="4">
        <v>3.0</v>
      </c>
      <c r="B4" s="4" t="s">
        <v>509</v>
      </c>
      <c r="C4" s="4" t="s">
        <v>510</v>
      </c>
      <c r="D4" s="4" t="s">
        <v>511</v>
      </c>
      <c r="E4" s="4" t="s">
        <v>512</v>
      </c>
      <c r="I4" s="10" t="str">
        <f>IFERROR(__xludf.DUMMYFUNCTION("GOOGLETRANSLATE(A4, ""en"", ""bn"")"),"৩")</f>
        <v>৩</v>
      </c>
      <c r="J4" s="10" t="str">
        <f>IFERROR(__xludf.DUMMYFUNCTION("GOOGLETRANSLATE(B4, ""en"", ""bn"")"),"দরিয়াবান্ধা খেলার প্রাথমিক উদ্দেশ্য কী?")</f>
        <v>দরিয়াবান্ধা খেলার প্রাথমিক উদ্দেশ্য কী?</v>
      </c>
      <c r="K4" s="10" t="str">
        <f>IFERROR(__xludf.DUMMYFUNCTION("GOOGLETRANSLATE(C4, ""en"", ""bn"")"),"ক) পয়েন্ট অর্জন, খ) দুর্গ রক্ষা করা, গ) টানাপোড়েনে প্রতিপক্ষকে পরাজিত করা, ঘ) দৌড়ানো")</f>
        <v>ক) পয়েন্ট অর্জন, খ) দুর্গ রক্ষা করা, গ) টানাপোড়েনে প্রতিপক্ষকে পরাজিত করা, ঘ) দৌড়ানো</v>
      </c>
      <c r="L4" s="10" t="str">
        <f>IFERROR(__xludf.DUMMYFUNCTION("GOOGLETRANSLATE(D4, ""en"", ""bn"")"),"গ) টানাপোড়েনে প্রতিপক্ষকে পরাজিত করা")</f>
        <v>গ) টানাপোড়েনে প্রতিপক্ষকে পরাজিত করা</v>
      </c>
      <c r="M4" s="10" t="str">
        <f>IFERROR(__xludf.DUMMYFUNCTION("GOOGLETRANSLATE(E4, ""en"", ""bn"")"),"দাড়িবান্ধা একটি প্রতিযোগিতামূলক খেলা যা দুটি দলের মধ্যে টানাপোড়েনের মতো।")</f>
        <v>দাড়িবান্ধা একটি প্রতিযোগিতামূলক খেলা যা দুটি দলের মধ্যে টানাপোড়েনের মতো।</v>
      </c>
    </row>
    <row r="5">
      <c r="A5" s="4">
        <v>4.0</v>
      </c>
      <c r="B5" s="4" t="s">
        <v>513</v>
      </c>
      <c r="C5" s="4" t="s">
        <v>514</v>
      </c>
      <c r="D5" s="4" t="s">
        <v>515</v>
      </c>
      <c r="E5" s="4" t="s">
        <v>516</v>
      </c>
      <c r="I5" s="10" t="str">
        <f>IFERROR(__xludf.DUMMYFUNCTION("GOOGLETRANSLATE(A5, ""en"", ""bn"")"),"৪")</f>
        <v>৪</v>
      </c>
      <c r="J5" s="10" t="str">
        <f>IFERROR(__xludf.DUMMYFUNCTION("GOOGLETRANSLATE(B5, ""en"", ""bn"")"),"একটি দাড়িবান্ধা খেলায় সাধারণত কতজন খেলোয়াড় অংশগ্রহণ করে?")</f>
        <v>একটি দাড়িবান্ধা খেলায় সাধারণত কতজন খেলোয়াড় অংশগ্রহণ করে?</v>
      </c>
      <c r="K5" s="10" t="str">
        <f>IFERROR(__xludf.DUMMYFUNCTION("GOOGLETRANSLATE(C5, ""en"", ""bn"")"),"ক) ১০, খ) ২০, গ) ১৫, ঘ) ৩০")</f>
        <v>ক) ১০, খ) ২০, গ) ১৫, ঘ) ৩০</v>
      </c>
      <c r="L5" s="10" t="str">
        <f>IFERROR(__xludf.DUMMYFUNCTION("GOOGLETRANSLATE(D5, ""en"", ""bn"")"),"খ) ২০")</f>
        <v>খ) ২০</v>
      </c>
      <c r="M5" s="10" t="str">
        <f>IFERROR(__xludf.DUMMYFUNCTION("GOOGLETRANSLATE(E5, ""en"", ""bn"")"),"একটি সাধারণ দাড়িবান্ধা ম্যাচে ২০ জন খেলোয়াড় অংশগ্রহণ করে, প্রতিটি দলে ১০ জন করে।")</f>
        <v>একটি সাধারণ দাড়িবান্ধা ম্যাচে ২০ জন খেলোয়াড় অংশগ্রহণ করে, প্রতিটি দলে ১০ জন করে।</v>
      </c>
    </row>
    <row r="6">
      <c r="A6" s="4">
        <v>5.0</v>
      </c>
      <c r="B6" s="4" t="s">
        <v>517</v>
      </c>
      <c r="C6" s="4" t="s">
        <v>518</v>
      </c>
      <c r="D6" s="4" t="s">
        <v>519</v>
      </c>
      <c r="E6" s="4" t="s">
        <v>520</v>
      </c>
      <c r="I6" s="10" t="str">
        <f>IFERROR(__xludf.DUMMYFUNCTION("GOOGLETRANSLATE(A6, ""en"", ""bn"")"),"৫")</f>
        <v>৫</v>
      </c>
      <c r="J6" s="10" t="str">
        <f>IFERROR(__xludf.DUMMYFUNCTION("GOOGLETRANSLATE(B6, ""en"", ""bn"")"),"দাড়িবান্ধায় দড়ির ভূমিকা কী?")</f>
        <v>দাড়িবান্ধায় দড়ির ভূমিকা কী?</v>
      </c>
      <c r="K6" s="10" t="str">
        <f>IFERROR(__xludf.DUMMYFUNCTION("GOOGLETRANSLATE(C6, ""en"", ""bn"")"),"ক) সাজসজ্জা, খ) আক্রমণাত্মক অস্ত্র, গ) সীমানা চিহ্নিতকারী, ঘ) গেমপ্লের কেন্দ্রবিন্দু")</f>
        <v>ক) সাজসজ্জা, খ) আক্রমণাত্মক অস্ত্র, গ) সীমানা চিহ্নিতকারী, ঘ) গেমপ্লের কেন্দ্রবিন্দু</v>
      </c>
      <c r="L6" s="10" t="str">
        <f>IFERROR(__xludf.DUMMYFUNCTION("GOOGLETRANSLATE(D6, ""en"", ""bn"")"),"ঘ) গেমপ্লের কেন্দ্রবিন্দুতে")</f>
        <v>ঘ) গেমপ্লের কেন্দ্রবিন্দুতে</v>
      </c>
      <c r="M6" s="10" t="str">
        <f>IFERROR(__xludf.DUMMYFUNCTION("GOOGLETRANSLATE(E6, ""en"", ""bn"")"),"দড়িটি খেলার কেন্দ্রবিন্দুতে থাকে, দলগুলি এটিকে তাদের দিকে টেনে আনার চেষ্টা করে।")</f>
        <v>দড়িটি খেলার কেন্দ্রবিন্দুতে থাকে, দলগুলি এটিকে তাদের দিকে টেনে আনার চেষ্টা করে।</v>
      </c>
    </row>
    <row r="7">
      <c r="A7" s="4">
        <v>6.0</v>
      </c>
      <c r="B7" s="4" t="s">
        <v>521</v>
      </c>
      <c r="C7" s="4" t="s">
        <v>522</v>
      </c>
      <c r="D7" s="4" t="s">
        <v>523</v>
      </c>
      <c r="E7" s="4" t="s">
        <v>524</v>
      </c>
      <c r="I7" s="10" t="str">
        <f>IFERROR(__xludf.DUMMYFUNCTION("GOOGLETRANSLATE(A7, ""en"", ""bn"")"),"৬")</f>
        <v>৬</v>
      </c>
      <c r="J7" s="10" t="str">
        <f>IFERROR(__xludf.DUMMYFUNCTION("GOOGLETRANSLATE(B7, ""en"", ""bn"")"),"দাড়িবান্ধা খেলার জন্য কোন ধরণের ভূখণ্ড আদর্শ?")</f>
        <v>দাড়িবান্ধা খেলার জন্য কোন ধরণের ভূখণ্ড আদর্শ?</v>
      </c>
      <c r="K7" s="10" t="str">
        <f>IFERROR(__xludf.DUMMYFUNCTION("GOOGLETRANSLATE(C7, ""en"", ""bn"")"),"ক) জলাশয়, খ) পাথুরে পাহাড়, গ) সমতল ভূমি, ঘ) বন")</f>
        <v>ক) জলাশয়, খ) পাথুরে পাহাড়, গ) সমতল ভূমি, ঘ) বন</v>
      </c>
      <c r="L7" s="10" t="str">
        <f>IFERROR(__xludf.DUMMYFUNCTION("GOOGLETRANSLATE(D7, ""en"", ""bn"")"),"গ) সমতল ভূমি")</f>
        <v>গ) সমতল ভূমি</v>
      </c>
      <c r="M7" s="10" t="str">
        <f>IFERROR(__xludf.DUMMYFUNCTION("GOOGLETRANSLATE(E7, ""en"", ""bn"")"),"সুষ্ঠু প্রতিযোগিতা নিশ্চিত করার জন্য দাড়িবান্ধা সাধারণত সমতল ভূমিতে খেলা হয়।")</f>
        <v>সুষ্ঠু প্রতিযোগিতা নিশ্চিত করার জন্য দাড়িবান্ধা সাধারণত সমতল ভূমিতে খেলা হয়।</v>
      </c>
    </row>
    <row r="8">
      <c r="A8" s="4">
        <v>7.0</v>
      </c>
      <c r="B8" s="4" t="s">
        <v>525</v>
      </c>
      <c r="C8" s="4" t="s">
        <v>526</v>
      </c>
      <c r="D8" s="4" t="s">
        <v>527</v>
      </c>
      <c r="E8" s="4" t="s">
        <v>528</v>
      </c>
      <c r="I8" s="10" t="str">
        <f>IFERROR(__xludf.DUMMYFUNCTION("GOOGLETRANSLATE(A8, ""en"", ""bn"")"),"৭")</f>
        <v>৭</v>
      </c>
      <c r="J8" s="10" t="str">
        <f>IFERROR(__xludf.DUMMYFUNCTION("GOOGLETRANSLATE(B8, ""en"", ""bn"")"),"দাড়িবান্ধায় দড়ি তৈরিতে ঐতিহ্যগতভাবে নিম্নলিখিত কোন উপকরণ ব্যবহার করা হয়?")</f>
        <v>দাড়িবান্ধায় দড়ি তৈরিতে ঐতিহ্যগতভাবে নিম্নলিখিত কোন উপকরণ ব্যবহার করা হয়?</v>
      </c>
      <c r="K8" s="10" t="str">
        <f>IFERROR(__xludf.DUMMYFUNCTION("GOOGLETRANSLATE(C8, ""en"", ""bn"")"),"ক) সিল্ক, খ) তুলা, গ) পাট, ঘ) নাইলন")</f>
        <v>ক) সিল্ক, খ) তুলা, গ) পাট, ঘ) নাইলন</v>
      </c>
      <c r="L8" s="10" t="str">
        <f>IFERROR(__xludf.DUMMYFUNCTION("GOOGLETRANSLATE(D8, ""en"", ""bn"")"),"গ) পাট")</f>
        <v>গ) পাট</v>
      </c>
      <c r="M8" s="10" t="str">
        <f>IFERROR(__xludf.DUMMYFUNCTION("GOOGLETRANSLATE(E8, ""en"", ""bn"")"),"স্থানীয়ভাবে পাট থেকে পাওয়া যায়, ঐতিহ্যগতভাবে দাড়িয়াবান্ধায় দড়ি তৈরিতে ব্যবহৃত হয়।")</f>
        <v>স্থানীয়ভাবে পাট থেকে পাওয়া যায়, ঐতিহ্যগতভাবে দাড়িয়াবান্ধায় দড়ি তৈরিতে ব্যবহৃত হয়।</v>
      </c>
    </row>
    <row r="9">
      <c r="A9" s="4">
        <v>8.0</v>
      </c>
      <c r="B9" s="4" t="s">
        <v>529</v>
      </c>
      <c r="C9" s="4" t="s">
        <v>530</v>
      </c>
      <c r="D9" s="4" t="s">
        <v>531</v>
      </c>
      <c r="E9" s="4" t="s">
        <v>532</v>
      </c>
      <c r="I9" s="10" t="str">
        <f>IFERROR(__xludf.DUMMYFUNCTION("GOOGLETRANSLATE(A9, ""en"", ""bn"")"),"৮")</f>
        <v>৮</v>
      </c>
      <c r="J9" s="10" t="str">
        <f>IFERROR(__xludf.DUMMYFUNCTION("GOOGLETRANSLATE(B9, ""en"", ""bn"")"),"দাড়িবান্ধায়, বিজয়ী কীভাবে নির্ধারণ করা হয়?")</f>
        <v>দাড়িবান্ধায়, বিজয়ী কীভাবে নির্ধারণ করা হয়?</v>
      </c>
      <c r="K9" s="10" t="str">
        <f>IFERROR(__xludf.DUMMYFUNCTION("GOOGLETRANSLATE(C9, ""en"", ""bn"")"),"ক) প্রথমে পয়েন্ট অর্জনকারী, খ) প্রথমে মাঝখান দিয়ে দড়ি টেনে ধরা, গ) শেষ দল দাঁড়িয়ে থাকা, ঘ) সর্বাধিক গোল করা")</f>
        <v>ক) প্রথমে পয়েন্ট অর্জনকারী, খ) প্রথমে মাঝখান দিয়ে দড়ি টেনে ধরা, গ) শেষ দল দাঁড়িয়ে থাকা, ঘ) সর্বাধিক গোল করা</v>
      </c>
      <c r="L9" s="10" t="str">
        <f>IFERROR(__xludf.DUMMYFUNCTION("GOOGLETRANSLATE(D9, ""en"", ""bn"")"),"খ) প্রথমে দড়িটি মাঝখান দিয়ে টেনে আনুন")</f>
        <v>খ) প্রথমে দড়িটি মাঝখান দিয়ে টেনে আনুন</v>
      </c>
      <c r="M9" s="10" t="str">
        <f>IFERROR(__xludf.DUMMYFUNCTION("GOOGLETRANSLATE(E9, ""en"", ""bn"")"),"যে দলটি সফলভাবে কেন্দ্ররেখা অতিক্রম করে দড়িটি টেনে আনবে তারাই বিজয়ী হবে।")</f>
        <v>যে দলটি সফলভাবে কেন্দ্ররেখা অতিক্রম করে দড়িটি টেনে আনবে তারাই বিজয়ী হবে।</v>
      </c>
    </row>
    <row r="10">
      <c r="A10" s="4">
        <v>9.0</v>
      </c>
      <c r="B10" s="4" t="s">
        <v>533</v>
      </c>
      <c r="C10" s="4" t="s">
        <v>534</v>
      </c>
      <c r="D10" s="4" t="s">
        <v>535</v>
      </c>
      <c r="E10" s="4" t="s">
        <v>536</v>
      </c>
      <c r="I10" s="10" t="str">
        <f>IFERROR(__xludf.DUMMYFUNCTION("GOOGLETRANSLATE(A10, ""en"", ""bn"")"),"৯")</f>
        <v>৯</v>
      </c>
      <c r="J10" s="10" t="str">
        <f>IFERROR(__xludf.DUMMYFUNCTION("GOOGLETRANSLATE(B10, ""en"", ""bn"")"),"বাংলাদেশে দাড়িবান্ধার ঐতিহাসিক তাৎপর্য কী?")</f>
        <v>বাংলাদেশে দাড়িবান্ধার ঐতিহাসিক তাৎপর্য কী?</v>
      </c>
      <c r="K10" s="10" t="str">
        <f>IFERROR(__xludf.DUMMYFUNCTION("GOOGLETRANSLATE(C10, ""en"", ""bn"")"),"ক) ঐক্যের প্রতীক, খ) রাজকীয় খেলাধুলা, গ) আচার-অনুষ্ঠান, ঘ) ঔপনিবেশিক প্রতিরোধ")</f>
        <v>ক) ঐক্যের প্রতীক, খ) রাজকীয় খেলাধুলা, গ) আচার-অনুষ্ঠান, ঘ) ঔপনিবেশিক প্রতিরোধ</v>
      </c>
      <c r="L10" s="10" t="str">
        <f>IFERROR(__xludf.DUMMYFUNCTION("GOOGLETRANSLATE(D10, ""en"", ""bn"")"),"ক) ঐক্যের প্রতীক")</f>
        <v>ক) ঐক্যের প্রতীক</v>
      </c>
      <c r="M10" s="10" t="str">
        <f>IFERROR(__xludf.DUMMYFUNCTION("GOOGLETRANSLATE(E10, ""en"", ""bn"")"),"ঐতিহাসিকভাবে বাংলাদেশে দাড়িবান্ধা ঐক্য ও সম্প্রদায়ের শক্তির প্রতীক।")</f>
        <v>ঐতিহাসিকভাবে বাংলাদেশে দাড়িবান্ধা ঐক্য ও সম্প্রদায়ের শক্তির প্রতীক।</v>
      </c>
    </row>
    <row r="11">
      <c r="A11" s="4">
        <v>10.0</v>
      </c>
      <c r="B11" s="4" t="s">
        <v>537</v>
      </c>
      <c r="C11" s="4" t="s">
        <v>538</v>
      </c>
      <c r="D11" s="4" t="s">
        <v>290</v>
      </c>
      <c r="E11" s="4" t="s">
        <v>539</v>
      </c>
      <c r="I11" s="10" t="str">
        <f>IFERROR(__xludf.DUMMYFUNCTION("GOOGLETRANSLATE(A11, ""en"", ""bn"")"),"১০")</f>
        <v>১০</v>
      </c>
      <c r="J11" s="10" t="str">
        <f>IFERROR(__xludf.DUMMYFUNCTION("GOOGLETRANSLATE(B11, ""en"", ""bn"")"),"বাংলাদেশের কোন অঞ্চলটি দাড়িবান্ধার জন্য বিশেষভাবে বিখ্যাত?")</f>
        <v>বাংলাদেশের কোন অঞ্চলটি দাড়িবান্ধার জন্য বিশেষভাবে বিখ্যাত?</v>
      </c>
      <c r="K11" s="10" t="str">
        <f>IFERROR(__xludf.DUMMYFUNCTION("GOOGLETRANSLATE(C11, ""en"", ""bn"")"),"ক) সিলেট, খ) চট্টগ্রাম, গ) রাজশাহী, ঘ) ঢাকা")</f>
        <v>ক) সিলেট, খ) চট্টগ্রাম, গ) রাজশাহী, ঘ) ঢাকা</v>
      </c>
      <c r="L11" s="10" t="str">
        <f>IFERROR(__xludf.DUMMYFUNCTION("GOOGLETRANSLATE(D11, ""en"", ""bn"")"),"খ) চট্টগ্রাম")</f>
        <v>খ) চট্টগ্রাম</v>
      </c>
      <c r="M11" s="10" t="str">
        <f>IFERROR(__xludf.DUMMYFUNCTION("GOOGLETRANSLATE(E11, ""en"", ""bn"")"),"বাংলাদেশের চট্টগ্রাম অঞ্চল দাড়িবান্ধায় সক্রিয় অংশগ্রহণের জন্য পরিচিত।")</f>
        <v>বাংলাদেশের চট্টগ্রাম অঞ্চল দাড়িবান্ধায় সক্রিয় অংশগ্রহণের জন্য পরিচিত।</v>
      </c>
    </row>
    <row r="12">
      <c r="A12" s="4">
        <v>11.0</v>
      </c>
      <c r="B12" s="4" t="s">
        <v>540</v>
      </c>
      <c r="C12" s="4" t="s">
        <v>541</v>
      </c>
      <c r="D12" s="4" t="s">
        <v>542</v>
      </c>
      <c r="E12" s="4" t="s">
        <v>543</v>
      </c>
      <c r="I12" s="10" t="str">
        <f>IFERROR(__xludf.DUMMYFUNCTION("GOOGLETRANSLATE(A12, ""en"", ""bn"")"),"১১")</f>
        <v>১১</v>
      </c>
      <c r="J12" s="10" t="str">
        <f>IFERROR(__xludf.DUMMYFUNCTION("GOOGLETRANSLATE(B12, ""en"", ""bn"")"),"'দারিবান্ধা' নামের আক্ষরিক অর্থ কী?")</f>
        <v>'দারিবান্ধা' নামের আক্ষরিক অর্থ কী?</v>
      </c>
      <c r="K12" s="10" t="str">
        <f>IFERROR(__xludf.DUMMYFUNCTION("GOOGLETRANSLATE(C12, ""en"", ""bn"")"),"ক) দড়ির লড়াই, খ) দড়ির খেলা, গ) জোরে টান, ঘ) শক্ত গিঁট")</f>
        <v>ক) দড়ির লড়াই, খ) দড়ির খেলা, গ) জোরে টান, ঘ) শক্ত গিঁট</v>
      </c>
      <c r="L12" s="10" t="str">
        <f>IFERROR(__xludf.DUMMYFUNCTION("GOOGLETRANSLATE(D12, ""en"", ""bn"")"),"খ) দড়ি খেলা")</f>
        <v>খ) দড়ি খেলা</v>
      </c>
      <c r="M12" s="10" t="str">
        <f>IFERROR(__xludf.DUMMYFUNCTION("GOOGLETRANSLATE(E12, ""en"", ""bn"")"),"দড়িবান্ধা নামটির অর্থ 'দড়ি খেলা', যা এর কেন্দ্রীয় ব্যবহারকে প্রতিফলিত করে।")</f>
        <v>দড়িবান্ধা নামটির অর্থ 'দড়ি খেলা', যা এর কেন্দ্রীয় ব্যবহারকে প্রতিফলিত করে।</v>
      </c>
    </row>
    <row r="13">
      <c r="A13" s="4">
        <v>12.0</v>
      </c>
      <c r="B13" s="4" t="s">
        <v>544</v>
      </c>
      <c r="C13" s="4" t="s">
        <v>545</v>
      </c>
      <c r="D13" s="4" t="s">
        <v>546</v>
      </c>
      <c r="E13" s="4" t="s">
        <v>547</v>
      </c>
      <c r="I13" s="10" t="str">
        <f>IFERROR(__xludf.DUMMYFUNCTION("GOOGLETRANSLATE(A13, ""en"", ""bn"")"),"১২")</f>
        <v>১২</v>
      </c>
      <c r="J13" s="10" t="str">
        <f>IFERROR(__xludf.DUMMYFUNCTION("GOOGLETRANSLATE(B13, ""en"", ""bn"")"),"দাড়িবান্ধার ঐতিহ্যবাহী সংস্করণে, জয়ের জন্য কতবার দড়ি টানতে হয়?")</f>
        <v>দাড়িবান্ধার ঐতিহ্যবাহী সংস্করণে, জয়ের জন্য কতবার দড়ি টানতে হয়?</v>
      </c>
      <c r="K13" s="10" t="str">
        <f>IFERROR(__xludf.DUMMYFUNCTION("GOOGLETRANSLATE(C13, ""en"", ""bn"")"),"ক) একবার, খ) দুবার, গ) তিনবার, ঘ) পাঁচবার")</f>
        <v>ক) একবার, খ) দুবার, গ) তিনবার, ঘ) পাঁচবার</v>
      </c>
      <c r="L13" s="10" t="str">
        <f>IFERROR(__xludf.DUMMYFUNCTION("GOOGLETRANSLATE(D13, ""en"", ""bn"")"),"ক) একবার")</f>
        <v>ক) একবার</v>
      </c>
      <c r="M13" s="10" t="str">
        <f>IFERROR(__xludf.DUMMYFUNCTION("GOOGLETRANSLATE(E13, ""en"", ""bn"")"),"ঐতিহ্যবাহী খেলাটি কেন্দ্ররেখা জুড়ে একবার সফলভাবে দড়ি টেনে জেতা হয়।")</f>
        <v>ঐতিহ্যবাহী খেলাটি কেন্দ্ররেখা জুড়ে একবার সফলভাবে দড়ি টেনে জেতা হয়।</v>
      </c>
    </row>
    <row r="14">
      <c r="A14" s="4">
        <v>13.0</v>
      </c>
      <c r="B14" s="4" t="s">
        <v>548</v>
      </c>
      <c r="C14" s="4" t="s">
        <v>549</v>
      </c>
      <c r="D14" s="4" t="s">
        <v>550</v>
      </c>
      <c r="E14" s="4" t="s">
        <v>551</v>
      </c>
      <c r="I14" s="10" t="str">
        <f>IFERROR(__xludf.DUMMYFUNCTION("GOOGLETRANSLATE(A14, ""en"", ""bn"")"),"১৩")</f>
        <v>১৩</v>
      </c>
      <c r="J14" s="10" t="str">
        <f>IFERROR(__xludf.DUMMYFUNCTION("GOOGLETRANSLATE(B14, ""en"", ""bn"")"),"দাড়িবান্ধা প্রায়শই কোন ধরণের সাংস্কৃতিক অনুষ্ঠানের সাথে যুক্ত?")</f>
        <v>দাড়িবান্ধা প্রায়শই কোন ধরণের সাংস্কৃতিক অনুষ্ঠানের সাথে যুক্ত?</v>
      </c>
      <c r="K14" s="10" t="str">
        <f>IFERROR(__xludf.DUMMYFUNCTION("GOOGLETRANSLATE(C14, ""en"", ""bn"")"),"ক) জাতীয় ছুটির দিন, খ) ধর্মীয় উৎসব, গ) গ্রামীণ উৎসব, ঘ) রাজনৈতিক সমাবেশ")</f>
        <v>ক) জাতীয় ছুটির দিন, খ) ধর্মীয় উৎসব, গ) গ্রামীণ উৎসব, ঘ) রাজনৈতিক সমাবেশ</v>
      </c>
      <c r="L14" s="10" t="str">
        <f>IFERROR(__xludf.DUMMYFUNCTION("GOOGLETRANSLATE(D14, ""en"", ""bn"")"),"গ) গ্রামীণ উৎসব")</f>
        <v>গ) গ্রামীণ উৎসব</v>
      </c>
      <c r="M14" s="10" t="str">
        <f>IFERROR(__xludf.DUMMYFUNCTION("GOOGLETRANSLATE(E14, ""en"", ""bn"")"),"দাড়িবান্ধা সাধারণত গ্রামের উৎসব এবং সম্প্রদায়ের সমাবেশে বাজানো হয়।")</f>
        <v>দাড়িবান্ধা সাধারণত গ্রামের উৎসব এবং সম্প্রদায়ের সমাবেশে বাজানো হয়।</v>
      </c>
    </row>
    <row r="15">
      <c r="A15" s="4">
        <v>14.0</v>
      </c>
      <c r="B15" s="4" t="s">
        <v>552</v>
      </c>
      <c r="C15" s="4" t="s">
        <v>553</v>
      </c>
      <c r="D15" s="4" t="s">
        <v>554</v>
      </c>
      <c r="E15" s="4" t="s">
        <v>555</v>
      </c>
      <c r="I15" s="10" t="str">
        <f>IFERROR(__xludf.DUMMYFUNCTION("GOOGLETRANSLATE(A15, ""en"", ""bn"")"),"১৪")</f>
        <v>১৪</v>
      </c>
      <c r="J15" s="10" t="str">
        <f>IFERROR(__xludf.DUMMYFUNCTION("GOOGLETRANSLATE(B15, ""en"", ""bn"")"),"দাড়িবান্ধায় দক্ষতা অর্জনের জন্য প্রাথমিক দক্ষতা কী?")</f>
        <v>দাড়িবান্ধায় দক্ষতা অর্জনের জন্য প্রাথমিক দক্ষতা কী?</v>
      </c>
      <c r="K15" s="10" t="str">
        <f>IFERROR(__xludf.DUMMYFUNCTION("GOOGLETRANSLATE(C15, ""en"", ""bn"")"),"ক) গতি, খ) শক্তি, গ) তত্পরতা, ঘ) দলের সমন্বয়")</f>
        <v>ক) গতি, খ) শক্তি, গ) তত্পরতা, ঘ) দলের সমন্বয়</v>
      </c>
      <c r="L15" s="10" t="str">
        <f>IFERROR(__xludf.DUMMYFUNCTION("GOOGLETRANSLATE(D15, ""en"", ""bn"")"),"ঘ) দলের সমন্বয়")</f>
        <v>ঘ) দলের সমন্বয়</v>
      </c>
      <c r="M15" s="10" t="str">
        <f>IFERROR(__xludf.DUMMYFUNCTION("GOOGLETRANSLATE(E15, ""en"", ""bn"")"),"দাড়িয়াবান্ধায় জয়ের জন্য দলগত সমন্বয় এবং সমন্বিত প্রচেষ্টা অপরিহার্য।")</f>
        <v>দাড়িয়াবান্ধায় জয়ের জন্য দলগত সমন্বয় এবং সমন্বিত প্রচেষ্টা অপরিহার্য।</v>
      </c>
    </row>
    <row r="16">
      <c r="A16" s="4">
        <v>15.0</v>
      </c>
      <c r="B16" s="4" t="s">
        <v>556</v>
      </c>
      <c r="C16" s="4" t="s">
        <v>557</v>
      </c>
      <c r="D16" s="4" t="s">
        <v>558</v>
      </c>
      <c r="E16" s="4" t="s">
        <v>559</v>
      </c>
      <c r="I16" s="10" t="str">
        <f>IFERROR(__xludf.DUMMYFUNCTION("GOOGLETRANSLATE(A16, ""en"", ""bn"")"),"১৫")</f>
        <v>১৫</v>
      </c>
      <c r="J16" s="10" t="str">
        <f>IFERROR(__xludf.DUMMYFUNCTION("GOOGLETRANSLATE(B16, ""en"", ""bn"")"),"নিচের কোনটি দাড়িবান্ধা মিলের একটি সাধারণ বৈশিষ্ট্য?")</f>
        <v>নিচের কোনটি দাড়িবান্ধা মিলের একটি সাধারণ বৈশিষ্ট্য?</v>
      </c>
      <c r="K16" s="10" t="str">
        <f>IFERROR(__xludf.DUMMYFUNCTION("GOOGLETRANSLATE(C16, ""en"", ""bn"")"),"ক) একজন রেফারি, খ) একটি সময়সীমা, গ) শারীরিক বাধা, ঘ) দর্শকদের উল্লাস")</f>
        <v>ক) একজন রেফারি, খ) একটি সময়সীমা, গ) শারীরিক বাধা, ঘ) দর্শকদের উল্লাস</v>
      </c>
      <c r="L16" s="10" t="str">
        <f>IFERROR(__xludf.DUMMYFUNCTION("GOOGLETRANSLATE(D16, ""en"", ""bn"")"),"ক) একজন রেফারি")</f>
        <v>ক) একজন রেফারি</v>
      </c>
      <c r="M16" s="10" t="str">
        <f>IFERROR(__xludf.DUMMYFUNCTION("GOOGLETRANSLATE(E16, ""en"", ""bn"")"),"দাড়িয়াবান্ধা খেলার সময় ন্যায্যতা এবং নিয়ম মেনে চলা নিশ্চিত করার জন্য সাধারণত একজন রেফারি উপস্থিত থাকেন।")</f>
        <v>দাড়িয়াবান্ধা খেলার সময় ন্যায্যতা এবং নিয়ম মেনে চলা নিশ্চিত করার জন্য সাধারণত একজন রেফারি উপস্থিত থাকেন।</v>
      </c>
    </row>
    <row r="17">
      <c r="A17" s="4">
        <v>16.0</v>
      </c>
      <c r="B17" s="4" t="s">
        <v>560</v>
      </c>
      <c r="C17" s="4" t="s">
        <v>561</v>
      </c>
      <c r="D17" s="4" t="s">
        <v>562</v>
      </c>
      <c r="E17" s="4" t="s">
        <v>563</v>
      </c>
      <c r="I17" s="10" t="str">
        <f>IFERROR(__xludf.DUMMYFUNCTION("GOOGLETRANSLATE(A17, ""en"", ""bn"")"),"১৬")</f>
        <v>১৬</v>
      </c>
      <c r="J17" s="10" t="str">
        <f>IFERROR(__xludf.DUMMYFUNCTION("GOOGLETRANSLATE(B17, ""en"", ""bn"")"),"দাড়িয়াবান্ধার দুটি দল সাধারণত কী অর্জন করার চেষ্টা করে?")</f>
        <v>দাড়িয়াবান্ধার দুটি দল সাধারণত কী অর্জন করার চেষ্টা করে?</v>
      </c>
      <c r="K17" s="10" t="str">
        <f>IFERROR(__xludf.DUMMYFUNCTION("GOOGLETRANSLATE(C17, ""en"", ""bn"")"),"ক) পতাকাটি ধরে রাখো, খ) একটি চিহ্নের উপর দড়ি টানো, গ) একটি লক্ষ্য ভাঙো, ঘ) একটি বল ঠেলে দাও")</f>
        <v>ক) পতাকাটি ধরে রাখো, খ) একটি চিহ্নের উপর দড়ি টানো, গ) একটি লক্ষ্য ভাঙো, ঘ) একটি বল ঠেলে দাও</v>
      </c>
      <c r="L17" s="10" t="str">
        <f>IFERROR(__xludf.DUMMYFUNCTION("GOOGLETRANSLATE(D17, ""en"", ""bn"")"),"খ) একটি চিহ্নের উপর দড়ি টানুন")</f>
        <v>খ) একটি চিহ্নের উপর দড়ি টানুন</v>
      </c>
      <c r="M17" s="10" t="str">
        <f>IFERROR(__xludf.DUMMYFUNCTION("GOOGLETRANSLATE(E17, ""en"", ""bn"")"),"লক্ষ্য হল জয়ের জন্য দড়িটি একটি নির্দিষ্ট চিহ্ন, সাধারণত কেন্দ্ররেখা অতিক্রম করে টেনে আনা।")</f>
        <v>লক্ষ্য হল জয়ের জন্য দড়িটি একটি নির্দিষ্ট চিহ্ন, সাধারণত কেন্দ্ররেখা অতিক্রম করে টেনে আনা।</v>
      </c>
    </row>
    <row r="18">
      <c r="A18" s="4">
        <v>17.0</v>
      </c>
      <c r="B18" s="4" t="s">
        <v>564</v>
      </c>
      <c r="C18" s="4" t="s">
        <v>565</v>
      </c>
      <c r="D18" s="4" t="s">
        <v>566</v>
      </c>
      <c r="E18" s="4" t="s">
        <v>567</v>
      </c>
      <c r="I18" s="10" t="str">
        <f>IFERROR(__xludf.DUMMYFUNCTION("GOOGLETRANSLATE(A18, ""en"", ""bn"")"),"১৭")</f>
        <v>১৭</v>
      </c>
      <c r="J18" s="10" t="str">
        <f>IFERROR(__xludf.DUMMYFUNCTION("GOOGLETRANSLATE(B18, ""en"", ""bn"")"),"বাংলাদেশের কোন সম্প্রদায় দাড়িবান্ধা খেলার জন্য পরিচিত?")</f>
        <v>বাংলাদেশের কোন সম্প্রদায় দাড়িবান্ধা খেলার জন্য পরিচিত?</v>
      </c>
      <c r="K18" s="10" t="str">
        <f>IFERROR(__xludf.DUMMYFUNCTION("GOOGLETRANSLATE(C18, ""en"", ""bn"")"),"ক) জেলে, খ) কৃষক, গ) কারিগর, ঘ) শহুরে যুবক")</f>
        <v>ক) জেলে, খ) কৃষক, গ) কারিগর, ঘ) শহুরে যুবক</v>
      </c>
      <c r="L18" s="10" t="str">
        <f>IFERROR(__xludf.DUMMYFUNCTION("GOOGLETRANSLATE(D18, ""en"", ""bn"")"),"খ) কৃষক")</f>
        <v>খ) কৃষক</v>
      </c>
      <c r="M18" s="10" t="str">
        <f>IFERROR(__xludf.DUMMYFUNCTION("GOOGLETRANSLATE(E18, ""en"", ""bn"")"),"বাংলাদেশের গ্রামীণ এলাকার কৃষকরা দাড়িবান্ধায় অংশগ্রহণের জন্য বিশেষভাবে পরিচিত।")</f>
        <v>বাংলাদেশের গ্রামীণ এলাকার কৃষকরা দাড়িবান্ধায় অংশগ্রহণের জন্য বিশেষভাবে পরিচিত।</v>
      </c>
    </row>
    <row r="19">
      <c r="A19" s="4">
        <v>18.0</v>
      </c>
      <c r="B19" s="4" t="s">
        <v>568</v>
      </c>
      <c r="C19" s="4" t="s">
        <v>569</v>
      </c>
      <c r="D19" s="4" t="s">
        <v>570</v>
      </c>
      <c r="E19" s="4" t="s">
        <v>571</v>
      </c>
      <c r="I19" s="10" t="str">
        <f>IFERROR(__xludf.DUMMYFUNCTION("GOOGLETRANSLATE(A19, ""en"", ""bn"")"),"১৮")</f>
        <v>১৮</v>
      </c>
      <c r="J19" s="10" t="str">
        <f>IFERROR(__xludf.DUMMYFUNCTION("GOOGLETRANSLATE(B19, ""en"", ""bn"")"),"দাড়িবান্ধায় দড়ির রঙের তাৎপর্য কী?")</f>
        <v>দাড়িবান্ধায় দড়ির রঙের তাৎপর্য কী?</v>
      </c>
      <c r="K19" s="10" t="str">
        <f>IFERROR(__xludf.DUMMYFUNCTION("GOOGLETRANSLATE(C19, ""en"", ""bn"")"),"ক) এটি দলের শক্তি নির্দেশ করে, খ) এটি বিজয়ীকে চিহ্নিত করে, গ) এটি দড়ির শক্তি নির্দেশ করে, ঘ) এর কোন তাৎপর্য নেই")</f>
        <v>ক) এটি দলের শক্তি নির্দেশ করে, খ) এটি বিজয়ীকে চিহ্নিত করে, গ) এটি দড়ির শক্তি নির্দেশ করে, ঘ) এর কোন তাৎপর্য নেই</v>
      </c>
      <c r="L19" s="10" t="str">
        <f>IFERROR(__xludf.DUMMYFUNCTION("GOOGLETRANSLATE(D19, ""en"", ""bn"")"),"ঘ) এর কোন গুরুত্ব নেই")</f>
        <v>ঘ) এর কোন গুরুত্ব নেই</v>
      </c>
      <c r="M19" s="10" t="str">
        <f>IFERROR(__xludf.DUMMYFUNCTION("GOOGLETRANSLATE(E19, ""en"", ""bn"")"),"দড়িবান্ধায় সাধারণত দড়ির রঙের কোনও বিশেষ তাৎপর্য থাকে না।")</f>
        <v>দড়িবান্ধায় সাধারণত দড়ির রঙের কোনও বিশেষ তাৎপর্য থাকে না।</v>
      </c>
    </row>
    <row r="20">
      <c r="A20" s="4">
        <v>19.0</v>
      </c>
      <c r="B20" s="4" t="s">
        <v>572</v>
      </c>
      <c r="C20" s="4" t="s">
        <v>573</v>
      </c>
      <c r="D20" s="4" t="s">
        <v>574</v>
      </c>
      <c r="E20" s="4" t="s">
        <v>575</v>
      </c>
      <c r="I20" s="10" t="str">
        <f>IFERROR(__xludf.DUMMYFUNCTION("GOOGLETRANSLATE(A20, ""en"", ""bn"")"),"১৯")</f>
        <v>১৯</v>
      </c>
      <c r="J20" s="10" t="str">
        <f>IFERROR(__xludf.DUMMYFUNCTION("GOOGLETRANSLATE(B20, ""en"", ""bn"")"),"দাড়িবান্ধা কতদিন ধরে বাংলাদেশী সংস্কৃতির অংশ?")</f>
        <v>দাড়িবান্ধা কতদিন ধরে বাংলাদেশী সংস্কৃতির অংশ?</v>
      </c>
      <c r="K20" s="10" t="str">
        <f>IFERROR(__xludf.DUMMYFUNCTION("GOOGLETRANSLATE(C20, ""en"", ""bn"")"),"ক) ৫০ বছরেরও বেশি, খ) ১০০ বছরেরও বেশি, গ) ২০০ বছরেরও বেশি, ঘ) ৫০০ বছরেরও বেশি")</f>
        <v>ক) ৫০ বছরেরও বেশি, খ) ১০০ বছরেরও বেশি, গ) ২০০ বছরেরও বেশি, ঘ) ৫০০ বছরেরও বেশি</v>
      </c>
      <c r="L20" s="10" t="str">
        <f>IFERROR(__xludf.DUMMYFUNCTION("GOOGLETRANSLATE(D20, ""en"", ""bn"")"),"খ) ১০০ বছরেরও বেশি সময় ধরে")</f>
        <v>খ) ১০০ বছরেরও বেশি সময় ধরে</v>
      </c>
      <c r="M20" s="10" t="str">
        <f>IFERROR(__xludf.DUMMYFUNCTION("GOOGLETRANSLATE(E20, ""en"", ""bn"")"),"দাড়িবান্ধা এক শতাব্দীরও বেশি সময় ধরে বাংলাদেশে একটি ঐতিহ্যবাহী খেলা।")</f>
        <v>দাড়িবান্ধা এক শতাব্দীরও বেশি সময় ধরে বাংলাদেশে একটি ঐতিহ্যবাহী খেলা।</v>
      </c>
    </row>
    <row r="21">
      <c r="A21" s="4">
        <v>20.0</v>
      </c>
      <c r="B21" s="4" t="s">
        <v>576</v>
      </c>
      <c r="C21" s="4" t="s">
        <v>577</v>
      </c>
      <c r="D21" s="4" t="s">
        <v>578</v>
      </c>
      <c r="E21" s="4" t="s">
        <v>579</v>
      </c>
      <c r="I21" s="10" t="str">
        <f>IFERROR(__xludf.DUMMYFUNCTION("GOOGLETRANSLATE(A21, ""en"", ""bn"")"),"২০")</f>
        <v>২০</v>
      </c>
      <c r="J21" s="10" t="str">
        <f>IFERROR(__xludf.DUMMYFUNCTION("GOOGLETRANSLATE(B21, ""en"", ""bn"")"),"দাড়িবান্ধা খেলার সময় সাধারণত কোন ধরণের পোশাক পরা হয়?")</f>
        <v>দাড়িবান্ধা খেলার সময় সাধারণত কোন ধরণের পোশাক পরা হয়?</v>
      </c>
      <c r="K21" s="10" t="str">
        <f>IFERROR(__xludf.DUMMYFUNCTION("GOOGLETRANSLATE(C21, ""en"", ""bn"")"),"ক) প্রতিরক্ষামূলক সরঞ্জাম, খ) হালকা, ঢিলেঢালা পোশাক, গ) আনুষ্ঠানিক পোশাক, ঘ) বর্ম")</f>
        <v>ক) প্রতিরক্ষামূলক সরঞ্জাম, খ) হালকা, ঢিলেঢালা পোশাক, গ) আনুষ্ঠানিক পোশাক, ঘ) বর্ম</v>
      </c>
      <c r="L21" s="10" t="str">
        <f>IFERROR(__xludf.DUMMYFUNCTION("GOOGLETRANSLATE(D21, ""en"", ""bn"")"),"খ) হালকা, ঢিলেঢালা পোশাক")</f>
        <v>খ) হালকা, ঢিলেঢালা পোশাক</v>
      </c>
      <c r="M21" s="10" t="str">
        <f>IFERROR(__xludf.DUMMYFUNCTION("GOOGLETRANSLATE(E21, ""en"", ""bn"")"),"খেলার সময় চলাচলের সুবিধার্থে খেলোয়াড়রা সাধারণত হালকা, ঢিলেঢালা পোশাক পরে।")</f>
        <v>খেলার সময় চলাচলের সুবিধার্থে খেলোয়াড়রা সাধারণত হালকা, ঢিলেঢালা পোশাক পরে।</v>
      </c>
    </row>
    <row r="22">
      <c r="A22" s="4">
        <v>21.0</v>
      </c>
      <c r="B22" s="4" t="s">
        <v>580</v>
      </c>
      <c r="C22" s="4" t="s">
        <v>581</v>
      </c>
      <c r="D22" s="4" t="s">
        <v>582</v>
      </c>
      <c r="E22" s="4" t="s">
        <v>583</v>
      </c>
      <c r="I22" s="10" t="str">
        <f>IFERROR(__xludf.DUMMYFUNCTION("GOOGLETRANSLATE(A22, ""en"", ""bn"")"),"২১")</f>
        <v>২১</v>
      </c>
      <c r="J22" s="10" t="str">
        <f>IFERROR(__xludf.DUMMYFUNCTION("GOOGLETRANSLATE(B22, ""en"", ""bn"")"),"নিচের কোনটি দাড়িবান্ধায় বহুল ব্যবহৃত শব্দ?")</f>
        <v>নিচের কোনটি দাড়িবান্ধায় বহুল ব্যবহৃত শব্দ?</v>
      </c>
      <c r="K22" s="10" t="str">
        <f>IFERROR(__xludf.DUMMYFUNCTION("GOOGLETRANSLATE(C22, ""en"", ""bn"")"),"ক) টিথার, খ) টানার রেখা, গ) গ্রিপ, ঘ) দড়ির প্রসারণ")</f>
        <v>ক) টিথার, খ) টানার রেখা, গ) গ্রিপ, ঘ) দড়ির প্রসারণ</v>
      </c>
      <c r="L22" s="10" t="str">
        <f>IFERROR(__xludf.DUMMYFUNCTION("GOOGLETRANSLATE(D22, ""en"", ""bn"")"),"খ) টানার রেখা")</f>
        <v>খ) টানার রেখা</v>
      </c>
      <c r="M22" s="10" t="str">
        <f>IFERROR(__xludf.DUMMYFUNCTION("GOOGLETRANSLATE(E22, ""en"", ""bn"")"),"'টানার রেখা' শব্দটি খেলার সময় টানা কেন্দ্রীয় দড়িকে বোঝায়।")</f>
        <v>'টানার রেখা' শব্দটি খেলার সময় টানা কেন্দ্রীয় দড়িকে বোঝায়।</v>
      </c>
    </row>
    <row r="23">
      <c r="A23" s="4">
        <v>22.0</v>
      </c>
      <c r="B23" s="4" t="s">
        <v>584</v>
      </c>
      <c r="C23" s="4" t="s">
        <v>585</v>
      </c>
      <c r="D23" s="4" t="s">
        <v>586</v>
      </c>
      <c r="E23" s="4" t="s">
        <v>587</v>
      </c>
      <c r="I23" s="10" t="str">
        <f>IFERROR(__xludf.DUMMYFUNCTION("GOOGLETRANSLATE(A23, ""en"", ""bn"")"),"২২")</f>
        <v>২২</v>
      </c>
      <c r="J23" s="10" t="str">
        <f>IFERROR(__xludf.DUMMYFUNCTION("GOOGLETRANSLATE(B23, ""en"", ""bn"")"),"দাড়িবান্ধা দলের অধিনায়ক হিসেবে সাধারণত কে দায়িত্ব পালন করেন?")</f>
        <v>দাড়িবান্ধা দলের অধিনায়ক হিসেবে সাধারণত কে দায়িত্ব পালন করেন?</v>
      </c>
      <c r="K23" s="10" t="str">
        <f>IFERROR(__xludf.DUMMYFUNCTION("GOOGLETRANSLATE(C23, ""en"", ""bn"")"),"ক) সবচেয়ে বয়স্ক খেলোয়াড়, খ) সবচেয়ে শক্তিশালী খেলোয়াড়, গ) সবচেয়ে অভিজ্ঞ খেলোয়াড়, ঘ) একজন নির্বাচিত নেতা")</f>
        <v>ক) সবচেয়ে বয়স্ক খেলোয়াড়, খ) সবচেয়ে শক্তিশালী খেলোয়াড়, গ) সবচেয়ে অভিজ্ঞ খেলোয়াড়, ঘ) একজন নির্বাচিত নেতা</v>
      </c>
      <c r="L23" s="10" t="str">
        <f>IFERROR(__xludf.DUMMYFUNCTION("GOOGLETRANSLATE(D23, ""en"", ""bn"")"),"গ) সবচেয়ে অভিজ্ঞ খেলোয়াড়")</f>
        <v>গ) সবচেয়ে অভিজ্ঞ খেলোয়াড়</v>
      </c>
      <c r="M23" s="10" t="str">
        <f>IFERROR(__xludf.DUMMYFUNCTION("GOOGLETRANSLATE(E23, ""en"", ""bn"")"),"অধিনায়ক সাধারণত সবচেয়ে অভিজ্ঞ খেলোয়াড়, দলের কৌশল নির্ধারণের জন্য দায়ী।")</f>
        <v>অধিনায়ক সাধারণত সবচেয়ে অভিজ্ঞ খেলোয়াড়, দলের কৌশল নির্ধারণের জন্য দায়ী।</v>
      </c>
    </row>
    <row r="24">
      <c r="A24" s="4">
        <v>23.0</v>
      </c>
      <c r="B24" s="4" t="s">
        <v>588</v>
      </c>
      <c r="C24" s="4" t="s">
        <v>589</v>
      </c>
      <c r="D24" s="4" t="s">
        <v>590</v>
      </c>
      <c r="E24" s="4" t="s">
        <v>591</v>
      </c>
      <c r="I24" s="10" t="str">
        <f>IFERROR(__xludf.DUMMYFUNCTION("GOOGLETRANSLATE(A24, ""en"", ""bn"")"),"২৩")</f>
        <v>২৩</v>
      </c>
      <c r="J24" s="10" t="str">
        <f>IFERROR(__xludf.DUMMYFUNCTION("GOOGLETRANSLATE(B24, ""en"", ""bn"")"),"কোন ধরণের ইভেন্টে প্রায়শই দরিয়াবান্ধা একটি প্রতিযোগিতামূলক খেলা হিসেবে প্রদর্শিত হয়?")</f>
        <v>কোন ধরণের ইভেন্টে প্রায়শই দরিয়াবান্ধা একটি প্রতিযোগিতামূলক খেলা হিসেবে প্রদর্শিত হয়?</v>
      </c>
      <c r="K24" s="10" t="str">
        <f>IFERROR(__xludf.DUMMYFUNCTION("GOOGLETRANSLATE(C24, ""en"", ""bn"")"),"ক) স্থানীয় উৎসব, খ) আন্তর্জাতিক টুর্নামেন্ট, গ) জাতীয় ক্রীড়া লীগ, ঘ) বিশ্ববিদ্যালয় প্রতিযোগিতা")</f>
        <v>ক) স্থানীয় উৎসব, খ) আন্তর্জাতিক টুর্নামেন্ট, গ) জাতীয় ক্রীড়া লীগ, ঘ) বিশ্ববিদ্যালয় প্রতিযোগিতা</v>
      </c>
      <c r="L24" s="10" t="str">
        <f>IFERROR(__xludf.DUMMYFUNCTION("GOOGLETRANSLATE(D24, ""en"", ""bn"")"),"ক) স্থানীয় উৎসব")</f>
        <v>ক) স্থানীয় উৎসব</v>
      </c>
      <c r="M24" s="10" t="str">
        <f>IFERROR(__xludf.DUMMYFUNCTION("GOOGLETRANSLATE(E24, ""en"", ""bn"")"),"স্থানীয় গ্রামীণ উৎসব এবং আঞ্চলিক উৎসবে প্রায়শই দাড়িবান্ধা প্রদর্শিত হয়।")</f>
        <v>স্থানীয় গ্রামীণ উৎসব এবং আঞ্চলিক উৎসবে প্রায়শই দাড়িবান্ধা প্রদর্শিত হয়।</v>
      </c>
    </row>
    <row r="25">
      <c r="A25" s="4">
        <v>24.0</v>
      </c>
      <c r="B25" s="4" t="s">
        <v>592</v>
      </c>
      <c r="C25" s="4" t="s">
        <v>593</v>
      </c>
      <c r="D25" s="4" t="s">
        <v>594</v>
      </c>
      <c r="E25" s="4" t="s">
        <v>595</v>
      </c>
      <c r="I25" s="10" t="str">
        <f>IFERROR(__xludf.DUMMYFUNCTION("GOOGLETRANSLATE(A25, ""en"", ""bn"")"),"২৪")</f>
        <v>২৪</v>
      </c>
      <c r="J25" s="10" t="str">
        <f>IFERROR(__xludf.DUMMYFUNCTION("GOOGLETRANSLATE(B25, ""en"", ""bn"")"),"দাড়িবান্ধায় দর্শকদের ভূমিকা কী?")</f>
        <v>দাড়িবান্ধায় দর্শকদের ভূমিকা কী?</v>
      </c>
      <c r="K25" s="10" t="str">
        <f>IFERROR(__xludf.DUMMYFUNCTION("GOOGLETRANSLATE(C25, ""en"", ""bn"")"),"ক) ভাষ্য প্রদান করুন, খ) দলগুলোর বিচার করুন, গ) দলের জন্য উৎসাহ দিন, ঘ) ফলাফলের উপর বাজি ধরুন")</f>
        <v>ক) ভাষ্য প্রদান করুন, খ) দলগুলোর বিচার করুন, গ) দলের জন্য উৎসাহ দিন, ঘ) ফলাফলের উপর বাজি ধরুন</v>
      </c>
      <c r="L25" s="10" t="str">
        <f>IFERROR(__xludf.DUMMYFUNCTION("GOOGLETRANSLATE(D25, ""en"", ""bn"")"),"গ) দলগুলোর জন্য উৎসাহ প্রদান করুন")</f>
        <v>গ) দলগুলোর জন্য উৎসাহ প্রদান করুন</v>
      </c>
      <c r="M25" s="10" t="str">
        <f>IFERROR(__xludf.DUMMYFUNCTION("GOOGLETRANSLATE(E25, ""en"", ""bn"")"),"দর্শকরা সাধারণত দলগুলোর জন্য উল্লাস করে, খেলা চলাকালীন একটি প্রাণবন্ত পরিবেশ তৈরি করে।")</f>
        <v>দর্শকরা সাধারণত দলগুলোর জন্য উল্লাস করে, খেলা চলাকালীন একটি প্রাণবন্ত পরিবেশ তৈরি করে।</v>
      </c>
    </row>
    <row r="26">
      <c r="A26" s="4">
        <v>25.0</v>
      </c>
      <c r="B26" s="4" t="s">
        <v>596</v>
      </c>
      <c r="C26" s="4" t="s">
        <v>597</v>
      </c>
      <c r="D26" s="4" t="s">
        <v>598</v>
      </c>
      <c r="E26" s="4" t="s">
        <v>599</v>
      </c>
      <c r="I26" s="10" t="str">
        <f>IFERROR(__xludf.DUMMYFUNCTION("GOOGLETRANSLATE(A26, ""en"", ""bn"")"),"২৫")</f>
        <v>২৫</v>
      </c>
      <c r="J26" s="10" t="str">
        <f>IFERROR(__xludf.DUMMYFUNCTION("GOOGLETRANSLATE(B26, ""en"", ""bn"")"),"দাড়িবান্ধায়, সাফল্যের জন্য নিচের কোনটি সবচেয়ে গুরুত্বপূর্ণ?")</f>
        <v>দাড়িবান্ধায়, সাফল্যের জন্য নিচের কোনটি সবচেয়ে গুরুত্বপূর্ণ?</v>
      </c>
      <c r="K26" s="10" t="str">
        <f>IFERROR(__xludf.DUMMYFUNCTION("GOOGLETRANSLATE(C26, ""en"", ""bn"")"),"ক) দড়ির আকার, খ) খেলোয়াড়ের সহনশীলতা, গ) দলের ঐক্য, ঘ) কর্মের গতি")</f>
        <v>ক) দড়ির আকার, খ) খেলোয়াড়ের সহনশীলতা, গ) দলের ঐক্য, ঘ) কর্মের গতি</v>
      </c>
      <c r="L26" s="10" t="str">
        <f>IFERROR(__xludf.DUMMYFUNCTION("GOOGLETRANSLATE(D26, ""en"", ""bn"")"),"গ) দলের ঐক্য")</f>
        <v>গ) দলের ঐক্য</v>
      </c>
      <c r="M26" s="10" t="str">
        <f>IFERROR(__xludf.DUMMYFUNCTION("GOOGLETRANSLATE(E26, ""en"", ""bn"")"),"দাড়িয়াবান্ধায় জয়ের জন্য দলের ঐক্য এবং সমন্বিত প্রচেষ্টা অপরিহার্য।")</f>
        <v>দাড়িয়াবান্ধায় জয়ের জন্য দলের ঐক্য এবং সমন্বিত প্রচেষ্টা অপরিহার্য।</v>
      </c>
    </row>
    <row r="27">
      <c r="A27" s="4">
        <v>26.0</v>
      </c>
      <c r="B27" s="4" t="s">
        <v>600</v>
      </c>
      <c r="C27" s="4" t="s">
        <v>601</v>
      </c>
      <c r="D27" s="4" t="s">
        <v>602</v>
      </c>
      <c r="E27" s="4" t="s">
        <v>603</v>
      </c>
      <c r="I27" s="10" t="str">
        <f>IFERROR(__xludf.DUMMYFUNCTION("GOOGLETRANSLATE(A27, ""en"", ""bn"")"),"২৬")</f>
        <v>২৬</v>
      </c>
      <c r="J27" s="10" t="str">
        <f>IFERROR(__xludf.DUMMYFUNCTION("GOOGLETRANSLATE(B27, ""en"", ""bn"")"),"কোন বিখ্যাত বাঙালি নেতা দাড়িবান্ধার মতো ঐতিহ্যবাহী খেলাধুলার প্রচারের সাথে যুক্ত?")</f>
        <v>কোন বিখ্যাত বাঙালি নেতা দাড়িবান্ধার মতো ঐতিহ্যবাহী খেলাধুলার প্রচারের সাথে যুক্ত?</v>
      </c>
      <c r="K27" s="10" t="str">
        <f>IFERROR(__xludf.DUMMYFUNCTION("GOOGLETRANSLATE(C27, ""en"", ""bn"")"),"A) শেখ মুজিবুর রহমান, B) জিয়াউর রহমান, C) মুজিবুর রহমান, D) লালন শাহ")</f>
        <v>A) শেখ মুজিবুর রহমান, B) জিয়াউর রহমান, C) মুজিবুর রহমান, D) লালন শাহ</v>
      </c>
      <c r="L27" s="10" t="str">
        <f>IFERROR(__xludf.DUMMYFUNCTION("GOOGLETRANSLATE(D27, ""en"", ""bn"")"),"ক) শেখ মুজিবুর রহমান")</f>
        <v>ক) শেখ মুজিবুর রহমান</v>
      </c>
      <c r="M27" s="10" t="str">
        <f>IFERROR(__xludf.DUMMYFUNCTION("GOOGLETRANSLATE(E27, ""en"", ""bn"")"),"শেখ মুজিবুর রহমান দাড়িয়াবান্ধার মতো ঐতিহ্যবাহী খেলাধুলার প্রচারকে সমর্থন করেছিলেন।")</f>
        <v>শেখ মুজিবুর রহমান দাড়িয়াবান্ধার মতো ঐতিহ্যবাহী খেলাধুলার প্রচারকে সমর্থন করেছিলেন।</v>
      </c>
    </row>
    <row r="28">
      <c r="A28" s="4">
        <v>27.0</v>
      </c>
      <c r="B28" s="4" t="s">
        <v>604</v>
      </c>
      <c r="C28" s="4" t="s">
        <v>605</v>
      </c>
      <c r="D28" s="4" t="s">
        <v>606</v>
      </c>
      <c r="E28" s="4" t="s">
        <v>607</v>
      </c>
      <c r="I28" s="10" t="str">
        <f>IFERROR(__xludf.DUMMYFUNCTION("GOOGLETRANSLATE(A28, ""en"", ""bn"")"),"২৭")</f>
        <v>২৭</v>
      </c>
      <c r="J28" s="10" t="str">
        <f>IFERROR(__xludf.DUMMYFUNCTION("GOOGLETRANSLATE(B28, ""en"", ""bn"")"),"দাড়িবান্ধা খেলার প্রাথমিক চ্যালেঞ্জ কী?")</f>
        <v>দাড়িবান্ধা খেলার প্রাথমিক চ্যালেঞ্জ কী?</v>
      </c>
      <c r="K28" s="10" t="str">
        <f>IFERROR(__xludf.DUMMYFUNCTION("GOOGLETRANSLATE(C28, ""en"", ""bn"")"),"ক) ধৈর্য, ​​খ) মানসিক কৌশল, গ) সমন্বয়, ঘ) গতি")</f>
        <v>ক) ধৈর্য, ​​খ) মানসিক কৌশল, গ) সমন্বয়, ঘ) গতি</v>
      </c>
      <c r="L28" s="10" t="str">
        <f>IFERROR(__xludf.DUMMYFUNCTION("GOOGLETRANSLATE(D28, ""en"", ""bn"")"),"গ) সমন্বয়")</f>
        <v>গ) সমন্বয়</v>
      </c>
      <c r="M28" s="10" t="str">
        <f>IFERROR(__xludf.DUMMYFUNCTION("GOOGLETRANSLATE(E28, ""en"", ""bn"")"),"দাড়িয়াবান্ধায় প্রধান চ্যালেঞ্জ হলো দলের সদস্যদের মধ্যে কার্যকর সমন্বয় অর্জন করা।")</f>
        <v>দাড়িয়াবান্ধায় প্রধান চ্যালেঞ্জ হলো দলের সদস্যদের মধ্যে কার্যকর সমন্বয় অর্জন করা।</v>
      </c>
    </row>
    <row r="29">
      <c r="A29" s="4">
        <v>28.0</v>
      </c>
      <c r="B29" s="4" t="s">
        <v>608</v>
      </c>
      <c r="C29" s="4" t="s">
        <v>609</v>
      </c>
      <c r="D29" s="4" t="s">
        <v>610</v>
      </c>
      <c r="E29" s="4" t="s">
        <v>611</v>
      </c>
      <c r="I29" s="10" t="str">
        <f>IFERROR(__xludf.DUMMYFUNCTION("GOOGLETRANSLATE(A29, ""en"", ""bn"")"),"২৮")</f>
        <v>২৮</v>
      </c>
      <c r="J29" s="10" t="str">
        <f>IFERROR(__xludf.DUMMYFUNCTION("GOOGLETRANSLATE(B29, ""en"", ""bn"")"),"বাংলাদেশের কোন অঞ্চলে দাড়িবান্ধা তরুণদের মধ্যে বিশেষভাবে জনপ্রিয়?")</f>
        <v>বাংলাদেশের কোন অঞ্চলে দাড়িবান্ধা তরুণদের মধ্যে বিশেষভাবে জনপ্রিয়?</v>
      </c>
      <c r="K29" s="10" t="str">
        <f>IFERROR(__xludf.DUMMYFUNCTION("GOOGLETRANSLATE(C29, ""en"", ""bn"")"),"ক) উপকূলীয় এলাকা, খ) পার্বত্য এলাকা, গ) গ্রামীণ গ্রাম, ঘ) নগর কেন্দ্র")</f>
        <v>ক) উপকূলীয় এলাকা, খ) পার্বত্য এলাকা, গ) গ্রামীণ গ্রাম, ঘ) নগর কেন্দ্র</v>
      </c>
      <c r="L29" s="10" t="str">
        <f>IFERROR(__xludf.DUMMYFUNCTION("GOOGLETRANSLATE(D29, ""en"", ""bn"")"),"গ) গ্রামীণ গ্রাম")</f>
        <v>গ) গ্রামীণ গ্রাম</v>
      </c>
      <c r="M29" s="10" t="str">
        <f>IFERROR(__xludf.DUMMYFUNCTION("GOOGLETRANSLATE(E29, ""en"", ""bn"")"),"বাংলাদেশের গ্রামাঞ্চলের তরুণদের মধ্যে দাড়িবান্ধা বিশেষভাবে জনপ্রিয়।")</f>
        <v>বাংলাদেশের গ্রামাঞ্চলের তরুণদের মধ্যে দাড়িবান্ধা বিশেষভাবে জনপ্রিয়।</v>
      </c>
    </row>
    <row r="30">
      <c r="A30" s="4">
        <v>29.0</v>
      </c>
      <c r="B30" s="4" t="s">
        <v>612</v>
      </c>
      <c r="C30" s="4" t="s">
        <v>189</v>
      </c>
      <c r="D30" s="4" t="s">
        <v>613</v>
      </c>
      <c r="E30" s="4" t="s">
        <v>614</v>
      </c>
      <c r="I30" s="10" t="str">
        <f>IFERROR(__xludf.DUMMYFUNCTION("GOOGLETRANSLATE(A30, ""en"", ""bn"")"),"২৯")</f>
        <v>২৯</v>
      </c>
      <c r="J30" s="10" t="str">
        <f>IFERROR(__xludf.DUMMYFUNCTION("GOOGLETRANSLATE(B30, ""en"", ""bn"")"),"বাংলাদেশে সাধারণত কোন বয়সের মানুষ দাড়িয়াবান্ধা খেলে?")</f>
        <v>বাংলাদেশে সাধারণত কোন বয়সের মানুষ দাড়িয়াবান্ধা খেলে?</v>
      </c>
      <c r="K30" s="10" t="str">
        <f>IFERROR(__xludf.DUMMYFUNCTION("GOOGLETRANSLATE(C30, ""en"", ""bn"")"),"ক) শিশু, খ) কিশোর, গ) প্রাপ্তবয়স্ক, ঘ) বয়স্ক")</f>
        <v>ক) শিশু, খ) কিশোর, গ) প্রাপ্তবয়স্ক, ঘ) বয়স্ক</v>
      </c>
      <c r="L30" s="10" t="str">
        <f>IFERROR(__xludf.DUMMYFUNCTION("GOOGLETRANSLATE(D30, ""en"", ""bn"")"),"খ) কিশোর-কিশোরীরা")</f>
        <v>খ) কিশোর-কিশোরীরা</v>
      </c>
      <c r="M30" s="10" t="str">
        <f>IFERROR(__xludf.DUMMYFUNCTION("GOOGLETRANSLATE(E30, ""en"", ""bn"")"),"দাড়িবান্ধা সাধারণত কিশোর-কিশোরীরাই বাজায়, বিশেষ করে গ্রামাঞ্চলে।")</f>
        <v>দাড়িবান্ধা সাধারণত কিশোর-কিশোরীরাই বাজায়, বিশেষ করে গ্রামাঞ্চলে।</v>
      </c>
    </row>
    <row r="31">
      <c r="A31" s="4">
        <v>30.0</v>
      </c>
      <c r="B31" s="4" t="s">
        <v>615</v>
      </c>
      <c r="C31" s="4" t="s">
        <v>616</v>
      </c>
      <c r="D31" s="4" t="s">
        <v>290</v>
      </c>
      <c r="E31" s="4" t="s">
        <v>617</v>
      </c>
      <c r="I31" s="10" t="str">
        <f>IFERROR(__xludf.DUMMYFUNCTION("GOOGLETRANSLATE(A31, ""en"", ""bn"")"),"৩০")</f>
        <v>৩০</v>
      </c>
      <c r="J31" s="10" t="str">
        <f>IFERROR(__xludf.DUMMYFUNCTION("GOOGLETRANSLATE(B31, ""en"", ""bn"")"),"দাড়িবান্ধা প্রতিযোগিতা আয়োজনের জন্য বাংলাদেশের সবচেয়ে বিখ্যাত জেলা কোনটি?")</f>
        <v>দাড়িবান্ধা প্রতিযোগিতা আয়োজনের জন্য বাংলাদেশের সবচেয়ে বিখ্যাত জেলা কোনটি?</v>
      </c>
      <c r="K31" s="10" t="str">
        <f>IFERROR(__xludf.DUMMYFUNCTION("GOOGLETRANSLATE(C31, ""en"", ""bn"")"),"ক) রংপুর, খ) চট্টগ্রাম, গ) ঢাকা, ঘ) বরিশাল")</f>
        <v>ক) রংপুর, খ) চট্টগ্রাম, গ) ঢাকা, ঘ) বরিশাল</v>
      </c>
      <c r="L31" s="10" t="str">
        <f>IFERROR(__xludf.DUMMYFUNCTION("GOOGLETRANSLATE(D31, ""en"", ""bn"")"),"খ) চট্টগ্রাম")</f>
        <v>খ) চট্টগ্রাম</v>
      </c>
      <c r="M31" s="10" t="str">
        <f>IFERROR(__xludf.DUMMYFUNCTION("GOOGLETRANSLATE(E31, ""en"", ""bn"")"),"চট্টগ্রাম দাড়িবান্ধা প্রতিযোগিতায় সক্রিয় অংশগ্রহণের জন্য পরিচিত।")</f>
        <v>চট্টগ্রাম দাড়িবান্ধা প্রতিযোগিতায় সক্রিয় অংশগ্রহণের জন্য পরিচিত।</v>
      </c>
    </row>
    <row r="32">
      <c r="A32" s="4">
        <v>31.0</v>
      </c>
      <c r="B32" s="4" t="s">
        <v>618</v>
      </c>
      <c r="C32" s="4" t="s">
        <v>619</v>
      </c>
      <c r="D32" s="4" t="s">
        <v>620</v>
      </c>
      <c r="E32" s="4" t="s">
        <v>621</v>
      </c>
      <c r="I32" s="10" t="str">
        <f>IFERROR(__xludf.DUMMYFUNCTION("GOOGLETRANSLATE(A32, ""en"", ""bn"")"),"৩১")</f>
        <v>৩১</v>
      </c>
      <c r="J32" s="10" t="str">
        <f>IFERROR(__xludf.DUMMYFUNCTION("GOOGLETRANSLATE(B32, ""en"", ""bn"")"),"দাড়িবান্ধা কোন ধরণের সামাজিক অনুষ্ঠানের সাথে সবচেয়ে বেশি জড়িত?")</f>
        <v>দাড়িবান্ধা কোন ধরণের সামাজিক অনুষ্ঠানের সাথে সবচেয়ে বেশি জড়িত?</v>
      </c>
      <c r="K32" s="10" t="str">
        <f>IFERROR(__xludf.DUMMYFUNCTION("GOOGLETRANSLATE(C32, ""en"", ""bn"")"),"ক) বিবাহ অনুষ্ঠান, খ) জাতীয় উৎসব, গ) গ্রামীণ মেলা, ঘ) রাজনৈতিক অনুষ্ঠান")</f>
        <v>ক) বিবাহ অনুষ্ঠান, খ) জাতীয় উৎসব, গ) গ্রামীণ মেলা, ঘ) রাজনৈতিক অনুষ্ঠান</v>
      </c>
      <c r="L32" s="10" t="str">
        <f>IFERROR(__xludf.DUMMYFUNCTION("GOOGLETRANSLATE(D32, ""en"", ""bn"")"),"গ) গ্রামীণ মেলা")</f>
        <v>গ) গ্রামীণ মেলা</v>
      </c>
      <c r="M32" s="10" t="str">
        <f>IFERROR(__xludf.DUMMYFUNCTION("GOOGLETRANSLATE(E32, ""en"", ""bn"")"),"গ্রামীণ মেলায় প্রায়ই সম্প্রদায়ের উৎসবের অংশ হিসেবে দাড়িয়াবান্ধা বাজানো হয়।")</f>
        <v>গ্রামীণ মেলায় প্রায়ই সম্প্রদায়ের উৎসবের অংশ হিসেবে দাড়িয়াবান্ধা বাজানো হয়।</v>
      </c>
    </row>
    <row r="33">
      <c r="A33" s="4">
        <v>32.0</v>
      </c>
      <c r="B33" s="4" t="s">
        <v>622</v>
      </c>
      <c r="C33" s="4" t="s">
        <v>623</v>
      </c>
      <c r="D33" s="4" t="s">
        <v>624</v>
      </c>
      <c r="E33" s="4" t="s">
        <v>625</v>
      </c>
      <c r="I33" s="10" t="str">
        <f>IFERROR(__xludf.DUMMYFUNCTION("GOOGLETRANSLATE(A33, ""en"", ""bn"")"),"৩২")</f>
        <v>৩২</v>
      </c>
      <c r="J33" s="10" t="str">
        <f>IFERROR(__xludf.DUMMYFUNCTION("GOOGLETRANSLATE(B33, ""en"", ""bn"")"),"'দারিবান্ধা' শব্দটির বাংলা অর্থ কী?")</f>
        <v>'দারিবান্ধা' শব্দটির বাংলা অর্থ কী?</v>
      </c>
      <c r="K33" s="10" t="str">
        <f>IFERROR(__xludf.DUMMYFUNCTION("GOOGLETRANSLATE(C33, ""en"", ""bn"")"),"ক) দড়ি টানা, খ) বন্ধন শক্তি, গ) গ্রাম্য খেলা, ঘ) ইচ্ছার যুদ্ধ")</f>
        <v>ক) দড়ি টানা, খ) বন্ধন শক্তি, গ) গ্রাম্য খেলা, ঘ) ইচ্ছার যুদ্ধ</v>
      </c>
      <c r="L33" s="10" t="str">
        <f>IFERROR(__xludf.DUMMYFUNCTION("GOOGLETRANSLATE(D33, ""en"", ""bn"")"),"ক) দড়ি টানা")</f>
        <v>ক) দড়ি টানা</v>
      </c>
      <c r="M33" s="10" t="str">
        <f>IFERROR(__xludf.DUMMYFUNCTION("GOOGLETRANSLATE(E33, ""en"", ""bn"")"),"দড়িবান্ধা শব্দটির বাংলা অর্থ 'দড়ি টানা', যা খেলার মূল বিষয়বস্তুকে প্রতিফলিত করে।")</f>
        <v>দড়িবান্ধা শব্দটির বাংলা অর্থ 'দড়ি টানা', যা খেলার মূল বিষয়বস্তুকে প্রতিফলিত করে।</v>
      </c>
    </row>
    <row r="34">
      <c r="A34" s="4">
        <v>33.0</v>
      </c>
      <c r="B34" s="4" t="s">
        <v>626</v>
      </c>
      <c r="C34" s="4" t="s">
        <v>627</v>
      </c>
      <c r="D34" s="4" t="s">
        <v>628</v>
      </c>
      <c r="E34" s="4" t="s">
        <v>629</v>
      </c>
      <c r="I34" s="10" t="str">
        <f>IFERROR(__xludf.DUMMYFUNCTION("GOOGLETRANSLATE(A34, ""en"", ""bn"")"),"৩৩")</f>
        <v>৩৩</v>
      </c>
      <c r="J34" s="10" t="str">
        <f>IFERROR(__xludf.DUMMYFUNCTION("GOOGLETRANSLATE(B34, ""en"", ""bn"")"),"দাড়িবান্ধায় সাফল্যের জন্য কোন ঐতিহ্যবাহী দক্ষতা অপরিহার্য?")</f>
        <v>দাড়িবান্ধায় সাফল্যের জন্য কোন ঐতিহ্যবাহী দক্ষতা অপরিহার্য?</v>
      </c>
      <c r="K34" s="10" t="str">
        <f>IFERROR(__xludf.DUMMYFUNCTION("GOOGLETRANSLATE(C34, ""en"", ""bn"")"),"ক) দৌড়, খ) কুস্তি, গ) দলবদ্ধভাবে কাজ, ঘ) তত্পরতা")</f>
        <v>ক) দৌড়, খ) কুস্তি, গ) দলবদ্ধভাবে কাজ, ঘ) তত্পরতা</v>
      </c>
      <c r="L34" s="10" t="str">
        <f>IFERROR(__xludf.DUMMYFUNCTION("GOOGLETRANSLATE(D34, ""en"", ""bn"")"),"গ) দলবদ্ধভাবে কাজ করা")</f>
        <v>গ) দলবদ্ধভাবে কাজ করা</v>
      </c>
      <c r="M34" s="10" t="str">
        <f>IFERROR(__xludf.DUMMYFUNCTION("GOOGLETRANSLATE(E34, ""en"", ""bn"")"),"দাড়িবান্ধায় সাফল্য মূলত শক্তিশালী দলগত কাজ এবং সমন্বয়ের উপর নির্ভর করে।")</f>
        <v>দাড়িবান্ধায় সাফল্য মূলত শক্তিশালী দলগত কাজ এবং সমন্বয়ের উপর নির্ভর করে।</v>
      </c>
    </row>
    <row r="35">
      <c r="A35" s="4">
        <v>34.0</v>
      </c>
      <c r="B35" s="4" t="s">
        <v>630</v>
      </c>
      <c r="C35" s="4" t="s">
        <v>631</v>
      </c>
      <c r="D35" s="4" t="s">
        <v>632</v>
      </c>
      <c r="E35" s="4" t="s">
        <v>633</v>
      </c>
      <c r="I35" s="10" t="str">
        <f>IFERROR(__xludf.DUMMYFUNCTION("GOOGLETRANSLATE(A35, ""en"", ""bn"")"),"৩৪")</f>
        <v>৩৪</v>
      </c>
      <c r="J35" s="10" t="str">
        <f>IFERROR(__xludf.DUMMYFUNCTION("GOOGLETRANSLATE(B35, ""en"", ""bn"")"),"দাড়িবান্ধার ঐতিহ্যগতভাবে দড়ি কীভাবে রক্ষণাবেক্ষণ করা হয়?")</f>
        <v>দাড়িবান্ধার ঐতিহ্যগতভাবে দড়ি কীভাবে রক্ষণাবেক্ষণ করা হয়?</v>
      </c>
      <c r="K35" s="10" t="str">
        <f>IFERROR(__xludf.DUMMYFUNCTION("GOOGLETRANSLATE(C35, ""en"", ""bn"")"),"ক) নিয়মিত মেরামতের মাধ্যমে, খ) প্রতি বছর এটি প্রতিস্থাপন করে, গ) সিল্ক দিয়ে বেণী করে, ঘ) কোনও রক্ষণাবেক্ষণের প্রয়োজন হয় না")</f>
        <v>ক) নিয়মিত মেরামতের মাধ্যমে, খ) প্রতি বছর এটি প্রতিস্থাপন করে, গ) সিল্ক দিয়ে বেণী করে, ঘ) কোনও রক্ষণাবেক্ষণের প্রয়োজন হয় না</v>
      </c>
      <c r="L35" s="10" t="str">
        <f>IFERROR(__xludf.DUMMYFUNCTION("GOOGLETRANSLATE(D35, ""en"", ""bn"")"),"ক) নিয়মিত মেরামতের সাথে")</f>
        <v>ক) নিয়মিত মেরামতের সাথে</v>
      </c>
      <c r="M35" s="10" t="str">
        <f>IFERROR(__xludf.DUMMYFUNCTION("GOOGLETRANSLATE(E35, ""en"", ""bn"")"),"দড়িবান্ধার দড়িটি খেলার জন্য যথেষ্ট শক্তিশালী করার জন্য প্রায়শই নিয়মিত রক্ষণাবেক্ষণ এবং মেরামত করা হয়।")</f>
        <v>দড়িবান্ধার দড়িটি খেলার জন্য যথেষ্ট শক্তিশালী করার জন্য প্রায়শই নিয়মিত রক্ষণাবেক্ষণ এবং মেরামত করা হয়।</v>
      </c>
    </row>
    <row r="36">
      <c r="A36" s="4">
        <v>35.0</v>
      </c>
      <c r="B36" s="4" t="s">
        <v>634</v>
      </c>
      <c r="C36" s="4" t="s">
        <v>635</v>
      </c>
      <c r="D36" s="4" t="s">
        <v>636</v>
      </c>
      <c r="E36" s="4" t="s">
        <v>637</v>
      </c>
      <c r="I36" s="10" t="str">
        <f>IFERROR(__xludf.DUMMYFUNCTION("GOOGLETRANSLATE(A36, ""en"", ""bn"")"),"৩৫")</f>
        <v>৩৫</v>
      </c>
      <c r="J36" s="10" t="str">
        <f>IFERROR(__xludf.DUMMYFUNCTION("GOOGLETRANSLATE(B36, ""en"", ""bn"")"),"বাংলাদেশের অন্যান্য ঐতিহ্যবাহী খেলা থেকে দাড়িবান্ধাকে কী আলাদা করে?")</f>
        <v>বাংলাদেশের অন্যান্য ঐতিহ্যবাহী খেলা থেকে দাড়িবান্ধাকে কী আলাদা করে?</v>
      </c>
      <c r="K36" s="10" t="str">
        <f>IFERROR(__xludf.DUMMYFUNCTION("GOOGLETRANSLATE(C36, ""en"", ""bn"")"),"ক) ঘোড়ার ব্যবহার, খ) শক্তিশালী সম্প্রদায়ের সম্পৃক্ততা, গ) জল-ভিত্তিক খেলা, ঘ) বলের ব্যবহার")</f>
        <v>ক) ঘোড়ার ব্যবহার, খ) শক্তিশালী সম্প্রদায়ের সম্পৃক্ততা, গ) জল-ভিত্তিক খেলা, ঘ) বলের ব্যবহার</v>
      </c>
      <c r="L36" s="10" t="str">
        <f>IFERROR(__xludf.DUMMYFUNCTION("GOOGLETRANSLATE(D36, ""en"", ""bn"")"),"খ) শক্তিশালী সম্প্রদায়ের সম্পৃক্ততা")</f>
        <v>খ) শক্তিশালী সম্প্রদায়ের সম্পৃক্ততা</v>
      </c>
      <c r="M36" s="10" t="str">
        <f>IFERROR(__xludf.DUMMYFUNCTION("GOOGLETRANSLATE(E36, ""en"", ""bn"")"),"দাড়িয়াবান্ধা তার শক্তিশালী সম্প্রদায়ের সম্পৃক্ততার জন্য উল্লেখযোগ্য, যেখানে প্রায়শই পুরো গ্রাম অংশগ্রহণ করে।")</f>
        <v>দাড়িয়াবান্ধা তার শক্তিশালী সম্প্রদায়ের সম্পৃক্ততার জন্য উল্লেখযোগ্য, যেখানে প্রায়শই পুরো গ্রাম অংশগ্রহণ করে।</v>
      </c>
    </row>
    <row r="37">
      <c r="A37" s="4">
        <v>36.0</v>
      </c>
      <c r="B37" s="4" t="s">
        <v>638</v>
      </c>
      <c r="C37" s="4" t="s">
        <v>639</v>
      </c>
      <c r="D37" s="4" t="s">
        <v>640</v>
      </c>
      <c r="E37" s="4" t="s">
        <v>641</v>
      </c>
      <c r="I37" s="10" t="str">
        <f>IFERROR(__xludf.DUMMYFUNCTION("GOOGLETRANSLATE(A37, ""en"", ""bn"")"),"৩৬")</f>
        <v>৩৬</v>
      </c>
      <c r="J37" s="10" t="str">
        <f>IFERROR(__xludf.DUMMYFUNCTION("GOOGLETRANSLATE(B37, ""en"", ""bn"")"),"খেলার সময় দাড়িবান্ধার কোন সামাজিক দিকটির উপর জোর দেওয়া হয়?")</f>
        <v>খেলার সময় দাড়িবান্ধার কোন সামাজিক দিকটির উপর জোর দেওয়া হয়?</v>
      </c>
      <c r="K37" s="10" t="str">
        <f>IFERROR(__xludf.DUMMYFUNCTION("GOOGLETRANSLATE(C37, ""en"", ""bn"")"),"ক) যেকোনো মূল্যে জয়, খ) দলগত মনোভাব, গ) ব্যক্তিগত দক্ষতা, ঘ) দর্শকদের বিনোদন")</f>
        <v>ক) যেকোনো মূল্যে জয়, খ) দলগত মনোভাব, গ) ব্যক্তিগত দক্ষতা, ঘ) দর্শকদের বিনোদন</v>
      </c>
      <c r="L37" s="10" t="str">
        <f>IFERROR(__xludf.DUMMYFUNCTION("GOOGLETRANSLATE(D37, ""en"", ""bn"")"),"খ) দলগত মনোভাব")</f>
        <v>খ) দলগত মনোভাব</v>
      </c>
      <c r="M37" s="10" t="str">
        <f>IFERROR(__xludf.DUMMYFUNCTION("GOOGLETRANSLATE(E37, ""en"", ""bn"")"),"দাড়িবান্ধা ব্যক্তিগত কর্মক্ষমতার চেয়ে দলগত কাজ এবং ঐক্যের উপর জোর দেয়।")</f>
        <v>দাড়িবান্ধা ব্যক্তিগত কর্মক্ষমতার চেয়ে দলগত কাজ এবং ঐক্যের উপর জোর দেয়।</v>
      </c>
    </row>
    <row r="38">
      <c r="A38" s="4">
        <v>37.0</v>
      </c>
      <c r="B38" s="4" t="s">
        <v>642</v>
      </c>
      <c r="C38" s="4" t="s">
        <v>643</v>
      </c>
      <c r="D38" s="4" t="s">
        <v>644</v>
      </c>
      <c r="E38" s="4" t="s">
        <v>645</v>
      </c>
      <c r="I38" s="10" t="str">
        <f>IFERROR(__xludf.DUMMYFUNCTION("GOOGLETRANSLATE(A38, ""en"", ""bn"")"),"৩৭")</f>
        <v>৩৭</v>
      </c>
      <c r="J38" s="10" t="str">
        <f>IFERROR(__xludf.DUMMYFUNCTION("GOOGLETRANSLATE(B38, ""en"", ""bn"")"),"দরিয়াবান্ধার জনপ্রিয়তার পেছনে সবচেয়ে গুরুত্বপূর্ণ ঐতিহাসিক কারণ কী?")</f>
        <v>দরিয়াবান্ধার জনপ্রিয়তার পেছনে সবচেয়ে গুরুত্বপূর্ণ ঐতিহাসিক কারণ কী?</v>
      </c>
      <c r="K38" s="10" t="str">
        <f>IFERROR(__xludf.DUMMYFUNCTION("GOOGLETRANSLATE(C38, ""en"", ""bn"")"),"ক) ঔপনিবেশিক প্রভাব, খ) ঐতিহ্যবাহী কৃষি পদ্ধতি, গ) ধর্মীয় গুরুত্ব, ঘ) রাজনৈতিক বিপ্লব")</f>
        <v>ক) ঔপনিবেশিক প্রভাব, খ) ঐতিহ্যবাহী কৃষি পদ্ধতি, গ) ধর্মীয় গুরুত্ব, ঘ) রাজনৈতিক বিপ্লব</v>
      </c>
      <c r="L38" s="10" t="str">
        <f>IFERROR(__xludf.DUMMYFUNCTION("GOOGLETRANSLATE(D38, ""en"", ""bn"")"),"খ) ঐতিহ্যবাহী কৃষি পদ্ধতি")</f>
        <v>খ) ঐতিহ্যবাহী কৃষি পদ্ধতি</v>
      </c>
      <c r="M38" s="10" t="str">
        <f>IFERROR(__xludf.DUMMYFUNCTION("GOOGLETRANSLATE(E38, ""en"", ""bn"")"),"দাড়িবান্ধার জনপ্রিয়তার কারণ বাংলাদেশের গ্রামীণ কৃষি পদ্ধতির সাথে এর ঐতিহাসিক সংযোগ।")</f>
        <v>দাড়িবান্ধার জনপ্রিয়তার কারণ বাংলাদেশের গ্রামীণ কৃষি পদ্ধতির সাথে এর ঐতিহাসিক সংযোগ।</v>
      </c>
    </row>
    <row r="39">
      <c r="A39" s="4">
        <v>38.0</v>
      </c>
      <c r="B39" s="4" t="s">
        <v>646</v>
      </c>
      <c r="C39" s="4" t="s">
        <v>647</v>
      </c>
      <c r="D39" s="4" t="s">
        <v>648</v>
      </c>
      <c r="E39" s="4" t="s">
        <v>649</v>
      </c>
      <c r="I39" s="10" t="str">
        <f>IFERROR(__xludf.DUMMYFUNCTION("GOOGLETRANSLATE(A39, ""en"", ""bn"")"),"৩৮")</f>
        <v>৩৮</v>
      </c>
      <c r="J39" s="10" t="str">
        <f>IFERROR(__xludf.DUMMYFUNCTION("GOOGLETRANSLATE(B39, ""en"", ""bn"")"),"দাড়িবান্ধা দলে নিচের কোন ভূমিকাটি সাধারণত অপরিহার্য বলে বিবেচিত হয়?")</f>
        <v>দাড়িবান্ধা দলে নিচের কোন ভূমিকাটি সাধারণত অপরিহার্য বলে বিবেচিত হয়?</v>
      </c>
      <c r="K39" s="10" t="str">
        <f>IFERROR(__xludf.DUMMYFUNCTION("GOOGLETRANSLATE(C39, ""en"", ""bn"")"),"ক) কৌশলবিদ, খ) সবচেয়ে শক্তিশালী খেলোয়াড়, গ) দড়ি ব্যবস্থাপক, ঘ) চিয়ারলিডার")</f>
        <v>ক) কৌশলবিদ, খ) সবচেয়ে শক্তিশালী খেলোয়াড়, গ) দড়ি ব্যবস্থাপক, ঘ) চিয়ারলিডার</v>
      </c>
      <c r="L39" s="10" t="str">
        <f>IFERROR(__xludf.DUMMYFUNCTION("GOOGLETRANSLATE(D39, ""en"", ""bn"")"),"ক) কৌশলবিদ")</f>
        <v>ক) কৌশলবিদ</v>
      </c>
      <c r="M39" s="10" t="str">
        <f>IFERROR(__xludf.DUMMYFUNCTION("GOOGLETRANSLATE(E39, ""en"", ""bn"")"),"দাড়িবান্ধা ম্যাচে দলের পদক্ষেপ পরিকল্পনায় কৌশলবিদ গুরুত্বপূর্ণ ভূমিকা পালন করেন।")</f>
        <v>দাড়িবান্ধা ম্যাচে দলের পদক্ষেপ পরিকল্পনায় কৌশলবিদ গুরুত্বপূর্ণ ভূমিকা পালন করেন।</v>
      </c>
    </row>
    <row r="40">
      <c r="A40" s="4">
        <v>39.0</v>
      </c>
      <c r="B40" s="4" t="s">
        <v>650</v>
      </c>
      <c r="C40" s="4" t="s">
        <v>651</v>
      </c>
      <c r="D40" s="4" t="s">
        <v>652</v>
      </c>
      <c r="E40" s="4" t="s">
        <v>653</v>
      </c>
      <c r="I40" s="10" t="str">
        <f>IFERROR(__xludf.DUMMYFUNCTION("GOOGLETRANSLATE(A40, ""en"", ""bn"")"),"৩৯")</f>
        <v>৩৯</v>
      </c>
      <c r="J40" s="10" t="str">
        <f>IFERROR(__xludf.DUMMYFUNCTION("GOOGLETRANSLATE(B40, ""en"", ""bn"")"),"অতীতে, দাড়িবান্ধা ঐতিহ্যগতভাবে কোন ঋতুতে খেলা হত?")</f>
        <v>অতীতে, দাড়িবান্ধা ঐতিহ্যগতভাবে কোন ঋতুতে খেলা হত?</v>
      </c>
      <c r="K40" s="10" t="str">
        <f>IFERROR(__xludf.DUMMYFUNCTION("GOOGLETRANSLATE(C40, ""en"", ""bn"")"),"ক) গ্রীষ্ম, খ) বর্ষা, গ) শীত, ঘ) বসন্ত")</f>
        <v>ক) গ্রীষ্ম, খ) বর্ষা, গ) শীত, ঘ) বসন্ত</v>
      </c>
      <c r="L40" s="10" t="str">
        <f>IFERROR(__xludf.DUMMYFUNCTION("GOOGLETRANSLATE(D40, ""en"", ""bn"")"),"খ) বর্ষাকাল")</f>
        <v>খ) বর্ষাকাল</v>
      </c>
      <c r="M40" s="10" t="str">
        <f>IFERROR(__xludf.DUMMYFUNCTION("GOOGLETRANSLATE(E40, ""en"", ""bn"")"),"ঐতিহ্যগতভাবে বর্ষাকালে, যে সময় সাম্প্রদায়িক সমাবেশের সময়, দাড়িয়াবান্ধা বাজানো হত।")</f>
        <v>ঐতিহ্যগতভাবে বর্ষাকালে, যে সময় সাম্প্রদায়িক সমাবেশের সময়, দাড়িয়াবান্ধা বাজানো হত।</v>
      </c>
    </row>
    <row r="41">
      <c r="A41" s="4">
        <v>40.0</v>
      </c>
      <c r="B41" s="4" t="s">
        <v>654</v>
      </c>
      <c r="C41" s="4" t="s">
        <v>655</v>
      </c>
      <c r="D41" s="4" t="s">
        <v>656</v>
      </c>
      <c r="E41" s="4" t="s">
        <v>657</v>
      </c>
      <c r="I41" s="10" t="str">
        <f>IFERROR(__xludf.DUMMYFUNCTION("GOOGLETRANSLATE(A41, ""en"", ""bn"")"),"৪০")</f>
        <v>৪০</v>
      </c>
      <c r="J41" s="10" t="str">
        <f>IFERROR(__xludf.DUMMYFUNCTION("GOOGLETRANSLATE(B41, ""en"", ""bn"")"),"কোন অঞ্চলটি দাড়িবান্ধার অনন্য বৈচিত্র্যের জন্য পরিচিত?")</f>
        <v>কোন অঞ্চলটি দাড়িবান্ধার অনন্য বৈচিত্র্যের জন্য পরিচিত?</v>
      </c>
      <c r="K41" s="10" t="str">
        <f>IFERROR(__xludf.DUMMYFUNCTION("GOOGLETRANSLATE(C41, ""en"", ""bn"")"),"A) ঢাকা, B) সিলেট, C) রাজশাহী, D) খুলনা")</f>
        <v>A) ঢাকা, B) সিলেট, C) রাজশাহী, D) খুলনা</v>
      </c>
      <c r="L41" s="10" t="str">
        <f>IFERROR(__xludf.DUMMYFUNCTION("GOOGLETRANSLATE(D41, ""en"", ""bn"")"),"খ) সিলেট")</f>
        <v>খ) সিলেট</v>
      </c>
      <c r="M41" s="10" t="str">
        <f>IFERROR(__xludf.DUMMYFUNCTION("GOOGLETRANSLATE(E41, ""en"", ""bn"")"),"সিলেটে দাড়িবান্ধার কিছু অনন্য রূপ তৈরি হয়েছে যা ঐতিহ্যবাহী বিন্যাস থেকে আলাদা।")</f>
        <v>সিলেটে দাড়িবান্ধার কিছু অনন্য রূপ তৈরি হয়েছে যা ঐতিহ্যবাহী বিন্যাস থেকে আলাদা।</v>
      </c>
    </row>
    <row r="42">
      <c r="A42" s="4">
        <v>41.0</v>
      </c>
      <c r="B42" s="4" t="s">
        <v>658</v>
      </c>
      <c r="C42" s="4" t="s">
        <v>659</v>
      </c>
      <c r="D42" s="4" t="s">
        <v>660</v>
      </c>
      <c r="E42" s="4" t="s">
        <v>661</v>
      </c>
      <c r="I42" s="10" t="str">
        <f>IFERROR(__xludf.DUMMYFUNCTION("GOOGLETRANSLATE(A42, ""en"", ""bn"")"),"৪১")</f>
        <v>৪১</v>
      </c>
      <c r="J42" s="10" t="str">
        <f>IFERROR(__xludf.DUMMYFUNCTION("GOOGLETRANSLATE(B42, ""en"", ""bn"")"),"তরুণদের জন্য দাড়িবান্ধা খেলার অন্যতম প্রধান সুবিধা কী?")</f>
        <v>তরুণদের জন্য দাড়িবান্ধা খেলার অন্যতম প্রধান সুবিধা কী?</v>
      </c>
      <c r="K42" s="10" t="str">
        <f>IFERROR(__xludf.DUMMYFUNCTION("GOOGLETRANSLATE(C42, ""en"", ""bn"")"),"ক) এটি শারীরিক শক্তি বৃদ্ধি করে, খ) এটি অধ্যবসায় শেখায়, গ) এটি একাডেমিক কর্মক্ষমতা উন্নত করে, ঘ) এটি নেতৃত্বের দক্ষতা বৃদ্ধি করে")</f>
        <v>ক) এটি শারীরিক শক্তি বৃদ্ধি করে, খ) এটি অধ্যবসায় শেখায়, গ) এটি একাডেমিক কর্মক্ষমতা উন্নত করে, ঘ) এটি নেতৃত্বের দক্ষতা বৃদ্ধি করে</v>
      </c>
      <c r="L42" s="10" t="str">
        <f>IFERROR(__xludf.DUMMYFUNCTION("GOOGLETRANSLATE(D42, ""en"", ""bn"")"),"ক) এটি শারীরিক শক্তি তৈরি করে")</f>
        <v>ক) এটি শারীরিক শক্তি তৈরি করে</v>
      </c>
      <c r="M42" s="10" t="str">
        <f>IFERROR(__xludf.DUMMYFUNCTION("GOOGLETRANSLATE(E42, ""en"", ""bn"")"),"দাড়িবান্ধা একটি শারীরিকভাবে কঠিন খেলা যা তরুণ খেলোয়াড়দের মধ্যে শক্তি এবং সহনশীলতা তৈরিতে সাহায্য করে।")</f>
        <v>দাড়িবান্ধা একটি শারীরিকভাবে কঠিন খেলা যা তরুণ খেলোয়াড়দের মধ্যে শক্তি এবং সহনশীলতা তৈরিতে সাহায্য করে।</v>
      </c>
    </row>
    <row r="43">
      <c r="A43" s="4">
        <v>42.0</v>
      </c>
      <c r="B43" s="4" t="s">
        <v>662</v>
      </c>
      <c r="C43" s="4" t="s">
        <v>663</v>
      </c>
      <c r="D43" s="4" t="s">
        <v>664</v>
      </c>
      <c r="E43" s="4" t="s">
        <v>665</v>
      </c>
      <c r="I43" s="10" t="str">
        <f>IFERROR(__xludf.DUMMYFUNCTION("GOOGLETRANSLATE(A43, ""en"", ""bn"")"),"৪২")</f>
        <v>৪২</v>
      </c>
      <c r="J43" s="10" t="str">
        <f>IFERROR(__xludf.DUMMYFUNCTION("GOOGLETRANSLATE(B43, ""en"", ""bn"")"),"দাড়িবান্ধায় দক্ষতা অর্জনের জন্য সাধারণত কী ধরণের প্রশিক্ষণের প্রয়োজন হয়?")</f>
        <v>দাড়িবান্ধায় দক্ষতা অর্জনের জন্য সাধারণত কী ধরণের প্রশিক্ষণের প্রয়োজন হয়?</v>
      </c>
      <c r="K43" s="10" t="str">
        <f>IFERROR(__xludf.DUMMYFUNCTION("GOOGLETRANSLATE(C43, ""en"", ""bn"")"),"ক) প্রযুক্তিগত জ্ঞান, খ) কুস্তি কৌশল, গ) শারীরিক সহনশীলতা এবং সমন্বয়, ঘ) মানসিক একাগ্রতা")</f>
        <v>ক) প্রযুক্তিগত জ্ঞান, খ) কুস্তি কৌশল, গ) শারীরিক সহনশীলতা এবং সমন্বয়, ঘ) মানসিক একাগ্রতা</v>
      </c>
      <c r="L43" s="10" t="str">
        <f>IFERROR(__xludf.DUMMYFUNCTION("GOOGLETRANSLATE(D43, ""en"", ""bn"")"),"গ) শারীরিক সহনশীলতা এবং সমন্বয়")</f>
        <v>গ) শারীরিক সহনশীলতা এবং সমন্বয়</v>
      </c>
      <c r="M43" s="10" t="str">
        <f>IFERROR(__xludf.DUMMYFUNCTION("GOOGLETRANSLATE(E43, ""en"", ""bn"")"),"দাড়িবান্ধায় দক্ষতা অর্জনের জন্য খেলোয়াড়দের শক্তিশালী শারীরিক সহনশীলতা এবং সমন্বয় প্রয়োজন।")</f>
        <v>দাড়িবান্ধায় দক্ষতা অর্জনের জন্য খেলোয়াড়দের শক্তিশালী শারীরিক সহনশীলতা এবং সমন্বয় প্রয়োজন।</v>
      </c>
    </row>
    <row r="44">
      <c r="A44" s="4">
        <v>43.0</v>
      </c>
      <c r="B44" s="4" t="s">
        <v>666</v>
      </c>
      <c r="C44" s="4" t="s">
        <v>667</v>
      </c>
      <c r="D44" s="4" t="s">
        <v>668</v>
      </c>
      <c r="E44" s="4" t="s">
        <v>669</v>
      </c>
      <c r="I44" s="10" t="str">
        <f>IFERROR(__xludf.DUMMYFUNCTION("GOOGLETRANSLATE(A44, ""en"", ""bn"")"),"৪৩")</f>
        <v>৪৩</v>
      </c>
      <c r="J44" s="10" t="str">
        <f>IFERROR(__xludf.DUMMYFUNCTION("GOOGLETRANSLATE(B44, ""en"", ""bn"")"),"বাংলাদেশের গ্রামীণ এলাকায় দাড়িবান্ধা কীভাবে সামাজিক বন্ধনে অবদান রেখেছিল?")</f>
        <v>বাংলাদেশের গ্রামীণ এলাকায় দাড়িবান্ধা কীভাবে সামাজিক বন্ধনে অবদান রেখেছিল?</v>
      </c>
      <c r="K44" s="10" t="str">
        <f>IFERROR(__xludf.DUMMYFUNCTION("GOOGLETRANSLATE(C44, ""en"", ""bn"")"),"ক) ব্যক্তিস্বাতন্ত্র্যবাদ প্রচার করে, খ) দলবদ্ধতা এবং সম্মিলিত প্রচেষ্টাকে উৎসাহিত করে, গ) প্রতিদ্বন্দ্বিতা বৃদ্ধি করে, ঘ) অর্থনৈতিক সুযোগ তৈরি করে")</f>
        <v>ক) ব্যক্তিস্বাতন্ত্র্যবাদ প্রচার করে, খ) দলবদ্ধতা এবং সম্মিলিত প্রচেষ্টাকে উৎসাহিত করে, গ) প্রতিদ্বন্দ্বিতা বৃদ্ধি করে, ঘ) অর্থনৈতিক সুযোগ তৈরি করে</v>
      </c>
      <c r="L44" s="10" t="str">
        <f>IFERROR(__xludf.DUMMYFUNCTION("GOOGLETRANSLATE(D44, ""en"", ""bn"")"),"খ) দলগত কাজ এবং সম্মিলিত প্রচেষ্টাকে উৎসাহিত করে")</f>
        <v>খ) দলগত কাজ এবং সম্মিলিত প্রচেষ্টাকে উৎসাহিত করে</v>
      </c>
      <c r="M44" s="10" t="str">
        <f>IFERROR(__xludf.DUMMYFUNCTION("GOOGLETRANSLATE(E44, ""en"", ""bn"")"),"দলগত কাজ এবং সম্মিলিত অংশগ্রহণের মাধ্যমে দাড়িবান্ধা সম্প্রদায়ের বন্ধনকে আরও শক্তিশালী করেছে।")</f>
        <v>দলগত কাজ এবং সম্মিলিত অংশগ্রহণের মাধ্যমে দাড়িবান্ধা সম্প্রদায়ের বন্ধনকে আরও শক্তিশালী করেছে।</v>
      </c>
    </row>
    <row r="45">
      <c r="A45" s="4">
        <v>44.0</v>
      </c>
      <c r="B45" s="4" t="s">
        <v>670</v>
      </c>
      <c r="C45" s="4" t="s">
        <v>671</v>
      </c>
      <c r="D45" s="4" t="s">
        <v>672</v>
      </c>
      <c r="E45" s="4" t="s">
        <v>673</v>
      </c>
      <c r="I45" s="10" t="str">
        <f>IFERROR(__xludf.DUMMYFUNCTION("GOOGLETRANSLATE(A45, ""en"", ""bn"")"),"৪৪")</f>
        <v>৪৪</v>
      </c>
      <c r="J45" s="10" t="str">
        <f>IFERROR(__xludf.DUMMYFUNCTION("GOOGLETRANSLATE(B45, ""en"", ""bn"")"),"দাড়িবান্ধা খেলার সময় শোনা যাওয়া সাধারণ স্তোত্র বা কান্নাকে কী বলে?")</f>
        <v>দাড়িবান্ধা খেলার সময় শোনা যাওয়া সাধারণ স্তোত্র বা কান্নাকে কী বলে?</v>
      </c>
      <c r="K45" s="10" t="str">
        <f>IFERROR(__xludf.DUMMYFUNCTION("GOOGLETRANSLATE(C45, ""en"", ""bn"")"),"ক) জয় আমাদের! খ) জোরে টান! গ) মাথা উঁচু করে দাঁড়াও! ঘ) দড়ি, দড়ি, টান!")</f>
        <v>ক) জয় আমাদের! খ) জোরে টান! গ) মাথা উঁচু করে দাঁড়াও! ঘ) দড়ি, দড়ি, টান!</v>
      </c>
      <c r="L45" s="10" t="str">
        <f>IFERROR(__xludf.DUMMYFUNCTION("GOOGLETRANSLATE(D45, ""en"", ""bn"")"),"খ) জোরে টান!")</f>
        <v>খ) জোরে টান!</v>
      </c>
      <c r="M45" s="10" t="str">
        <f>IFERROR(__xludf.DUMMYFUNCTION("GOOGLETRANSLATE(E45, ""en"", ""bn"")"),"খেলার তীব্র মুহূর্তগুলিতে 'জোরে টানুন!' স্লোগানটি সাধারণত একটি সমাবেশের কণ্ঠস্বর হিসেবে শোনা যায়।")</f>
        <v>খেলার তীব্র মুহূর্তগুলিতে 'জোরে টানুন!' স্লোগানটি সাধারণত একটি সমাবেশের কণ্ঠস্বর হিসেবে শোনা যায়।</v>
      </c>
    </row>
    <row r="46">
      <c r="A46" s="4">
        <v>45.0</v>
      </c>
      <c r="B46" s="4" t="s">
        <v>674</v>
      </c>
      <c r="C46" s="4" t="s">
        <v>675</v>
      </c>
      <c r="D46" s="4" t="s">
        <v>676</v>
      </c>
      <c r="E46" s="4" t="s">
        <v>677</v>
      </c>
      <c r="I46" s="10" t="str">
        <f>IFERROR(__xludf.DUMMYFUNCTION("GOOGLETRANSLATE(A46, ""en"", ""bn"")"),"৪৫")</f>
        <v>৪৫</v>
      </c>
      <c r="J46" s="10" t="str">
        <f>IFERROR(__xludf.DUMMYFUNCTION("GOOGLETRANSLATE(B46, ""en"", ""bn"")"),"বাংলাদেশের গ্রামাঞ্চলে দাড়িবান্ধা খেলার আসল উদ্দেশ্য কী ছিল?")</f>
        <v>বাংলাদেশের গ্রামাঞ্চলে দাড়িবান্ধা খেলার আসল উদ্দেশ্য কী ছিল?</v>
      </c>
      <c r="K46" s="10" t="str">
        <f>IFERROR(__xludf.DUMMYFUNCTION("GOOGLETRANSLATE(C46, ""en"", ""bn"")"),"ক) সামরিক প্রশিক্ষণ, খ) ফসল উদযাপন, গ) ধর্মীয় অনুষ্ঠান, ঘ) বিনোদন")</f>
        <v>ক) সামরিক প্রশিক্ষণ, খ) ফসল উদযাপন, গ) ধর্মীয় অনুষ্ঠান, ঘ) বিনোদন</v>
      </c>
      <c r="L46" s="10" t="str">
        <f>IFERROR(__xludf.DUMMYFUNCTION("GOOGLETRANSLATE(D46, ""en"", ""bn"")"),"খ) ফসল উদযাপন")</f>
        <v>খ) ফসল উদযাপন</v>
      </c>
      <c r="M46" s="10" t="str">
        <f>IFERROR(__xludf.DUMMYFUNCTION("GOOGLETRANSLATE(E46, ""en"", ""bn"")"),"মূলত ফসল কাটার সময় সামাজিক বিনোদনের জন্য দাড়িয়াবান্ধা বাজানো হত।")</f>
        <v>মূলত ফসল কাটার সময় সামাজিক বিনোদনের জন্য দাড়িয়াবান্ধা বাজানো হত।</v>
      </c>
    </row>
    <row r="47">
      <c r="A47" s="4">
        <v>46.0</v>
      </c>
      <c r="B47" s="4" t="s">
        <v>678</v>
      </c>
      <c r="C47" s="4" t="s">
        <v>679</v>
      </c>
      <c r="D47" s="4" t="s">
        <v>680</v>
      </c>
      <c r="E47" s="4" t="s">
        <v>681</v>
      </c>
      <c r="I47" s="10" t="str">
        <f>IFERROR(__xludf.DUMMYFUNCTION("GOOGLETRANSLATE(A47, ""en"", ""bn"")"),"৪৬")</f>
        <v>৪৬</v>
      </c>
      <c r="J47" s="10" t="str">
        <f>IFERROR(__xludf.DUMMYFUNCTION("GOOGLETRANSLATE(B47, ""en"", ""bn"")"),"দড়িবান্ধায় খেলার সময় দড়ি সাধারণত কোন চ্যালেঞ্জের মুখোমুখি হয়?")</f>
        <v>দড়িবান্ধায় খেলার সময় দড়ি সাধারণত কোন চ্যালেঞ্জের মুখোমুখি হয়?</v>
      </c>
      <c r="K47" s="10" t="str">
        <f>IFERROR(__xludf.DUMMYFUNCTION("GOOGLETRANSLATE(C47, ""en"", ""bn"")"),"ক) চাপের মুখে এটি ভেঙে যেতে পারে, খ) এটি জট পাকিয়ে যেতে পারে, গ) এটি সমানভাবে ভাগ করতে হবে, ঘ) এটি নিয়ন্ত্রণ করা কঠিন")</f>
        <v>ক) চাপের মুখে এটি ভেঙে যেতে পারে, খ) এটি জট পাকিয়ে যেতে পারে, গ) এটি সমানভাবে ভাগ করতে হবে, ঘ) এটি নিয়ন্ত্রণ করা কঠিন</v>
      </c>
      <c r="L47" s="10" t="str">
        <f>IFERROR(__xludf.DUMMYFUNCTION("GOOGLETRANSLATE(D47, ""en"", ""bn"")"),"খ) এটি জট পাকিয়ে যেতে পারে")</f>
        <v>খ) এটি জট পাকিয়ে যেতে পারে</v>
      </c>
      <c r="M47" s="10" t="str">
        <f>IFERROR(__xludf.DUMMYFUNCTION("GOOGLETRANSLATE(E47, ""en"", ""bn"")"),"দাড়িয়াবান্ধার দড়িটি বড় এবং জট পাকানো হতে পারে, যা খেলায় আরও জটিলতা তৈরি করে।")</f>
        <v>দাড়িয়াবান্ধার দড়িটি বড় এবং জট পাকানো হতে পারে, যা খেলায় আরও জটিলতা তৈরি করে।</v>
      </c>
    </row>
    <row r="48">
      <c r="A48" s="4">
        <v>47.0</v>
      </c>
      <c r="B48" s="4" t="s">
        <v>682</v>
      </c>
      <c r="C48" s="4" t="s">
        <v>683</v>
      </c>
      <c r="D48" s="4" t="s">
        <v>684</v>
      </c>
      <c r="E48" s="4" t="s">
        <v>685</v>
      </c>
      <c r="I48" s="10" t="str">
        <f>IFERROR(__xludf.DUMMYFUNCTION("GOOGLETRANSLATE(A48, ""en"", ""bn"")"),"৪৭")</f>
        <v>৪৭</v>
      </c>
      <c r="J48" s="10" t="str">
        <f>IFERROR(__xludf.DUMMYFUNCTION("GOOGLETRANSLATE(B48, ""en"", ""bn"")"),"ঐতিহ্যগতভাবে দাড়িবান্ধা প্রতিযোগিতা কে তত্ত্বাবধান করেন?")</f>
        <v>ঐতিহ্যগতভাবে দাড়িবান্ধা প্রতিযোগিতা কে তত্ত্বাবধান করেন?</v>
      </c>
      <c r="K48" s="10" t="str">
        <f>IFERROR(__xludf.DUMMYFUNCTION("GOOGLETRANSLATE(C48, ""en"", ""bn"")"),"ক) একজন গ্রামের প্রবীণ, খ) একজন পেশাদার রেফারি, গ) একজন স্থানীয় সরকারি কর্মকর্তা, ঘ) একজন ধর্মীয় নেতা")</f>
        <v>ক) একজন গ্রামের প্রবীণ, খ) একজন পেশাদার রেফারি, গ) একজন স্থানীয় সরকারি কর্মকর্তা, ঘ) একজন ধর্মীয় নেতা</v>
      </c>
      <c r="L48" s="10" t="str">
        <f>IFERROR(__xludf.DUMMYFUNCTION("GOOGLETRANSLATE(D48, ""en"", ""bn"")"),"ক) গ্রামের একজন প্রবীণ")</f>
        <v>ক) গ্রামের একজন প্রবীণ</v>
      </c>
      <c r="M48" s="10" t="str">
        <f>IFERROR(__xludf.DUMMYFUNCTION("GOOGLETRANSLATE(E48, ""en"", ""bn"")"),"গ্রামের একজন প্রবীণ ঐতিহ্যগতভাবে দাড়িবান্ধা প্রতিযোগিতার তত্ত্বাবধান করেন যাতে ন্যায্যতা নিশ্চিত করা যায়।")</f>
        <v>গ্রামের একজন প্রবীণ ঐতিহ্যগতভাবে দাড়িবান্ধা প্রতিযোগিতার তত্ত্বাবধান করেন যাতে ন্যায্যতা নিশ্চিত করা যায়।</v>
      </c>
    </row>
    <row r="49">
      <c r="A49" s="4">
        <v>48.0</v>
      </c>
      <c r="B49" s="4" t="s">
        <v>686</v>
      </c>
      <c r="C49" s="4" t="s">
        <v>687</v>
      </c>
      <c r="D49" s="4" t="s">
        <v>688</v>
      </c>
      <c r="E49" s="4" t="s">
        <v>689</v>
      </c>
      <c r="I49" s="10" t="str">
        <f>IFERROR(__xludf.DUMMYFUNCTION("GOOGLETRANSLATE(A49, ""en"", ""bn"")"),"৪৮")</f>
        <v>৪৮</v>
      </c>
      <c r="J49" s="10" t="str">
        <f>IFERROR(__xludf.DUMMYFUNCTION("GOOGLETRANSLATE(B49, ""en"", ""bn"")"),"বাংলাদেশের অন্যান্য ঐতিহ্যবাহী খেলার সাথে দাড়িবান্ধার প্রতিযোগিতামূলক প্রকৃতির সম্পর্ক কী?")</f>
        <v>বাংলাদেশের অন্যান্য ঐতিহ্যবাহী খেলার সাথে দাড়িবান্ধার প্রতিযোগিতামূলক প্রকৃতির সম্পর্ক কী?</v>
      </c>
      <c r="K49" s="10" t="str">
        <f>IFERROR(__xludf.DUMMYFUNCTION("GOOGLETRANSLATE(C49, ""en"", ""bn"")"),"ক) এটি বেশি আক্রমণাত্মক, খ) এটি কম তীব্র, গ) এটি শক্তির চেয়ে দক্ষতার উপর জোর দেয়, ঘ) এটি দলগত কাজের উপর জোর দেয়")</f>
        <v>ক) এটি বেশি আক্রমণাত্মক, খ) এটি কম তীব্র, গ) এটি শক্তির চেয়ে দক্ষতার উপর জোর দেয়, ঘ) এটি দলগত কাজের উপর জোর দেয়</v>
      </c>
      <c r="L49" s="10" t="str">
        <f>IFERROR(__xludf.DUMMYFUNCTION("GOOGLETRANSLATE(D49, ""en"", ""bn"")"),"ঘ) এটি দলগত কাজের উপর দৃষ্টি নিবদ্ধ করে")</f>
        <v>ঘ) এটি দলগত কাজের উপর দৃষ্টি নিবদ্ধ করে</v>
      </c>
      <c r="M49" s="10" t="str">
        <f>IFERROR(__xludf.DUMMYFUNCTION("GOOGLETRANSLATE(E49, ""en"", ""bn"")"),"বাংলাদেশের অন্যান্য ঐতিহ্যবাহী খেলার মতোই দাড়িবান্ধা দলগত কাজের উপরও জোর দেয়।")</f>
        <v>বাংলাদেশের অন্যান্য ঐতিহ্যবাহী খেলার মতোই দাড়িবান্ধা দলগত কাজের উপরও জোর দেয়।</v>
      </c>
    </row>
    <row r="50">
      <c r="A50" s="4">
        <v>49.0</v>
      </c>
      <c r="B50" s="4" t="s">
        <v>690</v>
      </c>
      <c r="C50" s="4" t="s">
        <v>691</v>
      </c>
      <c r="D50" s="4" t="s">
        <v>692</v>
      </c>
      <c r="E50" s="4" t="s">
        <v>693</v>
      </c>
      <c r="I50" s="10" t="str">
        <f>IFERROR(__xludf.DUMMYFUNCTION("GOOGLETRANSLATE(A50, ""en"", ""bn"")"),"৪৯")</f>
        <v>৪৯</v>
      </c>
      <c r="J50" s="10" t="str">
        <f>IFERROR(__xludf.DUMMYFUNCTION("GOOGLETRANSLATE(B50, ""en"", ""bn"")"),"দারিয়াবান্ধা এবং আন্তর্জাতিক টানাপোড়েনের মধ্যে একটি প্রধান পার্থক্য কী?")</f>
        <v>দারিয়াবান্ধা এবং আন্তর্জাতিক টানাপোড়েনের মধ্যে একটি প্রধান পার্থক্য কী?</v>
      </c>
      <c r="K50" s="10" t="str">
        <f>IFERROR(__xludf.DUMMYFUNCTION("GOOGLETRANSLATE(C50, ""en"", ""bn"")"),"ক) খেলোয়াড়ের সংখ্যা, খ) দড়ির দৈর্ঘ্য, গ) খেলার স্থান, ঘ) দর্শকদের ভূমিকা")</f>
        <v>ক) খেলোয়াড়ের সংখ্যা, খ) দড়ির দৈর্ঘ্য, গ) খেলার স্থান, ঘ) দর্শকদের ভূমিকা</v>
      </c>
      <c r="L50" s="10" t="str">
        <f>IFERROR(__xludf.DUMMYFUNCTION("GOOGLETRANSLATE(D50, ""en"", ""bn"")"),"ক) খেলোয়াড়ের সংখ্যা")</f>
        <v>ক) খেলোয়াড়ের সংখ্যা</v>
      </c>
      <c r="M50" s="10" t="str">
        <f>IFERROR(__xludf.DUMMYFUNCTION("GOOGLETRANSLATE(E50, ""en"", ""bn"")"),"দাড়িবান্ধায় সাধারণত আন্তর্জাতিক টানাপোড়েনের চেয়ে বেশি খেলোয়াড় অংশগ্রহণ করে, যা এটিকে একটি বৃহত্তর দলীয় খেলায় পরিণত করে।")</f>
        <v>দাড়িবান্ধায় সাধারণত আন্তর্জাতিক টানাপোড়েনের চেয়ে বেশি খেলোয়াড় অংশগ্রহণ করে, যা এটিকে একটি বৃহত্তর দলীয় খেলায় পরিণত করে।</v>
      </c>
    </row>
    <row r="51">
      <c r="A51" s="4">
        <v>50.0</v>
      </c>
      <c r="B51" s="4" t="s">
        <v>694</v>
      </c>
      <c r="C51" s="4" t="s">
        <v>695</v>
      </c>
      <c r="D51" s="4" t="s">
        <v>696</v>
      </c>
      <c r="E51" s="4" t="s">
        <v>697</v>
      </c>
      <c r="I51" s="10" t="str">
        <f>IFERROR(__xludf.DUMMYFUNCTION("GOOGLETRANSLATE(A51, ""en"", ""bn"")"),"৫০")</f>
        <v>৫০</v>
      </c>
      <c r="J51" s="10" t="str">
        <f>IFERROR(__xludf.DUMMYFUNCTION("GOOGLETRANSLATE(B51, ""en"", ""bn"")"),"বাংলাদেশের গ্রামগুলিতে দাড়িবান্ধা কোন ঐতিহাসিক ভূমিকা পালন করেছিল?")</f>
        <v>বাংলাদেশের গ্রামগুলিতে দাড়িবান্ধা কোন ঐতিহাসিক ভূমিকা পালন করেছিল?</v>
      </c>
      <c r="K51" s="10" t="str">
        <f>IFERROR(__xludf.DUMMYFUNCTION("GOOGLETRANSLATE(C51, ""en"", ""bn"")"),"ক) এটি সামরিক প্রশিক্ষণের জন্য ব্যবহৃত হত, খ) এটি ধর্মীয় আচার-অনুষ্ঠানের একটি অংশ ছিল, গ) এটি বিনোদন এবং ঐক্যের একটি রূপ ছিল, ঘ) এটি রাজনৈতিক আনুগত্যের পরীক্ষা ছিল")</f>
        <v>ক) এটি সামরিক প্রশিক্ষণের জন্য ব্যবহৃত হত, খ) এটি ধর্মীয় আচার-অনুষ্ঠানের একটি অংশ ছিল, গ) এটি বিনোদন এবং ঐক্যের একটি রূপ ছিল, ঘ) এটি রাজনৈতিক আনুগত্যের পরীক্ষা ছিল</v>
      </c>
      <c r="L51" s="10" t="str">
        <f>IFERROR(__xludf.DUMMYFUNCTION("GOOGLETRANSLATE(D51, ""en"", ""bn"")"),"গ) এটি ছিল বিনোদন এবং ঐক্যের এক রূপ")</f>
        <v>গ) এটি ছিল বিনোদন এবং ঐক্যের এক রূপ</v>
      </c>
      <c r="M51" s="10" t="str">
        <f>IFERROR(__xludf.DUMMYFUNCTION("GOOGLETRANSLATE(E51, ""en"", ""bn"")"),"ঐতিহাসিকভাবে, দাড়িবান্ধা বিনোদনের উৎস এবং সম্প্রদায়ের ঐক্যের হাতিয়ার হিসেবে কাজ করেছে।")</f>
        <v>ঐতিহাসিকভাবে, দাড়িবান্ধা বিনোদনের উৎস এবং সম্প্রদায়ের ঐক্যের হাতিয়ার হিসেবে কাজ করেছে।</v>
      </c>
    </row>
    <row r="52">
      <c r="A52" s="4">
        <v>51.0</v>
      </c>
      <c r="B52" s="4" t="s">
        <v>698</v>
      </c>
      <c r="C52" s="4" t="s">
        <v>699</v>
      </c>
      <c r="D52" s="4" t="s">
        <v>44</v>
      </c>
      <c r="E52" s="4" t="s">
        <v>700</v>
      </c>
      <c r="I52" s="10" t="str">
        <f>IFERROR(__xludf.DUMMYFUNCTION("GOOGLETRANSLATE(A52, ""en"", ""bn"")"),"৫১")</f>
        <v>৫১</v>
      </c>
      <c r="J52" s="10" t="str">
        <f>IFERROR(__xludf.DUMMYFUNCTION("GOOGLETRANSLATE(B52, ""en"", ""bn"")"),"দাড়িবান্ধায় একজন খেলোয়াড়ের জন্য কোন শারীরিক বৈশিষ্ট্য সবচেয়ে গুরুত্বপূর্ণ?")</f>
        <v>দাড়িবান্ধায় একজন খেলোয়াড়ের জন্য কোন শারীরিক বৈশিষ্ট্য সবচেয়ে গুরুত্বপূর্ণ?</v>
      </c>
      <c r="K52" s="10" t="str">
        <f>IFERROR(__xludf.DUMMYFUNCTION("GOOGLETRANSLATE(C52, ""en"", ""bn"")"),"ক) উচ্চতা, খ) ওজন, গ) শক্তি, ঘ) নমনীয়তা")</f>
        <v>ক) উচ্চতা, খ) ওজন, গ) শক্তি, ঘ) নমনীয়তা</v>
      </c>
      <c r="L52" s="10" t="str">
        <f>IFERROR(__xludf.DUMMYFUNCTION("GOOGLETRANSLATE(D52, ""en"", ""bn"")"),"গ) শক্তি")</f>
        <v>গ) শক্তি</v>
      </c>
      <c r="M52" s="10" t="str">
        <f>IFERROR(__xludf.DUMMYFUNCTION("GOOGLETRANSLATE(E52, ""en"", ""bn"")"),"দাড়িবান্ধায় কার্যকরভাবে অংশগ্রহণের জন্য খেলোয়াড়দের শারীরিক শক্তি একটি গুরুত্বপূর্ণ বৈশিষ্ট্য।")</f>
        <v>দাড়িবান্ধায় কার্যকরভাবে অংশগ্রহণের জন্য খেলোয়াড়দের শারীরিক শক্তি একটি গুরুত্বপূর্ণ বৈশিষ্ট্য।</v>
      </c>
    </row>
    <row r="53">
      <c r="A53" s="4">
        <v>52.0</v>
      </c>
      <c r="B53" s="4" t="s">
        <v>701</v>
      </c>
      <c r="C53" s="4" t="s">
        <v>702</v>
      </c>
      <c r="D53" s="4" t="s">
        <v>703</v>
      </c>
      <c r="E53" s="4" t="s">
        <v>704</v>
      </c>
      <c r="I53" s="10" t="str">
        <f>IFERROR(__xludf.DUMMYFUNCTION("GOOGLETRANSLATE(A53, ""en"", ""bn"")"),"৫২")</f>
        <v>৫২</v>
      </c>
      <c r="J53" s="10" t="str">
        <f>IFERROR(__xludf.DUMMYFUNCTION("GOOGLETRANSLATE(B53, ""en"", ""bn"")"),"কোন আধুনিক ক্রীড়া ইভেন্টের সাথে দাড়িবান্ধার কিছু মিল রয়েছে?")</f>
        <v>কোন আধুনিক ক্রীড়া ইভেন্টের সাথে দাড়িবান্ধার কিছু মিল রয়েছে?</v>
      </c>
      <c r="K53" s="10" t="str">
        <f>IFERROR(__xludf.DUMMYFUNCTION("GOOGLETRANSLATE(C53, ""en"", ""bn"")"),"ক) অলিম্পিক কুস্তি, খ) টানাটানি, গ) রাগবি, ঘ) বক্সিং")</f>
        <v>ক) অলিম্পিক কুস্তি, খ) টানাটানি, গ) রাগবি, ঘ) বক্সিং</v>
      </c>
      <c r="L53" s="10" t="str">
        <f>IFERROR(__xludf.DUMMYFUNCTION("GOOGLETRANSLATE(D53, ""en"", ""bn"")"),"খ) টানাটানি")</f>
        <v>খ) টানাটানি</v>
      </c>
      <c r="M53" s="10" t="str">
        <f>IFERROR(__xludf.DUMMYFUNCTION("GOOGLETRANSLATE(E53, ""en"", ""bn"")"),"দড়িবান্ধার সাথে টানাটানির মিল রয়েছে, কারণ উভয় দলই দড়ি ধরে টানাটানি করে।")</f>
        <v>দড়িবান্ধার সাথে টানাটানির মিল রয়েছে, কারণ উভয় দলই দড়ি ধরে টানাটানি করে।</v>
      </c>
    </row>
    <row r="54">
      <c r="A54" s="4">
        <v>53.0</v>
      </c>
      <c r="B54" s="4" t="s">
        <v>705</v>
      </c>
      <c r="C54" s="4" t="s">
        <v>706</v>
      </c>
      <c r="D54" s="4" t="s">
        <v>707</v>
      </c>
      <c r="E54" s="4" t="s">
        <v>708</v>
      </c>
      <c r="I54" s="10" t="str">
        <f>IFERROR(__xludf.DUMMYFUNCTION("GOOGLETRANSLATE(A54, ""en"", ""bn"")"),"৫৩")</f>
        <v>৫৩</v>
      </c>
      <c r="J54" s="10" t="str">
        <f>IFERROR(__xludf.DUMMYFUNCTION("GOOGLETRANSLATE(B54, ""en"", ""bn"")"),"দাড়িবান্ধা সম্পর্কে একটি সাধারণ ভুল ধারণা কী?")</f>
        <v>দাড়িবান্ধা সম্পর্কে একটি সাধারণ ভুল ধারণা কী?</v>
      </c>
      <c r="K54" s="10" t="str">
        <f>IFERROR(__xludf.DUMMYFUNCTION("GOOGLETRANSLATE(C54, ""en"", ""bn"")"),"ক) এটি একটি একক খেলা, খ) এটি শুধুমাত্র প্রাপ্তবয়স্কদের জন্য, গ) এটি খেলা সহজ, ঘ) এটি শুধুমাত্র শহরাঞ্চলে খেলা হয়")</f>
        <v>ক) এটি একটি একক খেলা, খ) এটি শুধুমাত্র প্রাপ্তবয়স্কদের জন্য, গ) এটি খেলা সহজ, ঘ) এটি শুধুমাত্র শহরাঞ্চলে খেলা হয়</v>
      </c>
      <c r="L54" s="10" t="str">
        <f>IFERROR(__xludf.DUMMYFUNCTION("GOOGLETRANSLATE(D54, ""en"", ""bn"")"),"গ) এটি খেলা সহজ")</f>
        <v>গ) এটি খেলা সহজ</v>
      </c>
      <c r="M54" s="10" t="str">
        <f>IFERROR(__xludf.DUMMYFUNCTION("GOOGLETRANSLATE(E54, ""en"", ""bn"")"),"অনেকেই বিশ্বাস করেন যে দাড়িবান্ধা খেলা সহজ, কিন্তু এর জন্য যথেষ্ট শক্তি এবং সমন্বয়ের প্রয়োজন।")</f>
        <v>অনেকেই বিশ্বাস করেন যে দাড়িবান্ধা খেলা সহজ, কিন্তু এর জন্য যথেষ্ট শক্তি এবং সমন্বয়ের প্রয়োজন।</v>
      </c>
    </row>
    <row r="55">
      <c r="A55" s="4">
        <v>54.0</v>
      </c>
      <c r="B55" s="4" t="s">
        <v>709</v>
      </c>
      <c r="C55" s="4" t="s">
        <v>710</v>
      </c>
      <c r="D55" s="4" t="s">
        <v>711</v>
      </c>
      <c r="E55" s="4" t="s">
        <v>712</v>
      </c>
      <c r="I55" s="10" t="str">
        <f>IFERROR(__xludf.DUMMYFUNCTION("GOOGLETRANSLATE(A55, ""en"", ""bn"")"),"৫৪")</f>
        <v>৫৪</v>
      </c>
      <c r="J55" s="10" t="str">
        <f>IFERROR(__xludf.DUMMYFUNCTION("GOOGLETRANSLATE(B55, ""en"", ""bn"")"),"দাড়িবান্ধা ম্যাচের চূড়ান্ত লক্ষ্য কী?")</f>
        <v>দাড়িবান্ধা ম্যাচের চূড়ান্ত লক্ষ্য কী?</v>
      </c>
      <c r="K55" s="10" t="str">
        <f>IFERROR(__xludf.DUMMYFUNCTION("GOOGLETRANSLATE(C55, ""en"", ""bn"")"),"ক) নির্দিষ্ট রেখা অতিক্রম করে দড়ি টেনে আনা, খ) সর্বাধিক পয়েন্ট অর্জন করা, গ) দড়ি ভেঙে ফেলা, ঘ) প্রতিপক্ষ দলকে ক্লান্ত করে ফেলা")</f>
        <v>ক) নির্দিষ্ট রেখা অতিক্রম করে দড়ি টেনে আনা, খ) সর্বাধিক পয়েন্ট অর্জন করা, গ) দড়ি ভেঙে ফেলা, ঘ) প্রতিপক্ষ দলকে ক্লান্ত করে ফেলা</v>
      </c>
      <c r="L55" s="10" t="str">
        <f>IFERROR(__xludf.DUMMYFUNCTION("GOOGLETRANSLATE(D55, ""en"", ""bn"")"),"ক) একটি নির্দিষ্ট রেখার উপর দিয়ে দড়ি টেনে আনা")</f>
        <v>ক) একটি নির্দিষ্ট রেখার উপর দিয়ে দড়ি টেনে আনা</v>
      </c>
      <c r="M55" s="10" t="str">
        <f>IFERROR(__xludf.DUMMYFUNCTION("GOOGLETRANSLATE(E55, ""en"", ""bn"")"),"দড়িবান্ধার লক্ষ্য হল ম্যাচ জেতার জন্য একটি নির্দিষ্ট রেখা অতিক্রম করে দড়ি টেনে আনা।")</f>
        <v>দড়িবান্ধার লক্ষ্য হল ম্যাচ জেতার জন্য একটি নির্দিষ্ট রেখা অতিক্রম করে দড়ি টেনে আনা।</v>
      </c>
    </row>
    <row r="56">
      <c r="A56" s="4">
        <v>55.0</v>
      </c>
      <c r="B56" s="4" t="s">
        <v>713</v>
      </c>
      <c r="C56" s="4" t="s">
        <v>714</v>
      </c>
      <c r="D56" s="4" t="s">
        <v>715</v>
      </c>
      <c r="E56" s="4" t="s">
        <v>716</v>
      </c>
      <c r="I56" s="10" t="str">
        <f>IFERROR(__xludf.DUMMYFUNCTION("GOOGLETRANSLATE(A56, ""en"", ""bn"")"),"৫৫")</f>
        <v>৫৫</v>
      </c>
      <c r="J56" s="10" t="str">
        <f>IFERROR(__xludf.DUMMYFUNCTION("GOOGLETRANSLATE(B56, ""en"", ""bn"")"),"নগর কেন্দ্রগুলিতে দাড়িয়াবান্ধা প্রবর্তনকারী প্রথম কারা ছিলেন?")</f>
        <v>নগর কেন্দ্রগুলিতে দাড়িয়াবান্ধা প্রবর্তনকারী প্রথম কারা ছিলেন?</v>
      </c>
      <c r="K56" s="10" t="str">
        <f>IFERROR(__xludf.DUMMYFUNCTION("GOOGLETRANSLATE(C56, ""en"", ""bn"")"),"ক) ব্রিটিশ উপনিবেশবাদীরা, খ) বাঙালি বণিকরা, গ) গ্রামীণ যুবকরা, ঘ) সরকারি কর্মকর্তারা")</f>
        <v>ক) ব্রিটিশ উপনিবেশবাদীরা, খ) বাঙালি বণিকরা, গ) গ্রামীণ যুবকরা, ঘ) সরকারি কর্মকর্তারা</v>
      </c>
      <c r="L56" s="10" t="str">
        <f>IFERROR(__xludf.DUMMYFUNCTION("GOOGLETRANSLATE(D56, ""en"", ""bn"")"),"গ) গ্রামীণ যুবসমাজ")</f>
        <v>গ) গ্রামীণ যুবসমাজ</v>
      </c>
      <c r="M56" s="10" t="str">
        <f>IFERROR(__xludf.DUMMYFUNCTION("GOOGLETRANSLATE(E56, ""en"", ""bn"")"),"গ্রামীণ যুবসমাজ দাড়িয়াবান্ধাকে নগর কেন্দ্রগুলিতে বিস্তৃত আবেদনের জন্য প্রবর্তনে গুরুত্বপূর্ণ ভূমিকা পালন করেছে।")</f>
        <v>গ্রামীণ যুবসমাজ দাড়িয়াবান্ধাকে নগর কেন্দ্রগুলিতে বিস্তৃত আবেদনের জন্য প্রবর্তনে গুরুত্বপূর্ণ ভূমিকা পালন করেছে।</v>
      </c>
    </row>
    <row r="57">
      <c r="A57" s="4">
        <v>56.0</v>
      </c>
      <c r="B57" s="4" t="s">
        <v>717</v>
      </c>
      <c r="C57" s="4" t="s">
        <v>718</v>
      </c>
      <c r="D57" s="4" t="s">
        <v>719</v>
      </c>
      <c r="E57" s="4" t="s">
        <v>720</v>
      </c>
      <c r="I57" s="10" t="str">
        <f>IFERROR(__xludf.DUMMYFUNCTION("GOOGLETRANSLATE(A57, ""en"", ""bn"")"),"৫৬")</f>
        <v>৫৬</v>
      </c>
      <c r="J57" s="10" t="str">
        <f>IFERROR(__xludf.DUMMYFUNCTION("GOOGLETRANSLATE(B57, ""en"", ""bn"")"),"দাড়িবান্ধা বাঙালি সমাজে কোন সাংস্কৃতিক দিকটি তুলে ধরে?")</f>
        <v>দাড়িবান্ধা বাঙালি সমাজে কোন সাংস্কৃতিক দিকটি তুলে ধরে?</v>
      </c>
      <c r="K57" s="10" t="str">
        <f>IFERROR(__xludf.DUMMYFUNCTION("GOOGLETRANSLATE(C57, ""en"", ""bn"")"),"ক) ব্যক্তিগত অর্জন, খ) গ্রামীণ ঐতিহ্য, গ) ঔপনিবেশিক ইতিহাস, ঘ) ধর্মীয় বিশ্বাস")</f>
        <v>ক) ব্যক্তিগত অর্জন, খ) গ্রামীণ ঐতিহ্য, গ) ঔপনিবেশিক ইতিহাস, ঘ) ধর্মীয় বিশ্বাস</v>
      </c>
      <c r="L57" s="10" t="str">
        <f>IFERROR(__xludf.DUMMYFUNCTION("GOOGLETRANSLATE(D57, ""en"", ""bn"")"),"খ) গ্রামীণ ঐতিহ্য")</f>
        <v>খ) গ্রামীণ ঐতিহ্য</v>
      </c>
      <c r="M57" s="10" t="str">
        <f>IFERROR(__xludf.DUMMYFUNCTION("GOOGLETRANSLATE(E57, ""en"", ""bn"")"),"দাড়িবান্ধা বাঙালি সমাজের গ্রামীণ ঐতিহ্য এবং সাংস্কৃতিক অনুশীলনের উপর জোর দেয়।")</f>
        <v>দাড়িবান্ধা বাঙালি সমাজের গ্রামীণ ঐতিহ্য এবং সাংস্কৃতিক অনুশীলনের উপর জোর দেয়।</v>
      </c>
    </row>
    <row r="58">
      <c r="A58" s="4">
        <v>57.0</v>
      </c>
      <c r="B58" s="4" t="s">
        <v>721</v>
      </c>
      <c r="C58" s="4" t="s">
        <v>722</v>
      </c>
      <c r="D58" s="4" t="s">
        <v>723</v>
      </c>
      <c r="E58" s="4" t="s">
        <v>724</v>
      </c>
      <c r="I58" s="10" t="str">
        <f>IFERROR(__xludf.DUMMYFUNCTION("GOOGLETRANSLATE(A58, ""en"", ""bn"")"),"৫৭")</f>
        <v>৫৭</v>
      </c>
      <c r="J58" s="10" t="str">
        <f>IFERROR(__xludf.DUMMYFUNCTION("GOOGLETRANSLATE(B58, ""en"", ""bn"")"),"দাড়িবান্ধা খেলায় নেতৃত্বের ভূমিকা কী?")</f>
        <v>দাড়িবান্ধা খেলায় নেতৃত্বের ভূমিকা কী?</v>
      </c>
      <c r="K58" s="10" t="str">
        <f>IFERROR(__xludf.DUMMYFUNCTION("GOOGLETRANSLATE(C58, ""en"", ""bn"")"),"ক) এটি কম গুরুত্বপূর্ণ, খ) সমন্বয় এবং প্রেরণার জন্য একজন নেতা অপরিহার্য, গ) নেতৃত্ব আবর্তিত হয়, ঘ) নেতৃত্ব কেবল কৌশলগত সিদ্ধান্তের জন্য")</f>
        <v>ক) এটি কম গুরুত্বপূর্ণ, খ) সমন্বয় এবং প্রেরণার জন্য একজন নেতা অপরিহার্য, গ) নেতৃত্ব আবর্তিত হয়, ঘ) নেতৃত্ব কেবল কৌশলগত সিদ্ধান্তের জন্য</v>
      </c>
      <c r="L58" s="10" t="str">
        <f>IFERROR(__xludf.DUMMYFUNCTION("GOOGLETRANSLATE(D58, ""en"", ""bn"")"),"খ) সমন্বয় এবং প্রেরণার জন্য একজন নেতা অপরিহার্য")</f>
        <v>খ) সমন্বয় এবং প্রেরণার জন্য একজন নেতা অপরিহার্য</v>
      </c>
      <c r="M58" s="10" t="str">
        <f>IFERROR(__xludf.DUMMYFUNCTION("GOOGLETRANSLATE(E58, ""en"", ""bn"")"),"দড়িবান্ধায় দলের সমন্বয় এবং প্রেরণা নিশ্চিত করার জন্য কার্যকর নেতৃত্ব অত্যন্ত গুরুত্বপূর্ণ।")</f>
        <v>দড়িবান্ধায় দলের সমন্বয় এবং প্রেরণা নিশ্চিত করার জন্য কার্যকর নেতৃত্ব অত্যন্ত গুরুত্বপূর্ণ।</v>
      </c>
    </row>
    <row r="59">
      <c r="A59" s="4">
        <v>58.0</v>
      </c>
      <c r="B59" s="4" t="s">
        <v>725</v>
      </c>
      <c r="C59" s="4" t="s">
        <v>726</v>
      </c>
      <c r="D59" s="4" t="s">
        <v>727</v>
      </c>
      <c r="E59" s="4" t="s">
        <v>728</v>
      </c>
      <c r="I59" s="10" t="str">
        <f>IFERROR(__xludf.DUMMYFUNCTION("GOOGLETRANSLATE(A59, ""en"", ""bn"")"),"৫৮")</f>
        <v>৫৮</v>
      </c>
      <c r="J59" s="10" t="str">
        <f>IFERROR(__xludf.DUMMYFUNCTION("GOOGLETRANSLATE(B59, ""en"", ""bn"")"),"দাড়িবান্ধায় দড়ি তৈরিতে ব্যবহৃত প্রাথমিক উপাদান কী?")</f>
        <v>দাড়িবান্ধায় দড়ি তৈরিতে ব্যবহৃত প্রাথমিক উপাদান কী?</v>
      </c>
      <c r="K59" s="10" t="str">
        <f>IFERROR(__xludf.DUMMYFUNCTION("GOOGLETRANSLATE(C59, ""en"", ""bn"")"),"ক) তুলা, খ) পাট, গ) নাইলন, ঘ) শণ")</f>
        <v>ক) তুলা, খ) পাট, গ) নাইলন, ঘ) শণ</v>
      </c>
      <c r="L59" s="10" t="str">
        <f>IFERROR(__xludf.DUMMYFUNCTION("GOOGLETRANSLATE(D59, ""en"", ""bn"")"),"খ) পাট")</f>
        <v>খ) পাট</v>
      </c>
      <c r="M59" s="10" t="str">
        <f>IFERROR(__xludf.DUMMYFUNCTION("GOOGLETRANSLATE(E59, ""en"", ""bn"")"),"দাড়িবান্ধায় ঐতিহ্যগতভাবে পাট দড়ি তৈরিতে ব্যবহৃত হয়, যা বাংলাদেশে এর প্রাপ্যতা প্রতিফলিত করে।")</f>
        <v>দাড়িবান্ধায় ঐতিহ্যগতভাবে পাট দড়ি তৈরিতে ব্যবহৃত হয়, যা বাংলাদেশে এর প্রাপ্যতা প্রতিফলিত করে।</v>
      </c>
    </row>
    <row r="60">
      <c r="A60" s="4">
        <v>59.0</v>
      </c>
      <c r="B60" s="4" t="s">
        <v>729</v>
      </c>
      <c r="C60" s="4" t="s">
        <v>730</v>
      </c>
      <c r="D60" s="4" t="s">
        <v>731</v>
      </c>
      <c r="E60" s="4" t="s">
        <v>732</v>
      </c>
      <c r="I60" s="10" t="str">
        <f>IFERROR(__xludf.DUMMYFUNCTION("GOOGLETRANSLATE(A60, ""en"", ""bn"")"),"৫৯")</f>
        <v>৫৯</v>
      </c>
      <c r="J60" s="10" t="str">
        <f>IFERROR(__xludf.DUMMYFUNCTION("GOOGLETRANSLATE(B60, ""en"", ""bn"")"),"কোন ঐতিহাসিক ঘটনা দাড়িবান্ধার জনপ্রিয়তাকে প্রভাবিত করেছিল বলে জানা যায়?")</f>
        <v>কোন ঐতিহাসিক ঘটনা দাড়িবান্ধার জনপ্রিয়তাকে প্রভাবিত করেছিল বলে জানা যায়?</v>
      </c>
      <c r="K60" s="10" t="str">
        <f>IFERROR(__xludf.DUMMYFUNCTION("GOOGLETRANSLATE(C60, ""en"", ""bn"")"),"ক) ব্রিটিশ ঔপনিবেশিক শাসন, খ) স্বাধীনতা যুদ্ধ, গ) বাংলার দুর্ভিক্ষ, ঘ) মুঘল শাসন")</f>
        <v>ক) ব্রিটিশ ঔপনিবেশিক শাসন, খ) স্বাধীনতা যুদ্ধ, গ) বাংলার দুর্ভিক্ষ, ঘ) মুঘল শাসন</v>
      </c>
      <c r="L60" s="10" t="str">
        <f>IFERROR(__xludf.DUMMYFUNCTION("GOOGLETRANSLATE(D60, ""en"", ""bn"")"),"ক) ব্রিটিশ ঔপনিবেশিক শাসন")</f>
        <v>ক) ব্রিটিশ ঔপনিবেশিক শাসন</v>
      </c>
      <c r="M60" s="10" t="str">
        <f>IFERROR(__xludf.DUMMYFUNCTION("GOOGLETRANSLATE(E60, ""en"", ""bn"")"),"ব্রিটিশ ঔপনিবেশিক যুগে, দাড়িবান্ধার মতো গ্রামীণ খেলাধুলা প্রতিরোধ ও ঐক্যের মাধ্যম হিসেবে জনপ্রিয়তা অর্জন করে।")</f>
        <v>ব্রিটিশ ঔপনিবেশিক যুগে, দাড়িবান্ধার মতো গ্রামীণ খেলাধুলা প্রতিরোধ ও ঐক্যের মাধ্যম হিসেবে জনপ্রিয়তা অর্জন করে।</v>
      </c>
    </row>
    <row r="61">
      <c r="A61" s="4">
        <v>60.0</v>
      </c>
      <c r="B61" s="4" t="s">
        <v>733</v>
      </c>
      <c r="C61" s="4" t="s">
        <v>734</v>
      </c>
      <c r="D61" s="4" t="s">
        <v>735</v>
      </c>
      <c r="E61" s="4" t="s">
        <v>736</v>
      </c>
      <c r="I61" s="10" t="str">
        <f>IFERROR(__xludf.DUMMYFUNCTION("GOOGLETRANSLATE(A61, ""en"", ""bn"")"),"৬০")</f>
        <v>৬০</v>
      </c>
      <c r="J61" s="10" t="str">
        <f>IFERROR(__xludf.DUMMYFUNCTION("GOOGLETRANSLATE(B61, ""en"", ""bn"")"),"বাংলাদেশের কোন অঞ্চলে দাড়িবান্ধার উৎপত্তি?")</f>
        <v>বাংলাদেশের কোন অঞ্চলে দাড়িবান্ধার উৎপত্তি?</v>
      </c>
      <c r="K61" s="10" t="str">
        <f>IFERROR(__xludf.DUMMYFUNCTION("GOOGLETRANSLATE(C61, ""en"", ""bn"")"),"ক) দক্ষিণ বাংলাদেশ, খ) পূর্ব বাংলাদেশ, গ) পশ্চিম বাংলাদেশ, ঘ) উত্তর বাংলাদেশ")</f>
        <v>ক) দক্ষিণ বাংলাদেশ, খ) পূর্ব বাংলাদেশ, গ) পশ্চিম বাংলাদেশ, ঘ) উত্তর বাংলাদেশ</v>
      </c>
      <c r="L61" s="10" t="str">
        <f>IFERROR(__xludf.DUMMYFUNCTION("GOOGLETRANSLATE(D61, ""en"", ""bn"")"),"গ) পশ্চিম বাংলাদেশ")</f>
        <v>গ) পশ্চিম বাংলাদেশ</v>
      </c>
      <c r="M61" s="10" t="str">
        <f>IFERROR(__xludf.DUMMYFUNCTION("GOOGLETRANSLATE(E61, ""en"", ""bn"")"),"দাড়িবান্ধার উৎপত্তি বাংলাদেশের পশ্চিমাঞ্চলে, যেখানে ঐতিহ্যবাহী গ্রামীণ খেলা প্রচলিত ছিল।")</f>
        <v>দাড়িবান্ধার উৎপত্তি বাংলাদেশের পশ্চিমাঞ্চলে, যেখানে ঐতিহ্যবাহী গ্রামীণ খেলা প্রচলিত ছিল।</v>
      </c>
    </row>
    <row r="62">
      <c r="A62" s="7">
        <v>61.0</v>
      </c>
      <c r="B62" s="7" t="s">
        <v>737</v>
      </c>
      <c r="C62" s="7" t="s">
        <v>738</v>
      </c>
      <c r="D62" s="7" t="s">
        <v>739</v>
      </c>
      <c r="E62" s="7" t="s">
        <v>740</v>
      </c>
      <c r="I62" s="10" t="str">
        <f>IFERROR(__xludf.DUMMYFUNCTION("GOOGLETRANSLATE(A62, ""en"", ""bn"")"),"৬১")</f>
        <v>৬১</v>
      </c>
      <c r="J62" s="10" t="str">
        <f>IFERROR(__xludf.DUMMYFUNCTION("GOOGLETRANSLATE(B62, ""en"", ""bn"")"),"বিংশ শতাব্দীর গোড়ার দিকে গ্রামীণ বাংলায় দাড়িয়াবান্ধার ভূমিকা কী ছিল?")</f>
        <v>বিংশ শতাব্দীর গোড়ার দিকে গ্রামীণ বাংলায় দাড়িয়াবান্ধার ভূমিকা কী ছিল?</v>
      </c>
      <c r="K62" s="10" t="str">
        <f>IFERROR(__xludf.DUMMYFUNCTION("GOOGLETRANSLATE(C62, ""en"", ""bn"")"),"ক) এক ধরণের সামরিক মহড়া, খ) বিরোধ নিষ্পত্তির জন্য একটি সাম্প্রদায়িক কার্যকলাপ, গ) সামাজিক সমাবেশ এবং উদযাপনের একটি মাধ্যম, ঘ) একটি ধর্মীয় আচার-অনুষ্ঠান")</f>
        <v>ক) এক ধরণের সামরিক মহড়া, খ) বিরোধ নিষ্পত্তির জন্য একটি সাম্প্রদায়িক কার্যকলাপ, গ) সামাজিক সমাবেশ এবং উদযাপনের একটি মাধ্যম, ঘ) একটি ধর্মীয় আচার-অনুষ্ঠান</v>
      </c>
      <c r="L62" s="10" t="str">
        <f>IFERROR(__xludf.DUMMYFUNCTION("GOOGLETRANSLATE(D62, ""en"", ""bn"")"),"গ) বিরোধ নিষ্পত্তি এবং উদযাপনের জন্য একটি সাম্প্রদায়িক কার্যকলাপ")</f>
        <v>গ) বিরোধ নিষ্পত্তি এবং উদযাপনের জন্য একটি সাম্প্রদায়িক কার্যকলাপ</v>
      </c>
      <c r="M62" s="10" t="str">
        <f>IFERROR(__xludf.DUMMYFUNCTION("GOOGLETRANSLATE(E62, ""en"", ""bn"")"),"বিংশ শতাব্দীর গোড়ার দিকে, দাড়িবান্ধা মূলত একটি সামাজিক ও সাম্প্রদায়িক কার্যকলাপ ছিল, যা গ্রামবাসীদের উদযাপন এবং সম্প্রদায়ের বন্ধনের জন্য একত্রিত করার জন্য ব্যবহৃত হত।")</f>
        <v>বিংশ শতাব্দীর গোড়ার দিকে, দাড়িবান্ধা মূলত একটি সামাজিক ও সাম্প্রদায়িক কার্যকলাপ ছিল, যা গ্রামবাসীদের উদযাপন এবং সম্প্রদায়ের বন্ধনের জন্য একত্রিত করার জন্য ব্যবহৃত হত।</v>
      </c>
    </row>
    <row r="63">
      <c r="A63" s="7">
        <v>62.0</v>
      </c>
      <c r="B63" s="7" t="s">
        <v>741</v>
      </c>
      <c r="C63" s="7" t="s">
        <v>742</v>
      </c>
      <c r="D63" s="7" t="s">
        <v>743</v>
      </c>
      <c r="E63" s="7" t="s">
        <v>744</v>
      </c>
      <c r="I63" s="10" t="str">
        <f>IFERROR(__xludf.DUMMYFUNCTION("GOOGLETRANSLATE(A63, ""en"", ""bn"")"),"৬২")</f>
        <v>৬২</v>
      </c>
      <c r="J63" s="10" t="str">
        <f>IFERROR(__xludf.DUMMYFUNCTION("GOOGLETRANSLATE(B63, ""en"", ""bn"")"),"কোন ঐতিহাসিক যুগে দাড়িবান্ধার কিছু নিয়মের প্রমিতকরণ ঘটেছিল?")</f>
        <v>কোন ঐতিহাসিক যুগে দাড়িবান্ধার কিছু নিয়মের প্রমিতকরণ ঘটেছিল?</v>
      </c>
      <c r="K63" s="10" t="str">
        <f>IFERROR(__xludf.DUMMYFUNCTION("GOOGLETRANSLATE(C63, ""en"", ""bn"")"),"ক) মুঘল আমল, খ) ব্রিটিশ ঔপনিবেশিক আমল, গ) স্বাধীনতা-পরবর্তী বাংলাদেশ, ঘ) বাংলার প্রাচীন যুগ")</f>
        <v>ক) মুঘল আমল, খ) ব্রিটিশ ঔপনিবেশিক আমল, গ) স্বাধীনতা-পরবর্তী বাংলাদেশ, ঘ) বাংলার প্রাচীন যুগ</v>
      </c>
      <c r="L63" s="10" t="str">
        <f>IFERROR(__xludf.DUMMYFUNCTION("GOOGLETRANSLATE(D63, ""en"", ""bn"")"),"গ) স্বাধীনতা-পরবর্তী বাংলাদেশ")</f>
        <v>গ) স্বাধীনতা-পরবর্তী বাংলাদেশ</v>
      </c>
      <c r="M63" s="10" t="str">
        <f>IFERROR(__xludf.DUMMYFUNCTION("GOOGLETRANSLATE(E63, ""en"", ""bn"")"),"যদিও খেলাটি দীর্ঘদিন ধরে বিদ্যমান ছিল, দেশ স্বাধীন হওয়ার পর জাতীয় বিনোদন সংস্থা বাংলাদেশ (National Recreation Association of Bangladesh) এটিকে জাতীয় খেলা হিসেবে প্রচারের জন্য এর নিয়মকানুন প্রমিত করে।")</f>
        <v>যদিও খেলাটি দীর্ঘদিন ধরে বিদ্যমান ছিল, দেশ স্বাধীন হওয়ার পর জাতীয় বিনোদন সংস্থা বাংলাদেশ (National Recreation Association of Bangladesh) এটিকে জাতীয় খেলা হিসেবে প্রচারের জন্য এর নিয়মকানুন প্রমিত করে।</v>
      </c>
    </row>
    <row r="64">
      <c r="A64" s="7">
        <v>63.0</v>
      </c>
      <c r="B64" s="7" t="s">
        <v>745</v>
      </c>
      <c r="C64" s="7" t="s">
        <v>746</v>
      </c>
      <c r="D64" s="7" t="s">
        <v>747</v>
      </c>
      <c r="E64" s="7" t="s">
        <v>748</v>
      </c>
      <c r="I64" s="10" t="str">
        <f>IFERROR(__xludf.DUMMYFUNCTION("GOOGLETRANSLATE(A64, ""en"", ""bn"")"),"৬৩")</f>
        <v>৬৩</v>
      </c>
      <c r="J64" s="10" t="str">
        <f>IFERROR(__xludf.DUMMYFUNCTION("GOOGLETRANSLATE(B64, ""en"", ""bn"")"),"কোন ঐতিহাসিক প্রেক্ষাপটে দারিয়াবান্ধাকে কখনও কখনও প্রতিরোধের রূপক হিসেবে ব্যবহার করা হত?")</f>
        <v>কোন ঐতিহাসিক প্রেক্ষাপটে দারিয়াবান্ধাকে কখনও কখনও প্রতিরোধের রূপক হিসেবে ব্যবহার করা হত?</v>
      </c>
      <c r="K64" s="10" t="str">
        <f>IFERROR(__xludf.DUMMYFUNCTION("GOOGLETRANSLATE(C64, ""en"", ""bn"")"),"ক) বঙ্গভঙ্গ (১৯০৫), খ) ১৯৫২ সালের ভাষা আন্দোলন, গ) ১৯৭১ সালের স্বাধীনতা যুদ্ধ, ঘ) ভারত ছাড়ো আন্দোলন (১৯৪২)")</f>
        <v>ক) বঙ্গভঙ্গ (১৯০৫), খ) ১৯৫২ সালের ভাষা আন্দোলন, গ) ১৯৭১ সালের স্বাধীনতা যুদ্ধ, ঘ) ভারত ছাড়ো আন্দোলন (১৯৪২)</v>
      </c>
      <c r="L64" s="10" t="str">
        <f>IFERROR(__xludf.DUMMYFUNCTION("GOOGLETRANSLATE(D64, ""en"", ""bn"")"),"গ) ১৯৭১ সালের স্বাধীনতা যুদ্ধ")</f>
        <v>গ) ১৯৭১ সালের স্বাধীনতা যুদ্ধ</v>
      </c>
      <c r="M64" s="10" t="str">
        <f>IFERROR(__xludf.DUMMYFUNCTION("GOOGLETRANSLATE(E64, ""en"", ""bn"")"),"১৯৭১ সালের স্বাধীনতা যুদ্ধের সময় নিপীড়নের বিরুদ্ধে সম্মিলিত সংগ্রামের রূপক হিসেবে কখনও কখনও প্রতিপক্ষের বিরুদ্ধে ঐক্যবদ্ধ দলের লড়াইয়ের এই খেলার থিমটি ব্যবহৃত হত।")</f>
        <v>১৯৭১ সালের স্বাধীনতা যুদ্ধের সময় নিপীড়নের বিরুদ্ধে সম্মিলিত সংগ্রামের রূপক হিসেবে কখনও কখনও প্রতিপক্ষের বিরুদ্ধে ঐক্যবদ্ধ দলের লড়াইয়ের এই খেলার থিমটি ব্যবহৃত হত।</v>
      </c>
    </row>
    <row r="65">
      <c r="A65" s="7">
        <v>64.0</v>
      </c>
      <c r="B65" s="7" t="s">
        <v>749</v>
      </c>
      <c r="C65" s="7" t="s">
        <v>750</v>
      </c>
      <c r="D65" s="7" t="s">
        <v>751</v>
      </c>
      <c r="E65" s="7" t="s">
        <v>752</v>
      </c>
      <c r="I65" s="10" t="str">
        <f>IFERROR(__xludf.DUMMYFUNCTION("GOOGLETRANSLATE(A65, ""en"", ""bn"")"),"৬৪")</f>
        <v>৬৪</v>
      </c>
      <c r="J65" s="10" t="str">
        <f>IFERROR(__xludf.DUMMYFUNCTION("GOOGLETRANSLATE(B65, ""en"", ""bn"")"),"গ্রামীণ পরিবেশে দাড়িবান্ধার খেলার মাঠের ঐতিহাসিক তাৎপর্য কী ছিল?")</f>
        <v>গ্রামীণ পরিবেশে দাড়িবান্ধার খেলার মাঠের ঐতিহাসিক তাৎপর্য কী ছিল?</v>
      </c>
      <c r="K65" s="10" t="str">
        <f>IFERROR(__xludf.DUMMYFUNCTION("GOOGLETRANSLATE(C65, ""en"", ""bn"")"),"ক) এটি সর্বদা ক্রিকেট মাঠে খেলা হত, খ) এটি সরকারী অনুষ্ঠানের জন্য একটি নির্দিষ্ট স্থান ছিল, গ) এটি ভাগাভাগি করা গ্রামের স্থানের প্রতীক ছিল, ঘ) এটি রাজনৈতিক সমাবেশের স্থান ছিল")</f>
        <v>ক) এটি সর্বদা ক্রিকেট মাঠে খেলা হত, খ) এটি সরকারী অনুষ্ঠানের জন্য একটি নির্দিষ্ট স্থান ছিল, গ) এটি ভাগাভাগি করা গ্রামের স্থানের প্রতীক ছিল, ঘ) এটি রাজনৈতিক সমাবেশের স্থান ছিল</v>
      </c>
      <c r="L65" s="10" t="str">
        <f>IFERROR(__xludf.DUMMYFUNCTION("GOOGLETRANSLATE(D65, ""en"", ""bn"")"),"গ) এটি ছিল ভাগাভাগি করা গ্রামীণ স্থানের প্রতীক")</f>
        <v>গ) এটি ছিল ভাগাভাগি করা গ্রামীণ স্থানের প্রতীক</v>
      </c>
      <c r="M65" s="10" t="str">
        <f>IFERROR(__xludf.DUMMYFUNCTION("GOOGLETRANSLATE(E65, ""en"", ""bn"")"),"খেলাটি প্রায়শই সাধারণ মাঠে খেলা হত, যেমন গ্রামের চত্বর বা খোলা মাঠে, যা সম্প্রদায়ের কার্যকলাপের জন্য একটি ভাগ করা স্থানের প্রতীক।")</f>
        <v>খেলাটি প্রায়শই সাধারণ মাঠে খেলা হত, যেমন গ্রামের চত্বর বা খোলা মাঠে, যা সম্প্রদায়ের কার্যকলাপের জন্য একটি ভাগ করা স্থানের প্রতীক।</v>
      </c>
    </row>
    <row r="66">
      <c r="A66" s="7">
        <v>65.0</v>
      </c>
      <c r="B66" s="7" t="s">
        <v>753</v>
      </c>
      <c r="C66" s="7" t="s">
        <v>754</v>
      </c>
      <c r="D66" s="7" t="s">
        <v>755</v>
      </c>
      <c r="E66" s="7" t="s">
        <v>756</v>
      </c>
      <c r="I66" s="10" t="str">
        <f>IFERROR(__xludf.DUMMYFUNCTION("GOOGLETRANSLATE(A66, ""en"", ""bn"")"),"৬৫")</f>
        <v>৬৫</v>
      </c>
      <c r="J66" s="10" t="str">
        <f>IFERROR(__xludf.DUMMYFUNCTION("GOOGLETRANSLATE(B66, ""en"", ""bn"")"),"দাড়িবান্ধায় দল গঠনে কোন ঐতিহাসিক রীতির প্রভাব ছিল?")</f>
        <v>দাড়িবান্ধায় দল গঠনে কোন ঐতিহাসিক রীতির প্রভাব ছিল?</v>
      </c>
      <c r="K66" s="10" t="str">
        <f>IFERROR(__xludf.DUMMYFUNCTION("GOOGLETRANSLATE(C66, ""en"", ""bn"")"),"ক) বয়স অনুসারে বিভাগ, খ) পরিবার অনুসারে বিভাগ, গ) লিঙ্গ অনুসারে বিভাগ, ঘ) গ্রাম বা পাড়া অনুসারে বিভাগ")</f>
        <v>ক) বয়স অনুসারে বিভাগ, খ) পরিবার অনুসারে বিভাগ, গ) লিঙ্গ অনুসারে বিভাগ, ঘ) গ্রাম বা পাড়া অনুসারে বিভাগ</v>
      </c>
      <c r="L66" s="10" t="str">
        <f>IFERROR(__xludf.DUMMYFUNCTION("GOOGLETRANSLATE(D66, ""en"", ""bn"")"),"ঘ) গ্রাম বা পাড়া অনুসারে বিভাগ")</f>
        <v>ঘ) গ্রাম বা পাড়া অনুসারে বিভাগ</v>
      </c>
      <c r="M66" s="10" t="str">
        <f>IFERROR(__xludf.DUMMYFUNCTION("GOOGLETRANSLATE(E66, ""en"", ""bn"")"),"ঐতিহাসিকভাবে, দলগুলি প্রায়শই একজন ব্যক্তির গ্রাম বা পাড়ার উপর ভিত্তি করে গঠিত হত, যা স্থানীয় গর্ব এবং বন্ধুত্বপূর্ণ প্রতিদ্বন্দ্বিতাকে উৎসাহিত করত।")</f>
        <v>ঐতিহাসিকভাবে, দলগুলি প্রায়শই একজন ব্যক্তির গ্রাম বা পাড়ার উপর ভিত্তি করে গঠিত হত, যা স্থানীয় গর্ব এবং বন্ধুত্বপূর্ণ প্রতিদ্বন্দ্বিতাকে উৎসাহিত করত।</v>
      </c>
    </row>
    <row r="67">
      <c r="A67" s="7">
        <v>66.0</v>
      </c>
      <c r="B67" s="7" t="s">
        <v>757</v>
      </c>
      <c r="C67" s="7" t="s">
        <v>758</v>
      </c>
      <c r="D67" s="7" t="s">
        <v>759</v>
      </c>
      <c r="E67" s="7" t="s">
        <v>760</v>
      </c>
      <c r="I67" s="10" t="str">
        <f>IFERROR(__xludf.DUMMYFUNCTION("GOOGLETRANSLATE(A67, ""en"", ""bn"")"),"৬৬")</f>
        <v>৬৬</v>
      </c>
      <c r="J67" s="10" t="str">
        <f>IFERROR(__xludf.DUMMYFUNCTION("GOOGLETRANSLATE(B67, ""en"", ""bn"")"),"অতীতে একটি গ্রামের দাড়িবান্ধা প্রতিযোগিতা জেতার প্রাথমিক প্রেরণা কী ছিল?")</f>
        <v>অতীতে একটি গ্রামের দাড়িবান্ধা প্রতিযোগিতা জেতার প্রাথমিক প্রেরণা কী ছিল?</v>
      </c>
      <c r="K67" s="10" t="str">
        <f>IFERROR(__xludf.DUMMYFUNCTION("GOOGLETRANSLATE(C67, ""en"", ""bn"")"),"ক) আর্থিক পুরস্কার, খ) রাজনৈতিক ক্ষমতা, গ) সামাজিক সম্মান ও প্রতিপত্তি, ঘ) কৃষিজমি অর্জন")</f>
        <v>ক) আর্থিক পুরস্কার, খ) রাজনৈতিক ক্ষমতা, গ) সামাজিক সম্মান ও প্রতিপত্তি, ঘ) কৃষিজমি অর্জন</v>
      </c>
      <c r="L67" s="10" t="str">
        <f>IFERROR(__xludf.DUMMYFUNCTION("GOOGLETRANSLATE(D67, ""en"", ""bn"")"),"গ) সম্প্রদায়ের সম্মান এবং প্রতিপত্তি")</f>
        <v>গ) সম্প্রদায়ের সম্মান এবং প্রতিপত্তি</v>
      </c>
      <c r="M67" s="10" t="str">
        <f>IFERROR(__xludf.DUMMYFUNCTION("GOOGLETRANSLATE(E67, ""en"", ""bn"")"),"দাড়িবান্ধা ম্যাচ জেতা একটি গ্রামের জন্য অত্যন্ত গর্বের বিষয় ছিল, যা সম্প্রদায়ের জন্য সম্মান এবং প্রতিপত্তি বয়ে আনত।")</f>
        <v>দাড়িবান্ধা ম্যাচ জেতা একটি গ্রামের জন্য অত্যন্ত গর্বের বিষয় ছিল, যা সম্প্রদায়ের জন্য সম্মান এবং প্রতিপত্তি বয়ে আনত।</v>
      </c>
    </row>
    <row r="68">
      <c r="A68" s="7">
        <v>67.0</v>
      </c>
      <c r="B68" s="7" t="s">
        <v>761</v>
      </c>
      <c r="C68" s="7" t="s">
        <v>762</v>
      </c>
      <c r="D68" s="7" t="s">
        <v>763</v>
      </c>
      <c r="E68" s="7" t="s">
        <v>764</v>
      </c>
      <c r="I68" s="10" t="str">
        <f>IFERROR(__xludf.DUMMYFUNCTION("GOOGLETRANSLATE(A68, ""en"", ""bn"")"),"৬৭")</f>
        <v>৬৭</v>
      </c>
      <c r="J68" s="10" t="str">
        <f>IFERROR(__xludf.DUMMYFUNCTION("GOOGLETRANSLATE(B68, ""en"", ""bn"")"),"দাড়িবান্ধা আয়োজনে গ্রামপ্রধান বা মুখ্য প্রায়শই কোন ঐতিহাসিক ভূমিকা পালন করতেন?")</f>
        <v>দাড়িবান্ধা আয়োজনে গ্রামপ্রধান বা মুখ্য প্রায়শই কোন ঐতিহাসিক ভূমিকা পালন করতেন?</v>
      </c>
      <c r="K68" s="10" t="str">
        <f>IFERROR(__xludf.DUMMYFUNCTION("GOOGLETRANSLATE(C68, ""en"", ""bn"")"),"ক) তারা খেলোয়াড় হিসেবে অংশগ্রহণ করবে, খ) তারা দড়ি এবং অন্যান্য সরঞ্জাম সরবরাহ করবে, গ) তারা প্রাথমিক বিচারক বা সংগঠক হিসেবে কাজ করবে, ঘ) তারা স্কোর রেকর্ড করবে")</f>
        <v>ক) তারা খেলোয়াড় হিসেবে অংশগ্রহণ করবে, খ) তারা দড়ি এবং অন্যান্য সরঞ্জাম সরবরাহ করবে, গ) তারা প্রাথমিক বিচারক বা সংগঠক হিসেবে কাজ করবে, ঘ) তারা স্কোর রেকর্ড করবে</v>
      </c>
      <c r="L68" s="10" t="str">
        <f>IFERROR(__xludf.DUMMYFUNCTION("GOOGLETRANSLATE(D68, ""en"", ""bn"")"),"গ) তারা প্রাথমিক বিচারক বা সংগঠক হিসেবে কাজ করবেন")</f>
        <v>গ) তারা প্রাথমিক বিচারক বা সংগঠক হিসেবে কাজ করবেন</v>
      </c>
      <c r="M68" s="10" t="str">
        <f>IFERROR(__xludf.DUMMYFUNCTION("GOOGLETRANSLATE(E68, ""en"", ""bn"")"),"গ্রামপ্রধান বা মুখ্য প্রায়শই সংগঠন তত্ত্বাবধান এবং ম্যাচের বিচারের জন্য দায়ী থাকতেন, যাতে সুষ্ঠু খেলা নিশ্চিত করা যায়।")</f>
        <v>গ্রামপ্রধান বা মুখ্য প্রায়শই সংগঠন তত্ত্বাবধান এবং ম্যাচের বিচারের জন্য দায়ী থাকতেন, যাতে সুষ্ঠু খেলা নিশ্চিত করা যায়।</v>
      </c>
    </row>
    <row r="69">
      <c r="A69" s="7">
        <v>68.0</v>
      </c>
      <c r="B69" s="7" t="s">
        <v>765</v>
      </c>
      <c r="C69" s="7" t="s">
        <v>766</v>
      </c>
      <c r="D69" s="7" t="s">
        <v>484</v>
      </c>
      <c r="E69" s="7" t="s">
        <v>767</v>
      </c>
      <c r="I69" s="10" t="str">
        <f>IFERROR(__xludf.DUMMYFUNCTION("GOOGLETRANSLATE(A69, ""en"", ""bn"")"),"৬৮")</f>
        <v>৬৮</v>
      </c>
      <c r="J69" s="10" t="str">
        <f>IFERROR(__xludf.DUMMYFUNCTION("GOOGLETRANSLATE(B69, ""en"", ""bn"")"),"কিছু অঞ্চলে দরিয়াবান্ধার ঐতিহাসিক পতন কী নির্দেশ করে?")</f>
        <v>কিছু অঞ্চলে দরিয়াবান্ধার ঐতিহাসিক পতন কী নির্দেশ করে?</v>
      </c>
      <c r="K69" s="10" t="str">
        <f>IFERROR(__xludf.DUMMYFUNCTION("GOOGLETRANSLATE(C69, ""en"", ""bn"")"),"ক) শারীরিক কার্যকলাপ হ্রাস, খ) সামাজিক বন্ধনের অবনতি, গ) পশ্চিমা খেলাধুলার দিকে ঝুঁকে পড়া, ঘ) খ এবং গ উভয়ই")</f>
        <v>ক) শারীরিক কার্যকলাপ হ্রাস, খ) সামাজিক বন্ধনের অবনতি, গ) পশ্চিমা খেলাধুলার দিকে ঝুঁকে পড়া, ঘ) খ এবং গ উভয়ই</v>
      </c>
      <c r="L69" s="10" t="str">
        <f>IFERROR(__xludf.DUMMYFUNCTION("GOOGLETRANSLATE(D69, ""en"", ""bn"")"),"ঘ) খ এবং গ উভয়ই")</f>
        <v>ঘ) খ এবং গ উভয়ই</v>
      </c>
      <c r="M69" s="10" t="str">
        <f>IFERROR(__xludf.DUMMYFUNCTION("GOOGLETRANSLATE(E69, ""en"", ""bn"")"),"কিছু কিছু অঞ্চলে খেলাধুলার পতন প্রায়শই আরও আধুনিক, পশ্চিমা ধাঁচের খেলাধুলার দিকে ঝুঁকতে এবং ঐতিহ্যবাহী, সম্প্রদায়-কেন্দ্রিক কার্যকলাপের হ্রাসের সাথে যুক্ত।")</f>
        <v>কিছু কিছু অঞ্চলে খেলাধুলার পতন প্রায়শই আরও আধুনিক, পশ্চিমা ধাঁচের খেলাধুলার দিকে ঝুঁকতে এবং ঐতিহ্যবাহী, সম্প্রদায়-কেন্দ্রিক কার্যকলাপের হ্রাসের সাথে যুক্ত।</v>
      </c>
    </row>
    <row r="70">
      <c r="A70" s="7">
        <v>69.0</v>
      </c>
      <c r="B70" s="7" t="s">
        <v>768</v>
      </c>
      <c r="C70" s="7" t="s">
        <v>769</v>
      </c>
      <c r="D70" s="7" t="s">
        <v>770</v>
      </c>
      <c r="E70" s="7" t="s">
        <v>771</v>
      </c>
      <c r="I70" s="10" t="str">
        <f>IFERROR(__xludf.DUMMYFUNCTION("GOOGLETRANSLATE(A70, ""en"", ""bn"")"),"৬৯")</f>
        <v>৬৯</v>
      </c>
      <c r="J70" s="10" t="str">
        <f>IFERROR(__xludf.DUMMYFUNCTION("GOOGLETRANSLATE(B70, ""en"", ""bn"")"),"স্বাধীনতা যুদ্ধ ছাড়াও কোন ঐতিহাসিক ঘটনা এই খেলার জনপ্রিয়তায় অবদান রেখেছিল?")</f>
        <v>স্বাধীনতা যুদ্ধ ছাড়াও কোন ঐতিহাসিক ঘটনা এই খেলার জনপ্রিয়তায় অবদান রেখেছিল?</v>
      </c>
      <c r="K70" s="10" t="str">
        <f>IFERROR(__xludf.DUMMYFUNCTION("GOOGLETRANSLATE(C70, ""en"", ""bn"")"),"ক) দ্বিতীয় বিশ্বযুদ্ধের সমাপ্তি, খ) ১৯৪৩ সালের মহাবঙ্গীয় দুর্ভিক্ষ, গ) ১৯৪৭ সালে ভারত বিভাগ, ঘ) একটি প্রধান শহর হিসেবে ঢাকার উত্থান")</f>
        <v>ক) দ্বিতীয় বিশ্বযুদ্ধের সমাপ্তি, খ) ১৯৪৩ সালের মহাবঙ্গীয় দুর্ভিক্ষ, গ) ১৯৪৭ সালে ভারত বিভাগ, ঘ) একটি প্রধান শহর হিসেবে ঢাকার উত্থান</v>
      </c>
      <c r="L70" s="10" t="str">
        <f>IFERROR(__xludf.DUMMYFUNCTION("GOOGLETRANSLATE(D70, ""en"", ""bn"")"),"গ) ১৯৪৭ সালে ভারত বিভাগ")</f>
        <v>গ) ১৯৪৭ সালে ভারত বিভাগ</v>
      </c>
      <c r="M70" s="10" t="str">
        <f>IFERROR(__xludf.DUMMYFUNCTION("GOOGLETRANSLATE(E70, ""en"", ""bn"")"),"ভারত বিভাগের ফলে পূর্ববঙ্গে (বর্তমানে বাংলাদেশ) স্থানীয় ঐতিহ্য এবং সাংস্কৃতিক অনুশীলনের উপর আরও বেশি জোর দেওয়া হয়, যার ফলে দাড়িয়াবান্ধার মতো খেলা আরও জনপ্রিয় হয়ে ওঠে।")</f>
        <v>ভারত বিভাগের ফলে পূর্ববঙ্গে (বর্তমানে বাংলাদেশ) স্থানীয় ঐতিহ্য এবং সাংস্কৃতিক অনুশীলনের উপর আরও বেশি জোর দেওয়া হয়, যার ফলে দাড়িয়াবান্ধার মতো খেলা আরও জনপ্রিয় হয়ে ওঠে।</v>
      </c>
    </row>
    <row r="71">
      <c r="A71" s="7">
        <v>70.0</v>
      </c>
      <c r="B71" s="7" t="s">
        <v>772</v>
      </c>
      <c r="C71" s="7" t="s">
        <v>773</v>
      </c>
      <c r="D71" s="7" t="s">
        <v>774</v>
      </c>
      <c r="E71" s="7" t="s">
        <v>775</v>
      </c>
      <c r="I71" s="10" t="str">
        <f>IFERROR(__xludf.DUMMYFUNCTION("GOOGLETRANSLATE(A71, ""en"", ""bn"")"),"৭০")</f>
        <v>৭০</v>
      </c>
      <c r="J71" s="10" t="str">
        <f>IFERROR(__xludf.DUMMYFUNCTION("GOOGLETRANSLATE(B71, ""en"", ""bn"")"),"দাড়িবান্ধায় ব্যবহৃত পাটের দড়ির ঐতিহাসিক তাৎপর্য কী ছিল?")</f>
        <v>দাড়িবান্ধায় ব্যবহৃত পাটের দড়ির ঐতিহাসিক তাৎপর্য কী ছিল?</v>
      </c>
      <c r="K71" s="10" t="str">
        <f>IFERROR(__xludf.DUMMYFUNCTION("GOOGLETRANSLATE(C71, ""en"", ""bn"")"),"ক) এটি ছিল সম্পদের প্রতীক, খ) এটি অঞ্চলের কৃষি ঐতিহ্যের প্রতিনিধিত্ব করে, গ) এটি ইউরোপ থেকে আমদানি করা হয়েছিল, ঘ) এটি ছিল একটি ধর্মীয় নিদর্শন")</f>
        <v>ক) এটি ছিল সম্পদের প্রতীক, খ) এটি অঞ্চলের কৃষি ঐতিহ্যের প্রতিনিধিত্ব করে, গ) এটি ইউরোপ থেকে আমদানি করা হয়েছিল, ঘ) এটি ছিল একটি ধর্মীয় নিদর্শন</v>
      </c>
      <c r="L71" s="10" t="str">
        <f>IFERROR(__xludf.DUMMYFUNCTION("GOOGLETRANSLATE(D71, ""en"", ""bn"")"),"খ) এটি অঞ্চলের কৃষি ঐতিহ্যের প্রতিনিধিত্ব করে")</f>
        <v>খ) এটি অঞ্চলের কৃষি ঐতিহ্যের প্রতিনিধিত্ব করে</v>
      </c>
      <c r="M71" s="10" t="str">
        <f>IFERROR(__xludf.DUMMYFUNCTION("GOOGLETRANSLATE(E71, ""en"", ""bn"")"),"বাংলার একটি প্রধান কৃষিজাত পণ্য পাটের দড়ির ব্যবহার গ্রামীণ, কৃষক সম্প্রদায়ের মধ্যে খেলার গভীর শিকড়ের প্রতীক।")</f>
        <v>বাংলার একটি প্রধান কৃষিজাত পণ্য পাটের দড়ির ব্যবহার গ্রামীণ, কৃষক সম্প্রদায়ের মধ্যে খেলার গভীর শিকড়ের প্রতীক।</v>
      </c>
    </row>
    <row r="72">
      <c r="A72" s="7">
        <v>71.0</v>
      </c>
      <c r="B72" s="7" t="s">
        <v>776</v>
      </c>
      <c r="C72" s="7" t="s">
        <v>777</v>
      </c>
      <c r="D72" s="7" t="s">
        <v>778</v>
      </c>
      <c r="E72" s="7" t="s">
        <v>779</v>
      </c>
      <c r="I72" s="10" t="str">
        <f>IFERROR(__xludf.DUMMYFUNCTION("GOOGLETRANSLATE(A72, ""en"", ""bn"")"),"৭১")</f>
        <v>৭১</v>
      </c>
      <c r="J72" s="10" t="str">
        <f>IFERROR(__xludf.DUMMYFUNCTION("GOOGLETRANSLATE(B72, ""en"", ""bn"")"),"ঐতিহাসিকভাবে, দাড়িবান্ধা ম্যাচের দড়ি তৈরির জন্য কে দায়ী ছিলেন?")</f>
        <v>ঐতিহাসিকভাবে, দাড়িবান্ধা ম্যাচের দড়ি তৈরির জন্য কে দায়ী ছিলেন?</v>
      </c>
      <c r="K72" s="10" t="str">
        <f>IFERROR(__xludf.DUMMYFUNCTION("GOOGLETRANSLATE(C72, ""en"", ""bn"")"),"ক) একজন বিশেষ কারিগর, খ) স্থানীয় বাজার, গ) খেলোয়াড়রা নিজেরাই, ঘ) গ্রামের প্রবীণ ব্যক্তি")</f>
        <v>ক) একজন বিশেষ কারিগর, খ) স্থানীয় বাজার, গ) খেলোয়াড়রা নিজেরাই, ঘ) গ্রামের প্রবীণ ব্যক্তি</v>
      </c>
      <c r="L72" s="10" t="str">
        <f>IFERROR(__xludf.DUMMYFUNCTION("GOOGLETRANSLATE(D72, ""en"", ""bn"")"),"গ) খেলোয়াড়রা নিজেরাই")</f>
        <v>গ) খেলোয়াড়রা নিজেরাই</v>
      </c>
      <c r="M72" s="10" t="str">
        <f>IFERROR(__xludf.DUMMYFUNCTION("GOOGLETRANSLATE(E72, ""en"", ""bn"")"),"অতীতে, খেলোয়াড়রা অথবা তাদের পরিবার প্রায়শই একসাথে পাটের দড়ি বেণী করার কাজ করত, যা খেলাটিকে শুরু থেকে শেষ পর্যন্ত সত্যিকার অর্থে একটি সম্মিলিত প্রচেষ্টায় পরিণত করত।")</f>
        <v>অতীতে, খেলোয়াড়রা অথবা তাদের পরিবার প্রায়শই একসাথে পাটের দড়ি বেণী করার কাজ করত, যা খেলাটিকে শুরু থেকে শেষ পর্যন্ত সত্যিকার অর্থে একটি সম্মিলিত প্রচেষ্টায় পরিণত করত।</v>
      </c>
    </row>
    <row r="73">
      <c r="A73" s="7">
        <v>72.0</v>
      </c>
      <c r="B73" s="7" t="s">
        <v>780</v>
      </c>
      <c r="C73" s="7" t="s">
        <v>781</v>
      </c>
      <c r="D73" s="7" t="s">
        <v>782</v>
      </c>
      <c r="E73" s="7" t="s">
        <v>783</v>
      </c>
      <c r="I73" s="10" t="str">
        <f>IFERROR(__xludf.DUMMYFUNCTION("GOOGLETRANSLATE(A73, ""en"", ""bn"")"),"৭২")</f>
        <v>৭২</v>
      </c>
      <c r="J73" s="10" t="str">
        <f>IFERROR(__xludf.DUMMYFUNCTION("GOOGLETRANSLATE(B73, ""en"", ""bn"")"),"খেলার সময় দলের বিরোধের মধ্যস্থতাকারী মুখ্যের (গ্রামপ্রধান) ঐতিহাসিক উদ্দেশ্য কী ছিল?")</f>
        <v>খেলার সময় দলের বিরোধের মধ্যস্থতাকারী মুখ্যের (গ্রামপ্রধান) ঐতিহাসিক উদ্দেশ্য কী ছিল?</v>
      </c>
      <c r="K73" s="10" t="str">
        <f>IFERROR(__xludf.DUMMYFUNCTION("GOOGLETRANSLATE(C73, ""en"", ""bn"")"),"ক) খেলাটি দ্রুত সম্পন্ন করা নিশ্চিত করার জন্য, খ) তর্ক-বিতর্ক যাতে সহিংসতায় রূপ না নেয়, গ) খেলোয়াড়দের দ্বন্দ্ব নিরসন সম্পর্কে শেখানো, ঘ) উপরের সমস্ত বিষয়")</f>
        <v>ক) খেলাটি দ্রুত সম্পন্ন করা নিশ্চিত করার জন্য, খ) তর্ক-বিতর্ক যাতে সহিংসতায় রূপ না নেয়, গ) খেলোয়াড়দের দ্বন্দ্ব নিরসন সম্পর্কে শেখানো, ঘ) উপরের সমস্ত বিষয়</v>
      </c>
      <c r="L73" s="10" t="str">
        <f>IFERROR(__xludf.DUMMYFUNCTION("GOOGLETRANSLATE(D73, ""en"", ""bn"")"),"খ) বিতর্ক যাতে সহিংসতায় রূপ না নেয়")</f>
        <v>খ) বিতর্ক যাতে সহিংসতায় রূপ না নেয়</v>
      </c>
      <c r="M73" s="10" t="str">
        <f>IFERROR(__xludf.DUMMYFUNCTION("GOOGLETRANSLATE(E73, ""en"", ""bn"")"),"সম্প্রীতি বজায় রাখা এবং খেলার সময় উত্তপ্ত বিরোধ সম্প্রদায়ের উপর প্রভাব ফেলা রোধ করার জন্য মুখ্যের ভূমিকা অত্যন্ত গুরুত্বপূর্ণ ছিল।")</f>
        <v>সম্প্রীতি বজায় রাখা এবং খেলার সময় উত্তপ্ত বিরোধ সম্প্রদায়ের উপর প্রভাব ফেলা রোধ করার জন্য মুখ্যের ভূমিকা অত্যন্ত গুরুত্বপূর্ণ ছিল।</v>
      </c>
    </row>
    <row r="74">
      <c r="A74" s="7">
        <v>73.0</v>
      </c>
      <c r="B74" s="7" t="s">
        <v>784</v>
      </c>
      <c r="C74" s="7" t="s">
        <v>785</v>
      </c>
      <c r="D74" s="7" t="s">
        <v>786</v>
      </c>
      <c r="E74" s="7" t="s">
        <v>787</v>
      </c>
      <c r="I74" s="10" t="str">
        <f>IFERROR(__xludf.DUMMYFUNCTION("GOOGLETRANSLATE(A74, ""en"", ""bn"")"),"৭৩")</f>
        <v>৭৩</v>
      </c>
      <c r="J74" s="10" t="str">
        <f>IFERROR(__xludf.DUMMYFUNCTION("GOOGLETRANSLATE(B74, ""en"", ""bn"")"),"দাড়িবান্ধার কোন ঐতিহাসিক দিকটি এটিকে লোকজ বিনোদনের একটি অনন্য রূপ করে তোলে?")</f>
        <v>দাড়িবান্ধার কোন ঐতিহাসিক দিকটি এটিকে লোকজ বিনোদনের একটি অনন্য রূপ করে তোলে?</v>
      </c>
      <c r="K74" s="10" t="str">
        <f>IFERROR(__xludf.DUMMYFUNCTION("GOOGLETRANSLATE(C74, ""en"", ""bn"")"),"ক) এটি শুধুমাত্র রাতে বাজানো হত, খ) এটি ছিল একক পরিবেশনা, গ) এটি ছিল একটি অহিংস প্রতিযোগিতামূলক খেলা যা ঐক্যের উপর জোর দিয়েছিল, ঘ) এটি সঙ্গীত এবং নৃত্যের সাথে ছিল।")</f>
        <v>ক) এটি শুধুমাত্র রাতে বাজানো হত, খ) এটি ছিল একক পরিবেশনা, গ) এটি ছিল একটি অহিংস প্রতিযোগিতামূলক খেলা যা ঐক্যের উপর জোর দিয়েছিল, ঘ) এটি সঙ্গীত এবং নৃত্যের সাথে ছিল।</v>
      </c>
      <c r="L74" s="10" t="str">
        <f>IFERROR(__xludf.DUMMYFUNCTION("GOOGLETRANSLATE(D74, ""en"", ""bn"")"),"গ) এটি ছিল একটি অহিংস প্রতিযোগিতামূলক খেলা যেখানে ঐক্যের উপর জোর দেওয়া হয়েছিল।")</f>
        <v>গ) এটি ছিল একটি অহিংস প্রতিযোগিতামূলক খেলা যেখানে ঐক্যের উপর জোর দেওয়া হয়েছিল।</v>
      </c>
      <c r="M74" s="10" t="str">
        <f>IFERROR(__xludf.DUMMYFUNCTION("GOOGLETRANSLATE(E74, ""en"", ""bn"")"),"অন্যান্য লোকজ খেলার মতো নয়, দাড়িবান্ধা একটি অহিংস, প্রতিযোগিতামূলক পরিবেশে সম্মিলিত শক্তি এবং ঐক্যের উপর জোর দিত।")</f>
        <v>অন্যান্য লোকজ খেলার মতো নয়, দাড়িবান্ধা একটি অহিংস, প্রতিযোগিতামূলক পরিবেশে সম্মিলিত শক্তি এবং ঐক্যের উপর জোর দিত।</v>
      </c>
    </row>
    <row r="75">
      <c r="A75" s="7">
        <v>74.0</v>
      </c>
      <c r="B75" s="7" t="s">
        <v>788</v>
      </c>
      <c r="C75" s="7" t="s">
        <v>789</v>
      </c>
      <c r="D75" s="7" t="s">
        <v>790</v>
      </c>
      <c r="E75" s="7" t="s">
        <v>791</v>
      </c>
      <c r="I75" s="10" t="str">
        <f>IFERROR(__xludf.DUMMYFUNCTION("GOOGLETRANSLATE(A75, ""en"", ""bn"")"),"৭৪")</f>
        <v>৭৪</v>
      </c>
      <c r="J75" s="10" t="str">
        <f>IFERROR(__xludf.DUMMYFUNCTION("GOOGLETRANSLATE(B75, ""en"", ""bn"")"),"খেলার প্রেক্ষাপটে ""দারিয়া"" শব্দটির ঐতিহাসিক অর্থ কী?")</f>
        <v>খেলার প্রেক্ষাপটে "দারিয়া" শব্দটির ঐতিহাসিক অর্থ কী?</v>
      </c>
      <c r="K75" s="10" t="str">
        <f>IFERROR(__xludf.DUMMYFUNCTION("GOOGLETRANSLATE(C75, ""en"", ""bn"")"),"ক) এক ধরণের মাছ, খ) দড়ি বা দড়ি, গ) শক্তিশালী নেতা, ঘ) নদী")</f>
        <v>ক) এক ধরণের মাছ, খ) দড়ি বা দড়ি, গ) শক্তিশালী নেতা, ঘ) নদী</v>
      </c>
      <c r="L75" s="10" t="str">
        <f>IFERROR(__xludf.DUMMYFUNCTION("GOOGLETRANSLATE(D75, ""en"", ""bn"")"),"খ) একটি দড়ি বা দড়ি")</f>
        <v>খ) একটি দড়ি বা দড়ি</v>
      </c>
      <c r="M75" s="10" t="str">
        <f>IFERROR(__xludf.DUMMYFUNCTION("GOOGLETRANSLATE(E75, ""en"", ""bn"")"),"""দারিয়া"" একটি বাংলা শব্দ যা ঐতিহাসিকভাবে একটি মোটা দড়ি বা রেখাকে বোঝায়, যেখান থেকে খেলাটির নামকরণ করা হয়েছে।")</f>
        <v>"দারিয়া" একটি বাংলা শব্দ যা ঐতিহাসিকভাবে একটি মোটা দড়ি বা রেখাকে বোঝায়, যেখান থেকে খেলাটির নামকরণ করা হয়েছে।</v>
      </c>
    </row>
    <row r="76">
      <c r="A76" s="7">
        <v>75.0</v>
      </c>
      <c r="B76" s="7" t="s">
        <v>792</v>
      </c>
      <c r="C76" s="7" t="s">
        <v>793</v>
      </c>
      <c r="D76" s="7" t="s">
        <v>794</v>
      </c>
      <c r="E76" s="7" t="s">
        <v>795</v>
      </c>
      <c r="I76" s="10" t="str">
        <f>IFERROR(__xludf.DUMMYFUNCTION("GOOGLETRANSLATE(A76, ""en"", ""bn"")"),"৭৫")</f>
        <v>৭৫</v>
      </c>
      <c r="J76" s="10" t="str">
        <f>IFERROR(__xludf.DUMMYFUNCTION("GOOGLETRANSLATE(B76, ""en"", ""bn"")"),"দাড়িবান্ধার ঐতিহাসিক অনুশীলন আধুনিক পেশাদার ক্রীড়া থেকে কীভাবে আলাদা ছিল?")</f>
        <v>দাড়িবান্ধার ঐতিহাসিক অনুশীলন আধুনিক পেশাদার ক্রীড়া থেকে কীভাবে আলাদা ছিল?</v>
      </c>
      <c r="K76" s="10" t="str">
        <f>IFERROR(__xludf.DUMMYFUNCTION("GOOGLETRANSLATE(C76, ""en"", ""bn"")"),"ক) এটি কোনও ট্রফি বা পুরস্কারের টাকার জন্য খেলা হত না, খ) এর কোনও সরকারী নিয়ম ছিল না, গ) এটি কেবল শিশুরা খেলত, ঘ) এটি কেবল মহিলারা খেলত")</f>
        <v>ক) এটি কোনও ট্রফি বা পুরস্কারের টাকার জন্য খেলা হত না, খ) এর কোনও সরকারী নিয়ম ছিল না, গ) এটি কেবল শিশুরা খেলত, ঘ) এটি কেবল মহিলারা খেলত</v>
      </c>
      <c r="L76" s="10" t="str">
        <f>IFERROR(__xludf.DUMMYFUNCTION("GOOGLETRANSLATE(D76, ""en"", ""bn"")"),"ক) এটি কোনও ট্রফি বা পুরস্কারের টাকার জন্য খেলা হয়নি।")</f>
        <v>ক) এটি কোনও ট্রফি বা পুরস্কারের টাকার জন্য খেলা হয়নি।</v>
      </c>
      <c r="M76" s="10" t="str">
        <f>IFERROR(__xludf.DUMMYFUNCTION("GOOGLETRANSLATE(E76, ""en"", ""bn"")"),"আধুনিক পেশাদার খেলাধুলার বিপরীতে, ঐতিহাসিক দাড়িবান্ধা খেলাগুলি পুরষ্কার বা অর্থের জন্য নয়, বরং সম্প্রদায়ের গর্ব এবং বিনোদনের জন্য খেলা হত।")</f>
        <v>আধুনিক পেশাদার খেলাধুলার বিপরীতে, ঐতিহাসিক দাড়িবান্ধা খেলাগুলি পুরষ্কার বা অর্থের জন্য নয়, বরং সম্প্রদায়ের গর্ব এবং বিনোদনের জন্য খেলা হত।</v>
      </c>
    </row>
    <row r="77">
      <c r="A77" s="7">
        <v>76.0</v>
      </c>
      <c r="B77" s="7" t="s">
        <v>796</v>
      </c>
      <c r="C77" s="7" t="s">
        <v>797</v>
      </c>
      <c r="D77" s="7" t="s">
        <v>798</v>
      </c>
      <c r="E77" s="7" t="s">
        <v>799</v>
      </c>
      <c r="I77" s="10" t="str">
        <f>IFERROR(__xludf.DUMMYFUNCTION("GOOGLETRANSLATE(A77, ""en"", ""bn"")"),"৭৬")</f>
        <v>৭৬</v>
      </c>
      <c r="J77" s="10" t="str">
        <f>IFERROR(__xludf.DUMMYFUNCTION("GOOGLETRANSLATE(B77, ""en"", ""bn"")"),"দাড়িবান্ধা ম্যাচে জনতার অংশগ্রহণের ঐতিহাসিক তাৎপর্য কী ছিল?")</f>
        <v>দাড়িবান্ধা ম্যাচে জনতার অংশগ্রহণের ঐতিহাসিক তাৎপর্য কী ছিল?</v>
      </c>
      <c r="K77" s="10" t="str">
        <f>IFERROR(__xludf.DUMMYFUNCTION("GOOGLETRANSLATE(C77, ""en"", ""bn"")"),"ক) তারা দড়ি টেনে তাদের দলকে সাহায্য করার চেষ্টা করবে, খ) তারা প্রতিপক্ষের মনোযোগ নষ্ট করার জন্য গান গাইবে, গ) তারা খেলোয়াড়দের উৎসাহিত করবে এবং খেলার চেতনা বজায় রাখবে, ঘ) তারা দ্বিতীয় রেফারি হিসেবে কাজ করবে।")</f>
        <v>ক) তারা দড়ি টেনে তাদের দলকে সাহায্য করার চেষ্টা করবে, খ) তারা প্রতিপক্ষের মনোযোগ নষ্ট করার জন্য গান গাইবে, গ) তারা খেলোয়াড়দের উৎসাহিত করবে এবং খেলার চেতনা বজায় রাখবে, ঘ) তারা দ্বিতীয় রেফারি হিসেবে কাজ করবে।</v>
      </c>
      <c r="L77" s="10" t="str">
        <f>IFERROR(__xludf.DUMMYFUNCTION("GOOGLETRANSLATE(D77, ""en"", ""bn"")"),"গ) তারা খেলোয়াড়দের উৎসাহিত করবে এবং খেলার চেতনাকে সমুন্নত রাখবে।")</f>
        <v>গ) তারা খেলোয়াড়দের উৎসাহিত করবে এবং খেলার চেতনাকে সমুন্নত রাখবে।</v>
      </c>
      <c r="M77" s="10" t="str">
        <f>IFERROR(__xludf.DUMMYFUNCTION("GOOGLETRANSLATE(E77, ""en"", ""bn"")"),"দর্শকদের উল্লাস এবং সমর্থন খেলার একটি ঐতিহাসিক এবং অবিচ্ছেদ্য অংশ ছিল, যা খেলোয়াড়দের উৎসাহিত করেছিল এবং উৎসবমুখর পরিবেশকে আরও বাড়িয়ে তুলেছিল।")</f>
        <v>দর্শকদের উল্লাস এবং সমর্থন খেলার একটি ঐতিহাসিক এবং অবিচ্ছেদ্য অংশ ছিল, যা খেলোয়াড়দের উৎসাহিত করেছিল এবং উৎসবমুখর পরিবেশকে আরও বাড়িয়ে তুলেছিল।</v>
      </c>
    </row>
    <row r="78">
      <c r="A78" s="7">
        <v>77.0</v>
      </c>
      <c r="B78" s="7" t="s">
        <v>800</v>
      </c>
      <c r="C78" s="7" t="s">
        <v>801</v>
      </c>
      <c r="D78" s="7" t="s">
        <v>802</v>
      </c>
      <c r="E78" s="7" t="s">
        <v>803</v>
      </c>
      <c r="I78" s="10" t="str">
        <f>IFERROR(__xludf.DUMMYFUNCTION("GOOGLETRANSLATE(A78, ""en"", ""bn"")"),"৭৭")</f>
        <v>৭৭</v>
      </c>
      <c r="J78" s="10" t="str">
        <f>IFERROR(__xludf.DUMMYFUNCTION("GOOGLETRANSLATE(B78, ""en"", ""bn"")"),"ঐতিহাসিক প্রেক্ষাপটে, প্রতিযোগিতামূলক দাড়িবান্ধায় অংশগ্রহণকারী প্রাথমিক বয়সের দলটি কী ছিল?")</f>
        <v>ঐতিহাসিক প্রেক্ষাপটে, প্রতিযোগিতামূলক দাড়িবান্ধায় অংশগ্রহণকারী প্রাথমিক বয়সের দলটি কী ছিল?</v>
      </c>
      <c r="K78" s="10" t="str">
        <f>IFERROR(__xludf.DUMMYFUNCTION("GOOGLETRANSLATE(C78, ""en"", ""bn"")"),"ক) ১০ বছরের কম বয়সী শিশু, খ) কিশোর এবং তরুণ প্রাপ্তবয়স্ক, গ) বয়স্ক ব্যক্তি, ঘ) সকল বয়সের মিশ্রণ")</f>
        <v>ক) ১০ বছরের কম বয়সী শিশু, খ) কিশোর এবং তরুণ প্রাপ্তবয়স্ক, গ) বয়স্ক ব্যক্তি, ঘ) সকল বয়সের মিশ্রণ</v>
      </c>
      <c r="L78" s="10" t="str">
        <f>IFERROR(__xludf.DUMMYFUNCTION("GOOGLETRANSLATE(D78, ""en"", ""bn"")"),"খ) কিশোর এবং তরুণ প্রাপ্তবয়স্করা")</f>
        <v>খ) কিশোর এবং তরুণ প্রাপ্তবয়স্করা</v>
      </c>
      <c r="M78" s="10" t="str">
        <f>IFERROR(__xludf.DUMMYFUNCTION("GOOGLETRANSLATE(E78, ""en"", ""bn"")"),"ঐতিহাসিকভাবে, খেলার শারীরিক চাহিদা এটিকে কিশোর এবং তরুণ প্রাপ্তবয়স্কদের জন্য সবচেয়ে উপযুক্ত করে তুলেছিল, যাদের প্রতিযোগিতা করার শক্তি এবং সহনশীলতা ছিল।")</f>
        <v>ঐতিহাসিকভাবে, খেলার শারীরিক চাহিদা এটিকে কিশোর এবং তরুণ প্রাপ্তবয়স্কদের জন্য সবচেয়ে উপযুক্ত করে তুলেছিল, যাদের প্রতিযোগিতা করার শক্তি এবং সহনশীলতা ছিল।</v>
      </c>
    </row>
    <row r="79">
      <c r="A79" s="7">
        <v>78.0</v>
      </c>
      <c r="B79" s="7" t="s">
        <v>804</v>
      </c>
      <c r="C79" s="7" t="s">
        <v>805</v>
      </c>
      <c r="D79" s="7" t="s">
        <v>806</v>
      </c>
      <c r="E79" s="7" t="s">
        <v>807</v>
      </c>
      <c r="I79" s="10" t="str">
        <f>IFERROR(__xludf.DUMMYFUNCTION("GOOGLETRANSLATE(A79, ""en"", ""bn"")"),"৭৮")</f>
        <v>৭৮</v>
      </c>
      <c r="J79" s="10" t="str">
        <f>IFERROR(__xludf.DUMMYFUNCTION("GOOGLETRANSLATE(B79, ""en"", ""bn"")"),"ঐতিহাসিকভাবে দড়িবান্ধা কীভাবে একটি গ্রামের সামাজিক শ্রেণিবিন্যাসকে প্রতিফলিত করেছে?")</f>
        <v>ঐতিহাসিকভাবে দড়িবান্ধা কীভাবে একটি গ্রামের সামাজিক শ্রেণিবিন্যাসকে প্রতিফলিত করেছে?</v>
      </c>
      <c r="K79" s="10" t="str">
        <f>IFERROR(__xludf.DUMMYFUNCTION("GOOGLETRANSLATE(C79, ""en"", ""bn"")"),"ক) গ্রামের প্রধান সর্বদা খেলত, খ) সবচেয়ে শক্তিশালী খেলোয়াড়রা সর্বদা একটি নির্দিষ্ট শ্রেণীর ছিল, গ) এটি এমন একটি খেলা ছিল যা সকলের জন্য উন্মুক্ত ছিল, সামাজিক অবস্থান নির্বিশেষে, ঘ) দলের অধিনায়করা সর্বদা একটি নির্দিষ্ট পরিবারের সদস্য ছিলেন।")</f>
        <v>ক) গ্রামের প্রধান সর্বদা খেলত, খ) সবচেয়ে শক্তিশালী খেলোয়াড়রা সর্বদা একটি নির্দিষ্ট শ্রেণীর ছিল, গ) এটি এমন একটি খেলা ছিল যা সকলের জন্য উন্মুক্ত ছিল, সামাজিক অবস্থান নির্বিশেষে, ঘ) দলের অধিনায়করা সর্বদা একটি নির্দিষ্ট পরিবারের সদস্য ছিলেন।</v>
      </c>
      <c r="L79" s="10" t="str">
        <f>IFERROR(__xludf.DUMMYFUNCTION("GOOGLETRANSLATE(D79, ""en"", ""bn"")"),"গ) এটি একটি খেলা ছিল যা সকলের জন্য উন্মুক্ত ছিল, সামাজিক অবস্থান নির্বিশেষে।")</f>
        <v>গ) এটি একটি খেলা ছিল যা সকলের জন্য উন্মুক্ত ছিল, সামাজিক অবস্থান নির্বিশেষে।</v>
      </c>
      <c r="M79" s="10" t="str">
        <f>IFERROR(__xludf.DUMMYFUNCTION("GOOGLETRANSLATE(E79, ""en"", ""bn"")"),"দাড়িবান্ধার একটি উল্লেখযোগ্য ঐতিহাসিক দিক হল, এটি ছিল সামাজিক বা অর্থনৈতিক অবস্থান নির্বিশেষে সকলের জন্য উন্মুক্ত একটি খেলা, যা সাম্যের অনুভূতি জাগিয়ে তোলে।")</f>
        <v>দাড়িবান্ধার একটি উল্লেখযোগ্য ঐতিহাসিক দিক হল, এটি ছিল সামাজিক বা অর্থনৈতিক অবস্থান নির্বিশেষে সকলের জন্য উন্মুক্ত একটি খেলা, যা সাম্যের অনুভূতি জাগিয়ে তোলে।</v>
      </c>
    </row>
    <row r="80">
      <c r="A80" s="7">
        <v>79.0</v>
      </c>
      <c r="B80" s="7" t="s">
        <v>808</v>
      </c>
      <c r="C80" s="7" t="s">
        <v>809</v>
      </c>
      <c r="D80" s="7" t="s">
        <v>810</v>
      </c>
      <c r="E80" s="7" t="s">
        <v>811</v>
      </c>
      <c r="I80" s="10" t="str">
        <f>IFERROR(__xludf.DUMMYFUNCTION("GOOGLETRANSLATE(A80, ""en"", ""bn"")"),"৭৯")</f>
        <v>৭৯</v>
      </c>
      <c r="J80" s="10" t="str">
        <f>IFERROR(__xludf.DUMMYFUNCTION("GOOGLETRANSLATE(B80, ""en"", ""bn"")"),"ব্রিটিশ ঔপনিবেশিক আমলে খেলার সরঞ্জামগুলিতে কোন ঐতিহাসিক পরিবর্তন আনা হয়েছিল?")</f>
        <v>ব্রিটিশ ঔপনিবেশিক আমলে খেলার সরঞ্জামগুলিতে কোন ঐতিহাসিক পরিবর্তন আনা হয়েছিল?</v>
      </c>
      <c r="K80" s="10" t="str">
        <f>IFERROR(__xludf.DUMMYFUNCTION("GOOGLETRANSLATE(C80, ""en"", ""bn"")"),"ক) দড়ির পরিবর্তে ধাতব শিকলের ব্যবহার, খ) রেফারির জন্য বাঁশির ব্যবহার, গ) দড়ির দৈর্ঘ্যের মান নির্ধারণ, ঘ) কোনও উল্লেখযোগ্য পরিবর্তন করা হয়নি")</f>
        <v>ক) দড়ির পরিবর্তে ধাতব শিকলের ব্যবহার, খ) রেফারির জন্য বাঁশির ব্যবহার, গ) দড়ির দৈর্ঘ্যের মান নির্ধারণ, ঘ) কোনও উল্লেখযোগ্য পরিবর্তন করা হয়নি</v>
      </c>
      <c r="L80" s="10" t="str">
        <f>IFERROR(__xludf.DUMMYFUNCTION("GOOGLETRANSLATE(D80, ""en"", ""bn"")"),"ঘ) কোন উল্লেখযোগ্য পরিবর্তন করা হয়নি")</f>
        <v>ঘ) কোন উল্লেখযোগ্য পরিবর্তন করা হয়নি</v>
      </c>
      <c r="M80" s="10" t="str">
        <f>IFERROR(__xludf.DUMMYFUNCTION("GOOGLETRANSLATE(E80, ""en"", ""bn"")"),"অন্যান্য খেলাধুলার উপর ব্রিটিশ প্রভাব থাকা সত্ত্বেও, খেলাটির সরঞ্জাম মূলত অপরিবর্তিত ছিল, ঐতিহ্যবাহী, গ্রামীণ চরিত্র বজায় রেখেছিল।")</f>
        <v>অন্যান্য খেলাধুলার উপর ব্রিটিশ প্রভাব থাকা সত্ত্বেও, খেলাটির সরঞ্জাম মূলত অপরিবর্তিত ছিল, ঐতিহ্যবাহী, গ্রামীণ চরিত্র বজায় রেখেছিল।</v>
      </c>
    </row>
    <row r="81">
      <c r="A81" s="7">
        <v>80.0</v>
      </c>
      <c r="B81" s="7" t="s">
        <v>812</v>
      </c>
      <c r="C81" s="7" t="s">
        <v>813</v>
      </c>
      <c r="D81" s="7" t="s">
        <v>814</v>
      </c>
      <c r="E81" s="7" t="s">
        <v>815</v>
      </c>
      <c r="I81" s="10" t="str">
        <f>IFERROR(__xludf.DUMMYFUNCTION("GOOGLETRANSLATE(A81, ""en"", ""bn"")"),"৮০")</f>
        <v>৮০</v>
      </c>
      <c r="J81" s="10" t="str">
        <f>IFERROR(__xludf.DUMMYFUNCTION("GOOGLETRANSLATE(B81, ""en"", ""bn"")"),"ঐতিহাসিকভাবে, দাড়িবান্ধা খেলার সময় সবচেয়ে সাধারণ কোন ধরণের আঘাত লেগেছিল?")</f>
        <v>ঐতিহাসিকভাবে, দাড়িবান্ধা খেলার সময় সবচেয়ে সাধারণ কোন ধরণের আঘাত লেগেছিল?</v>
      </c>
      <c r="K81" s="10" t="str">
        <f>IFERROR(__xludf.DUMMYFUNCTION("GOOGLETRANSLATE(C81, ""en"", ""bn"")"),"ক) ভাঙা হাড়, খ) মচকানো এবং পেশীতে টান, গ) মাথায় আঘাত, ঘ) কাটা এবং ক্ষত")</f>
        <v>ক) ভাঙা হাড়, খ) মচকানো এবং পেশীতে টান, গ) মাথায় আঘাত, ঘ) কাটা এবং ক্ষত</v>
      </c>
      <c r="L81" s="10" t="str">
        <f>IFERROR(__xludf.DUMMYFUNCTION("GOOGLETRANSLATE(D81, ""en"", ""bn"")"),"খ) মচকানো এবং পেশীতে টান")</f>
        <v>খ) মচকানো এবং পেশীতে টান</v>
      </c>
      <c r="M81" s="10" t="str">
        <f>IFERROR(__xludf.DUMMYFUNCTION("GOOGLETRANSLATE(E81, ""en"", ""bn"")"),"খেলার প্রকৃতির কারণে, সবচেয়ে সাধারণ ঐতিহাসিক আঘাতগুলি ছিল তীব্র টানার কারণে পেশীতে টান এবং মচকে যাওয়া।")</f>
        <v>খেলার প্রকৃতির কারণে, সবচেয়ে সাধারণ ঐতিহাসিক আঘাতগুলি ছিল তীব্র টানার কারণে পেশীতে টান এবং মচকে যাওয়া।</v>
      </c>
    </row>
    <row r="82">
      <c r="A82" s="7">
        <v>81.0</v>
      </c>
      <c r="B82" s="7" t="s">
        <v>816</v>
      </c>
      <c r="C82" s="7" t="s">
        <v>817</v>
      </c>
      <c r="D82" s="7" t="s">
        <v>818</v>
      </c>
      <c r="E82" s="7" t="s">
        <v>819</v>
      </c>
      <c r="I82" s="10" t="str">
        <f>IFERROR(__xludf.DUMMYFUNCTION("GOOGLETRANSLATE(A82, ""en"", ""bn"")"),"৮১")</f>
        <v>৮১</v>
      </c>
      <c r="J82" s="10" t="str">
        <f>IFERROR(__xludf.DUMMYFUNCTION("GOOGLETRANSLATE(B82, ""en"", ""bn"")"),"দাড়িবান্ধা ম্যাচ শুরুর সাথে কোন ঐতিহাসিক ঐতিহ্য জড়িত ছিল?")</f>
        <v>দাড়িবান্ধা ম্যাচ শুরুর সাথে কোন ঐতিহাসিক ঐতিহ্য জড়িত ছিল?</v>
      </c>
      <c r="K82" s="10" t="str">
        <f>IFERROR(__xludf.DUMMYFUNCTION("GOOGLETRANSLATE(C82, ""en"", ""bn"")"),"ক) একটি বিশেষ প্রার্থনা, খ) একটি মুদ্রা ছুঁড়ে ফেলা, গ) একটি লোকসঙ্গীত, ঘ) একটি নৃত্য")</f>
        <v>ক) একটি বিশেষ প্রার্থনা, খ) একটি মুদ্রা ছুঁড়ে ফেলা, গ) একটি লোকসঙ্গীত, ঘ) একটি নৃত্য</v>
      </c>
      <c r="L82" s="10" t="str">
        <f>IFERROR(__xludf.DUMMYFUNCTION("GOOGLETRANSLATE(D82, ""en"", ""bn"")"),"ক) একটি বিশেষ প্রার্থনা")</f>
        <v>ক) একটি বিশেষ প্রার্থনা</v>
      </c>
      <c r="M82" s="10" t="str">
        <f>IFERROR(__xludf.DUMMYFUNCTION("GOOGLETRANSLATE(E82, ""en"", ""bn"")"),"অনেক সম্প্রদায়ে, খেলার আগে সৌভাগ্য কামনা করে এবং সুষ্ঠু খেলা নিশ্চিত করার জন্য একটি সংক্ষিপ্ত প্রার্থনা বা আচার অনুষ্ঠান করা হত।")</f>
        <v>অনেক সম্প্রদায়ে, খেলার আগে সৌভাগ্য কামনা করে এবং সুষ্ঠু খেলা নিশ্চিত করার জন্য একটি সংক্ষিপ্ত প্রার্থনা বা আচার অনুষ্ঠান করা হত।</v>
      </c>
    </row>
    <row r="83">
      <c r="A83" s="7">
        <v>82.0</v>
      </c>
      <c r="B83" s="7" t="s">
        <v>820</v>
      </c>
      <c r="C83" s="7" t="s">
        <v>821</v>
      </c>
      <c r="D83" s="7" t="s">
        <v>822</v>
      </c>
      <c r="E83" s="7" t="s">
        <v>823</v>
      </c>
      <c r="I83" s="10" t="str">
        <f>IFERROR(__xludf.DUMMYFUNCTION("GOOGLETRANSLATE(A83, ""en"", ""bn"")"),"৮২")</f>
        <v>৮২</v>
      </c>
      <c r="J83" s="10" t="str">
        <f>IFERROR(__xludf.DUMMYFUNCTION("GOOGLETRANSLATE(B83, ""en"", ""bn"")"),"স্থানীয়ভাবে পাট দিয়ে তৈরি দড়ি বা দড়ির ঐতিহাসিক তাৎপর্য কী ছিল?")</f>
        <v>স্থানীয়ভাবে পাট দিয়ে তৈরি দড়ি বা দড়ির ঐতিহাসিক তাৎপর্য কী ছিল?</v>
      </c>
      <c r="K83" s="10" t="str">
        <f>IFERROR(__xludf.DUMMYFUNCTION("GOOGLETRANSLATE(C83, ""en"", ""bn"")"),"ক) এটি খেলাটিকে স্থানীয় কৃষির প্রতীক করে তুলেছিল, খ) এটি সঠিক উপাদান খুঁজে বের করার জন্য শক্তির পরীক্ষা ছিল, গ) এটি একটি ব্যয়বহুল এবং বিরল জিনিস ছিল, ঘ) এটি একটি গ্রামের সম্পদের প্রতীক ছিল")</f>
        <v>ক) এটি খেলাটিকে স্থানীয় কৃষির প্রতীক করে তুলেছিল, খ) এটি সঠিক উপাদান খুঁজে বের করার জন্য শক্তির পরীক্ষা ছিল, গ) এটি একটি ব্যয়বহুল এবং বিরল জিনিস ছিল, ঘ) এটি একটি গ্রামের সম্পদের প্রতীক ছিল</v>
      </c>
      <c r="L83" s="10" t="str">
        <f>IFERROR(__xludf.DUMMYFUNCTION("GOOGLETRANSLATE(D83, ""en"", ""bn"")"),"ক) এটি খেলাটিকে স্থানীয় কৃষির প্রতীক করে তুলেছিল")</f>
        <v>ক) এটি খেলাটিকে স্থানীয় কৃষির প্রতীক করে তুলেছিল</v>
      </c>
      <c r="M83" s="10" t="str">
        <f>IFERROR(__xludf.DUMMYFUNCTION("GOOGLETRANSLATE(E83, ""en"", ""bn"")"),"প্রধান কৃষি পণ্য পাটের ব্যবহার স্থানীয় অর্থনীতি এবং গ্রামীণ জীবনযাত্রার সাথে খেলার বন্ধনকে দৃঢ় করে তুলেছিল।")</f>
        <v>প্রধান কৃষি পণ্য পাটের ব্যবহার স্থানীয় অর্থনীতি এবং গ্রামীণ জীবনযাত্রার সাথে খেলার বন্ধনকে দৃঢ় করে তুলেছিল।</v>
      </c>
    </row>
    <row r="84">
      <c r="A84" s="7">
        <v>83.0</v>
      </c>
      <c r="B84" s="7" t="s">
        <v>824</v>
      </c>
      <c r="C84" s="7" t="s">
        <v>825</v>
      </c>
      <c r="D84" s="7" t="s">
        <v>826</v>
      </c>
      <c r="E84" s="7" t="s">
        <v>827</v>
      </c>
      <c r="I84" s="10" t="str">
        <f>IFERROR(__xludf.DUMMYFUNCTION("GOOGLETRANSLATE(A84, ""en"", ""bn"")"),"৮৩")</f>
        <v>৮৩</v>
      </c>
      <c r="J84" s="10" t="str">
        <f>IFERROR(__xludf.DUMMYFUNCTION("GOOGLETRANSLATE(B84, ""en"", ""bn"")"),"ব্রিটিশ ঔপনিবেশিক আমল ঐতিহ্যবাহী দাড়িবান্ধা খেলার উপর কীভাবে প্রভাব ফেলেছিল?")</f>
        <v>ব্রিটিশ ঔপনিবেশিক আমল ঐতিহ্যবাহী দাড়িবান্ধা খেলার উপর কীভাবে প্রভাব ফেলেছিল?</v>
      </c>
      <c r="K84" s="10" t="str">
        <f>IFERROR(__xludf.DUMMYFUNCTION("GOOGLETRANSLATE(C84, ""en"", ""bn"")"),"ক) এটি নিষিদ্ধ করা হয়েছিল, খ) জনসংখ্যাকে ঐক্যবদ্ধ করার উপায় হিসেবে এটি প্রচার করা হয়েছিল, গ) এটি নতুনভাবে প্রবর্তিত পশ্চিমা খেলাধুলার প্রতিযোগিতার মুখোমুখি হয়েছিল, ঘ) এটি স্কুল পাঠ্যক্রমের একটি অংশ করা হয়েছিল")</f>
        <v>ক) এটি নিষিদ্ধ করা হয়েছিল, খ) জনসংখ্যাকে ঐক্যবদ্ধ করার উপায় হিসেবে এটি প্রচার করা হয়েছিল, গ) এটি নতুনভাবে প্রবর্তিত পশ্চিমা খেলাধুলার প্রতিযোগিতার মুখোমুখি হয়েছিল, ঘ) এটি স্কুল পাঠ্যক্রমের একটি অংশ করা হয়েছিল</v>
      </c>
      <c r="L84" s="10" t="str">
        <f>IFERROR(__xludf.DUMMYFUNCTION("GOOGLETRANSLATE(D84, ""en"", ""bn"")"),"গ) এটি নতুন প্রবর্তিত পশ্চিমা খেলাধুলার প্রতিযোগিতার মুখোমুখি হয়েছিল")</f>
        <v>গ) এটি নতুন প্রবর্তিত পশ্চিমা খেলাধুলার প্রতিযোগিতার মুখোমুখি হয়েছিল</v>
      </c>
      <c r="M84" s="10" t="str">
        <f>IFERROR(__xludf.DUMMYFUNCTION("GOOGLETRANSLATE(E84, ""en"", ""bn"")"),"ব্রিটিশরা ফুটবল এবং ক্রিকেটের মতো খেলাধুলা চালু করে, যা জনপ্রিয়তার জন্য দাড়িয়াবান্ধার মতো ঐতিহ্যবাহী খেলার সাথে প্রতিযোগিতা শুরু করে।")</f>
        <v>ব্রিটিশরা ফুটবল এবং ক্রিকেটের মতো খেলাধুলা চালু করে, যা জনপ্রিয়তার জন্য দাড়িয়াবান্ধার মতো ঐতিহ্যবাহী খেলার সাথে প্রতিযোগিতা শুরু করে।</v>
      </c>
    </row>
    <row r="85">
      <c r="A85" s="7">
        <v>84.0</v>
      </c>
      <c r="B85" s="7" t="s">
        <v>828</v>
      </c>
      <c r="C85" s="7" t="s">
        <v>829</v>
      </c>
      <c r="D85" s="7" t="s">
        <v>830</v>
      </c>
      <c r="E85" s="7" t="s">
        <v>831</v>
      </c>
      <c r="I85" s="10" t="str">
        <f>IFERROR(__xludf.DUMMYFUNCTION("GOOGLETRANSLATE(A85, ""en"", ""bn"")"),"৮৪")</f>
        <v>৮৪</v>
      </c>
      <c r="J85" s="10" t="str">
        <f>IFERROR(__xludf.DUMMYFUNCTION("GOOGLETRANSLATE(B85, ""en"", ""bn"")"),"দাড়িবান্ধা খেলায় নারীরা ঐতিহ্যগতভাবে কোন ঐতিহাসিক ভূমিকা পালন করেছিলেন?")</f>
        <v>দাড়িবান্ধা খেলায় নারীরা ঐতিহ্যগতভাবে কোন ঐতিহাসিক ভূমিকা পালন করেছিলেন?</v>
      </c>
      <c r="K85" s="10" t="str">
        <f>IFERROR(__xludf.DUMMYFUNCTION("GOOGLETRANSLATE(C85, ""en"", ""bn"")"),"ক) তারা অংশগ্রহণ করেনি, খ) তারা আলাদা দলে খেলেছে, গ) তারা মিশ্র-লিঙ্গের দলে খেলেছে, ঘ) তারা রেফারি ছিল")</f>
        <v>ক) তারা অংশগ্রহণ করেনি, খ) তারা আলাদা দলে খেলেছে, গ) তারা মিশ্র-লিঙ্গের দলে খেলেছে, ঘ) তারা রেফারি ছিল</v>
      </c>
      <c r="L85" s="10" t="str">
        <f>IFERROR(__xludf.DUMMYFUNCTION("GOOGLETRANSLATE(D85, ""en"", ""bn"")"),"খ) তারা আলাদা দলে খেলেছে")</f>
        <v>খ) তারা আলাদা দলে খেলেছে</v>
      </c>
      <c r="M85" s="10" t="str">
        <f>IFERROR(__xludf.DUMMYFUNCTION("GOOGLETRANSLATE(E85, ""en"", ""bn"")"),"পুরুষ ও মহিলারা দাড়িবান্ধা খেললেও, ঐতিহ্যগতভাবে এটি লিঙ্গ-বিভাজিত দলে খেলা হত।")</f>
        <v>পুরুষ ও মহিলারা দাড়িবান্ধা খেললেও, ঐতিহ্যগতভাবে এটি লিঙ্গ-বিভাজিত দলে খেলা হত।</v>
      </c>
    </row>
    <row r="86">
      <c r="A86" s="7">
        <v>85.0</v>
      </c>
      <c r="B86" s="7" t="s">
        <v>832</v>
      </c>
      <c r="C86" s="7" t="s">
        <v>833</v>
      </c>
      <c r="D86" s="7" t="s">
        <v>834</v>
      </c>
      <c r="E86" s="7" t="s">
        <v>835</v>
      </c>
      <c r="I86" s="10" t="str">
        <f>IFERROR(__xludf.DUMMYFUNCTION("GOOGLETRANSLATE(A86, ""en"", ""bn"")"),"৮৫")</f>
        <v>৮৫</v>
      </c>
      <c r="J86" s="10" t="str">
        <f>IFERROR(__xludf.DUMMYFUNCTION("GOOGLETRANSLATE(B86, ""en"", ""bn"")"),"দাড়িয়াবান্ধায় প্রতারণার সময় ধরা পড়া একজন খেলোয়াড়ের ঐতিহাসিক শাস্তি কী ছিল?")</f>
        <v>দাড়িয়াবান্ধায় প্রতারণার সময় ধরা পড়া একজন খেলোয়াড়ের ঐতিহাসিক শাস্তি কী ছিল?</v>
      </c>
      <c r="K86" s="10" t="str">
        <f>IFERROR(__xludf.DUMMYFUNCTION("GOOGLETRANSLATE(C86, ""en"", ""bn"")"),"ক) খেলা থেকে বহিষ্কার করা হবে, খ) জরিমানা করা হবে, গ) প্রকাশ্যে ক্ষমা চাওয়া হবে, ঘ) দলটি অযোগ্য ঘোষণা করা হবে।")</f>
        <v>ক) খেলা থেকে বহিষ্কার করা হবে, খ) জরিমানা করা হবে, গ) প্রকাশ্যে ক্ষমা চাওয়া হবে, ঘ) দলটি অযোগ্য ঘোষণা করা হবে।</v>
      </c>
      <c r="L86" s="10" t="str">
        <f>IFERROR(__xludf.DUMMYFUNCTION("GOOGLETRANSLATE(D86, ""en"", ""bn"")"),"ক) খেলা থেকে বাদ দেওয়া হচ্ছে")</f>
        <v>ক) খেলা থেকে বাদ দেওয়া হচ্ছে</v>
      </c>
      <c r="M86" s="10" t="str">
        <f>IFERROR(__xludf.DUMMYFUNCTION("GOOGLETRANSLATE(E86, ""en"", ""bn"")"),"সবচেয়ে সাধারণ ঐতিহাসিক শাস্তি ছিল খেলা থেকে সরানো, কারণ সম্প্রদায় নিজেদের মধ্যে ন্যায্যতা প্রয়োগ করবে।")</f>
        <v>সবচেয়ে সাধারণ ঐতিহাসিক শাস্তি ছিল খেলা থেকে সরানো, কারণ সম্প্রদায় নিজেদের মধ্যে ন্যায্যতা প্রয়োগ করবে।</v>
      </c>
    </row>
    <row r="87">
      <c r="A87" s="7">
        <v>86.0</v>
      </c>
      <c r="B87" s="7" t="s">
        <v>836</v>
      </c>
      <c r="C87" s="7" t="s">
        <v>837</v>
      </c>
      <c r="D87" s="7" t="s">
        <v>838</v>
      </c>
      <c r="E87" s="7" t="s">
        <v>839</v>
      </c>
      <c r="I87" s="10" t="str">
        <f>IFERROR(__xludf.DUMMYFUNCTION("GOOGLETRANSLATE(A87, ""en"", ""bn"")"),"৮৬")</f>
        <v>৮৬</v>
      </c>
      <c r="J87" s="10" t="str">
        <f>IFERROR(__xludf.DUMMYFUNCTION("GOOGLETRANSLATE(B87, ""en"", ""bn"")"),"দাড়িবান্ধার আধুনিক পুনরুত্থানের জন্য কোন ঐতিহাসিক পরিবর্তন সবচেয়ে বেশি দায়ী?")</f>
        <v>দাড়িবান্ধার আধুনিক পুনরুত্থানের জন্য কোন ঐতিহাসিক পরিবর্তন সবচেয়ে বেশি দায়ী?</v>
      </c>
      <c r="K87" s="10" t="str">
        <f>IFERROR(__xludf.DUMMYFUNCTION("GOOGLETRANSLATE(C87, ""en"", ""bn"")"),"ক) সরকারি তহবিল, খ) টিভি সম্প্রচার, গ) পর্যটন, ঘ) সামাজিক যোগাযোগ মাধ্যম এবং সাংস্কৃতিক উৎসবের মাধ্যমে সচেতনতা বৃদ্ধি")</f>
        <v>ক) সরকারি তহবিল, খ) টিভি সম্প্রচার, গ) পর্যটন, ঘ) সামাজিক যোগাযোগ মাধ্যম এবং সাংস্কৃতিক উৎসবের মাধ্যমে সচেতনতা বৃদ্ধি</v>
      </c>
      <c r="L87" s="10" t="str">
        <f>IFERROR(__xludf.DUMMYFUNCTION("GOOGLETRANSLATE(D87, ""en"", ""bn"")"),"ঘ) সামাজিক যোগাযোগ মাধ্যম এবং সাংস্কৃতিক উৎসবের মাধ্যমে সচেতনতা বৃদ্ধি")</f>
        <v>ঘ) সামাজিক যোগাযোগ মাধ্যম এবং সাংস্কৃতিক উৎসবের মাধ্যমে সচেতনতা বৃদ্ধি</v>
      </c>
      <c r="M87" s="10" t="str">
        <f>IFERROR(__xludf.DUMMYFUNCTION("GOOGLETRANSLATE(E87, ""en"", ""bn"")"),"সাম্প্রতিক বছরগুলিতে, সোশ্যাল মিডিয়া এবং সাংস্কৃতিক উৎসবগুলি খেলাটিকে আবারও আলোচনায় আনার ক্ষেত্রে গুরুত্বপূর্ণ ভূমিকা পালন করেছে।")</f>
        <v>সাম্প্রতিক বছরগুলিতে, সোশ্যাল মিডিয়া এবং সাংস্কৃতিক উৎসবগুলি খেলাটিকে আবারও আলোচনায় আনার ক্ষেত্রে গুরুত্বপূর্ণ ভূমিকা পালন করেছে।</v>
      </c>
    </row>
    <row r="88">
      <c r="A88" s="7">
        <v>87.0</v>
      </c>
      <c r="B88" s="7" t="s">
        <v>840</v>
      </c>
      <c r="C88" s="7" t="s">
        <v>841</v>
      </c>
      <c r="D88" s="7" t="s">
        <v>178</v>
      </c>
      <c r="E88" s="7" t="s">
        <v>842</v>
      </c>
      <c r="I88" s="10" t="str">
        <f>IFERROR(__xludf.DUMMYFUNCTION("GOOGLETRANSLATE(A88, ""en"", ""bn"")"),"৮৭")</f>
        <v>৮৭</v>
      </c>
      <c r="J88" s="10" t="str">
        <f>IFERROR(__xludf.DUMMYFUNCTION("GOOGLETRANSLATE(B88, ""en"", ""bn"")"),"শহরাঞ্চলে দাড়িবান্ধার পতনের পেছনে কোন ঐতিহাসিক কারণটি দায়ী ছিল?")</f>
        <v>শহরাঞ্চলে দাড়িবান্ধার পতনের পেছনে কোন ঐতিহাসিক কারণটি দায়ী ছিল?</v>
      </c>
      <c r="K88" s="10" t="str">
        <f>IFERROR(__xludf.DUMMYFUNCTION("GOOGLETRANSLATE(C88, ""en"", ""bn"")"),"ক) খোলা জায়গার অভাব, খ) জনসাধারণের সম্পৃক্ততার অভাব, গ) আধুনিক জীবনযাত্রার দিকে ঝুঁকতে হওয়া, ঘ) উপরের সবগুলোই")</f>
        <v>ক) খোলা জায়গার অভাব, খ) জনসাধারণের সম্পৃক্ততার অভাব, গ) আধুনিক জীবনযাত্রার দিকে ঝুঁকতে হওয়া, ঘ) উপরের সবগুলোই</v>
      </c>
      <c r="L88" s="10" t="str">
        <f>IFERROR(__xludf.DUMMYFUNCTION("GOOGLETRANSLATE(D88, ""en"", ""bn"")"),"ঘ) উপরের সবগুলো")</f>
        <v>ঘ) উপরের সবগুলো</v>
      </c>
      <c r="M88" s="10" t="str">
        <f>IFERROR(__xludf.DUMMYFUNCTION("GOOGLETRANSLATE(E88, ""en"", ""bn"")"),"খোলা জায়গার অভাব, সম্প্রদায়-ভিত্তিক কার্যকলাপে হ্রাস এবং আধুনিক বিনোদনের দিকে ঝুঁকির ফলে শহরাঞ্চলে এই খেলার পতন ঘটেছে।")</f>
        <v>খোলা জায়গার অভাব, সম্প্রদায়-ভিত্তিক কার্যকলাপে হ্রাস এবং আধুনিক বিনোদনের দিকে ঝুঁকির ফলে শহরাঞ্চলে এই খেলার পতন ঘটেছে।</v>
      </c>
    </row>
    <row r="89">
      <c r="A89" s="7">
        <v>88.0</v>
      </c>
      <c r="B89" s="7" t="s">
        <v>843</v>
      </c>
      <c r="C89" s="7" t="s">
        <v>844</v>
      </c>
      <c r="D89" s="7" t="s">
        <v>845</v>
      </c>
      <c r="E89" s="7" t="s">
        <v>846</v>
      </c>
      <c r="I89" s="10" t="str">
        <f>IFERROR(__xludf.DUMMYFUNCTION("GOOGLETRANSLATE(A89, ""en"", ""bn"")"),"৮৮")</f>
        <v>৮৮</v>
      </c>
      <c r="J89" s="10" t="str">
        <f>IFERROR(__xludf.DUMMYFUNCTION("GOOGLETRANSLATE(B89, ""en"", ""bn"")"),"দাড়িবান্ধা ম্যাচ জেতার সাথে সম্পর্কিত একটি সাধারণ ঐতিহাসিক কুসংস্কার বা বিশ্বাস কী ছিল?")</f>
        <v>দাড়িবান্ধা ম্যাচ জেতার সাথে সম্পর্কিত একটি সাধারণ ঐতিহাসিক কুসংস্কার বা বিশ্বাস কী ছিল?</v>
      </c>
      <c r="K89" s="10" t="str">
        <f>IFERROR(__xludf.DUMMYFUNCTION("GOOGLETRANSLATE(C89, ""en"", ""bn"")"),"ক) এটি পরবর্তী ফসলের জন্য সৌভাগ্য বয়ে আনবে, খ) এটি দলকে শক্তিশালী করবে, গ) এটি বৃষ্টি আনবে, ঘ) এটি ফসলের দাম বাড়িয়ে দেবে")</f>
        <v>ক) এটি পরবর্তী ফসলের জন্য সৌভাগ্য বয়ে আনবে, খ) এটি দলকে শক্তিশালী করবে, গ) এটি বৃষ্টি আনবে, ঘ) এটি ফসলের দাম বাড়িয়ে দেবে</v>
      </c>
      <c r="L89" s="10" t="str">
        <f>IFERROR(__xludf.DUMMYFUNCTION("GOOGLETRANSLATE(D89, ""en"", ""bn"")"),"ক) এটি পরবর্তী ফসলের জন্য সৌভাগ্য বয়ে আনবে")</f>
        <v>ক) এটি পরবর্তী ফসলের জন্য সৌভাগ্য বয়ে আনবে</v>
      </c>
      <c r="M89" s="10" t="str">
        <f>IFERROR(__xludf.DUMMYFUNCTION("GOOGLETRANSLATE(E89, ""en"", ""bn"")"),"কখনও কখনও বিশ্বাস করা হত যে ম্যাচ জেতা আগামী মৌসুমে গ্রামের জন্য সৌভাগ্য এবং প্রচুর ফসল বয়ে আনবে।")</f>
        <v>কখনও কখনও বিশ্বাস করা হত যে ম্যাচ জেতা আগামী মৌসুমে গ্রামের জন্য সৌভাগ্য এবং প্রচুর ফসল বয়ে আনবে।</v>
      </c>
    </row>
    <row r="90">
      <c r="A90" s="7">
        <v>89.0</v>
      </c>
      <c r="B90" s="7" t="s">
        <v>847</v>
      </c>
      <c r="C90" s="7" t="s">
        <v>848</v>
      </c>
      <c r="D90" s="7" t="s">
        <v>849</v>
      </c>
      <c r="E90" s="7" t="s">
        <v>850</v>
      </c>
      <c r="I90" s="10" t="str">
        <f>IFERROR(__xludf.DUMMYFUNCTION("GOOGLETRANSLATE(A90, ""en"", ""bn"")"),"৮৯")</f>
        <v>৮৯</v>
      </c>
      <c r="J90" s="10" t="str">
        <f>IFERROR(__xludf.DUMMYFUNCTION("GOOGLETRANSLATE(B90, ""en"", ""bn"")"),"বাংলার নবজাগরণের অংশ হিসেবে কোন ঐতিহাসিক ঘটনা ঐতিহ্যবাহী খেলাধুলা সংরক্ষণে সাহায্য করেছিল?")</f>
        <v>বাংলার নবজাগরণের অংশ হিসেবে কোন ঐতিহাসিক ঘটনা ঐতিহ্যবাহী খেলাধুলা সংরক্ষণে সাহায্য করেছিল?</v>
      </c>
      <c r="K90" s="10" t="str">
        <f>IFERROR(__xludf.DUMMYFUNCTION("GOOGLETRANSLATE(C90, ""en"", ""bn"")"),"ক) স্বদেশী আন্দোলন, খ) ব্রাহ্ম সমাজ আন্দোলন, গ) সিপাহী বিদ্রোহ, ঘ) বঙ্গভঙ্গ")</f>
        <v>ক) স্বদেশী আন্দোলন, খ) ব্রাহ্ম সমাজ আন্দোলন, গ) সিপাহী বিদ্রোহ, ঘ) বঙ্গভঙ্গ</v>
      </c>
      <c r="L90" s="10" t="str">
        <f>IFERROR(__xludf.DUMMYFUNCTION("GOOGLETRANSLATE(D90, ""en"", ""bn"")"),"ক) স্বদেশী আন্দোলন")</f>
        <v>ক) স্বদেশী আন্দোলন</v>
      </c>
      <c r="M90" s="10" t="str">
        <f>IFERROR(__xludf.DUMMYFUNCTION("GOOGLETRANSLATE(E90, ""en"", ""bn"")"),"স্বদেশী আন্দোলন, যা স্বনির্ভরতা এবং আদিবাসী সংস্কৃতি সংরক্ষণের উপর জোর দিয়েছিল, দাড়িয়াবান্ধার মতো ঐতিহ্যবাহী খেলাগুলিকেও প্রচার করতে সাহায্য করেছিল।")</f>
        <v>স্বদেশী আন্দোলন, যা স্বনির্ভরতা এবং আদিবাসী সংস্কৃতি সংরক্ষণের উপর জোর দিয়েছিল, দাড়িয়াবান্ধার মতো ঐতিহ্যবাহী খেলাগুলিকেও প্রচার করতে সাহায্য করেছিল।</v>
      </c>
    </row>
    <row r="91">
      <c r="A91" s="7">
        <v>90.0</v>
      </c>
      <c r="B91" s="7" t="s">
        <v>851</v>
      </c>
      <c r="C91" s="7" t="s">
        <v>852</v>
      </c>
      <c r="D91" s="7" t="s">
        <v>853</v>
      </c>
      <c r="E91" s="7" t="s">
        <v>854</v>
      </c>
      <c r="I91" s="10" t="str">
        <f>IFERROR(__xludf.DUMMYFUNCTION("GOOGLETRANSLATE(A91, ""en"", ""bn"")"),"৯০")</f>
        <v>৯০</v>
      </c>
      <c r="J91" s="10" t="str">
        <f>IFERROR(__xludf.DUMMYFUNCTION("GOOGLETRANSLATE(B91, ""en"", ""bn"")"),"ঐতিহাসিকভাবে, দাড়িবান্ধা ম্যাচে খেলোয়াড়দের প্রেরণার প্রাথমিক উৎস কী ছিল?")</f>
        <v>ঐতিহাসিকভাবে, দাড়িবান্ধা ম্যাচে খেলোয়াড়দের প্রেরণার প্রাথমিক উৎস কী ছিল?</v>
      </c>
      <c r="K91" s="10" t="str">
        <f>IFERROR(__xludf.DUMMYFUNCTION("GOOGLETRANSLATE(C91, ""en"", ""bn"")"),"ক) ব্যক্তিগত লাভ, খ) সম্প্রদায়ের গর্ব এবং সম্মান, গ) পৃষ্ঠপোষকতা অর্জন, ঘ) ব্যক্তিগত প্রতিহিংসা নিষ্পত্তি করা")</f>
        <v>ক) ব্যক্তিগত লাভ, খ) সম্প্রদায়ের গর্ব এবং সম্মান, গ) পৃষ্ঠপোষকতা অর্জন, ঘ) ব্যক্তিগত প্রতিহিংসা নিষ্পত্তি করা</v>
      </c>
      <c r="L91" s="10" t="str">
        <f>IFERROR(__xludf.DUMMYFUNCTION("GOOGLETRANSLATE(D91, ""en"", ""bn"")"),"খ) সম্প্রদায়ের গর্ব এবং সম্মান")</f>
        <v>খ) সম্প্রদায়ের গর্ব এবং সম্মান</v>
      </c>
      <c r="M91" s="10" t="str">
        <f>IFERROR(__xludf.DUMMYFUNCTION("GOOGLETRANSLATE(E91, ""en"", ""bn"")"),"খেলোয়াড়দের প্রাথমিক প্রেরণা ছিল সর্বদা সম্মিলিত প্রচেষ্টা এবং জয়ের মাধ্যমে তাদের গ্রাম বা দলের জন্য সম্মান বয়ে আনা।")</f>
        <v>খেলোয়াড়দের প্রাথমিক প্রেরণা ছিল সর্বদা সম্মিলিত প্রচেষ্টা এবং জয়ের মাধ্যমে তাদের গ্রাম বা দলের জন্য সম্মান বয়ে আনা।</v>
      </c>
    </row>
    <row r="92">
      <c r="A92" s="7">
        <v>91.0</v>
      </c>
      <c r="B92" s="7" t="s">
        <v>855</v>
      </c>
      <c r="C92" s="7" t="s">
        <v>856</v>
      </c>
      <c r="D92" s="7" t="s">
        <v>857</v>
      </c>
      <c r="E92" s="7" t="s">
        <v>858</v>
      </c>
      <c r="I92" s="10" t="str">
        <f>IFERROR(__xludf.DUMMYFUNCTION("GOOGLETRANSLATE(A92, ""en"", ""bn"")"),"৯১")</f>
        <v>৯১</v>
      </c>
      <c r="J92" s="10" t="str">
        <f>IFERROR(__xludf.DUMMYFUNCTION("GOOGLETRANSLATE(B92, ""en"", ""bn"")"),"দাড়িবান্ধা এবং কাবাডির মতো দক্ষিণ এশীয় অন্যান্য খেলার মধ্যে কোন ঐতিহাসিক সাদৃশ্য টানা যেতে পারে?")</f>
        <v>দাড়িবান্ধা এবং কাবাডির মতো দক্ষিণ এশীয় অন্যান্য খেলার মধ্যে কোন ঐতিহাসিক সাদৃশ্য টানা যেতে পারে?</v>
      </c>
      <c r="K92" s="10" t="str">
        <f>IFERROR(__xludf.DUMMYFUNCTION("GOOGLETRANSLATE(C92, ""en"", ""bn"")"),"ক) উভয়ের উৎপত্তি বাংলাদেশে, খ) উভয়ই স্পর্শকাতর খেলা, গ) উভয়ই দলগত কাজ এবং শারীরিক শক্তির উপর জোর দেয়, ঘ) উভয়ই দড়ি ব্যবহার করে")</f>
        <v>ক) উভয়ের উৎপত্তি বাংলাদেশে, খ) উভয়ই স্পর্শকাতর খেলা, গ) উভয়ই দলগত কাজ এবং শারীরিক শক্তির উপর জোর দেয়, ঘ) উভয়ই দড়ি ব্যবহার করে</v>
      </c>
      <c r="L92" s="10" t="str">
        <f>IFERROR(__xludf.DUMMYFUNCTION("GOOGLETRANSLATE(D92, ""en"", ""bn"")"),"গ) উভয়ই দলগত কাজ এবং শারীরিক শক্তির উপর জোর দেয়")</f>
        <v>গ) উভয়ই দলগত কাজ এবং শারীরিক শক্তির উপর জোর দেয়</v>
      </c>
      <c r="M92" s="10" t="str">
        <f>IFERROR(__xludf.DUMMYFUNCTION("GOOGLETRANSLATE(E92, ""en"", ""bn"")"),"কাবাডির মতো, দাড়িবান্ধা এমন একটি খেলা যা জয়ের জন্য একটি দলের সম্মিলিত শারীরিক শক্তি এবং সমন্বয়ের উপর অনেক বেশি নির্ভর করে।")</f>
        <v>কাবাডির মতো, দাড়িবান্ধা এমন একটি খেলা যা জয়ের জন্য একটি দলের সম্মিলিত শারীরিক শক্তি এবং সমন্বয়ের উপর অনেক বেশি নির্ভর করে।</v>
      </c>
    </row>
    <row r="93">
      <c r="A93" s="7">
        <v>92.0</v>
      </c>
      <c r="B93" s="7" t="s">
        <v>859</v>
      </c>
      <c r="C93" s="7" t="s">
        <v>860</v>
      </c>
      <c r="D93" s="7" t="s">
        <v>861</v>
      </c>
      <c r="E93" s="7" t="s">
        <v>862</v>
      </c>
      <c r="I93" s="10" t="str">
        <f>IFERROR(__xludf.DUMMYFUNCTION("GOOGLETRANSLATE(A93, ""en"", ""bn"")"),"৯২")</f>
        <v>৯২</v>
      </c>
      <c r="J93" s="10" t="str">
        <f>IFERROR(__xludf.DUMMYFUNCTION("GOOGLETRANSLATE(B93, ""en"", ""bn"")"),"ঐতিহাসিকভাবে, দাড়িবান্ধা ম্যাচটি দিনের সবচেয়ে সাধারণ সময় কোনটি ছিল?")</f>
        <v>ঐতিহাসিকভাবে, দাড়িবান্ধা ম্যাচটি দিনের সবচেয়ে সাধারণ সময় কোনটি ছিল?</v>
      </c>
      <c r="K93" s="10" t="str">
        <f>IFERROR(__xludf.DUMMYFUNCTION("GOOGLETRANSLATE(C93, ""en"", ""bn"")"),"ক) ভোরবেলা, খ) দুপুর, গ) শেষ বিকেল বা সন্ধ্যা, ঘ) মধ্যরাতের পরে")</f>
        <v>ক) ভোরবেলা, খ) দুপুর, গ) শেষ বিকেল বা সন্ধ্যা, ঘ) মধ্যরাতের পরে</v>
      </c>
      <c r="L93" s="10" t="str">
        <f>IFERROR(__xludf.DUMMYFUNCTION("GOOGLETRANSLATE(D93, ""en"", ""bn"")"),"গ) বিকেলের শেষ বা সন্ধ্যায়")</f>
        <v>গ) বিকেলের শেষ বা সন্ধ্যায়</v>
      </c>
      <c r="M93" s="10" t="str">
        <f>IFERROR(__xludf.DUMMYFUNCTION("GOOGLETRANSLATE(E93, ""en"", ""bn"")"),"ঐতিহ্যগতভাবে, যখন রোদ খুব বেশি গরম থাকত না এবং গ্রামবাসীরা তাদের দৈনন্দিন কাজ থেকে মুক্ত থাকত, তখন বিকেলের শেষের দিকে বা সন্ধ্যার প্রথম দিকে ম্যাচ খেলা হত।")</f>
        <v>ঐতিহ্যগতভাবে, যখন রোদ খুব বেশি গরম থাকত না এবং গ্রামবাসীরা তাদের দৈনন্দিন কাজ থেকে মুক্ত থাকত, তখন বিকেলের শেষের দিকে বা সন্ধ্যার প্রথম দিকে ম্যাচ খেলা হত।</v>
      </c>
    </row>
    <row r="94">
      <c r="A94" s="7">
        <v>93.0</v>
      </c>
      <c r="B94" s="7" t="s">
        <v>863</v>
      </c>
      <c r="C94" s="7" t="s">
        <v>864</v>
      </c>
      <c r="D94" s="7" t="s">
        <v>865</v>
      </c>
      <c r="E94" s="7" t="s">
        <v>866</v>
      </c>
      <c r="I94" s="10" t="str">
        <f>IFERROR(__xludf.DUMMYFUNCTION("GOOGLETRANSLATE(A94, ""en"", ""bn"")"),"৯৩")</f>
        <v>৯৩</v>
      </c>
      <c r="J94" s="10" t="str">
        <f>IFERROR(__xludf.DUMMYFUNCTION("GOOGLETRANSLATE(B94, ""en"", ""bn"")"),"খেলার সময় উচ্চস্বরে উল্লাস এবং চিৎকারের ঐতিহাসিক তাৎপর্য কী ছিল?")</f>
        <v>খেলার সময় উচ্চস্বরে উল্লাস এবং চিৎকারের ঐতিহাসিক তাৎপর্য কী ছিল?</v>
      </c>
      <c r="K94" s="10" t="str">
        <f>IFERROR(__xludf.DUMMYFUNCTION("GOOGLETRANSLATE(C94, ""en"", ""bn"")"),"ক) এটি ছিল প্রতিপক্ষকে ভয় দেখানোর একটি উপায়, খ) এটি ছিল রেফারিকে বিভ্রান্ত করার একটি উপায়, গ) এটি ছিল দলীয় মনোভাব দেখানোর এবং প্রতিপক্ষকে ভয় দেখানোর একটি উপায়, ঘ) এটি ছিল একটি ঐতিহাসিক ঐতিহ্য যার কোন বাস্তব অর্থ নেই।")</f>
        <v>ক) এটি ছিল প্রতিপক্ষকে ভয় দেখানোর একটি উপায়, খ) এটি ছিল রেফারিকে বিভ্রান্ত করার একটি উপায়, গ) এটি ছিল দলীয় মনোভাব দেখানোর এবং প্রতিপক্ষকে ভয় দেখানোর একটি উপায়, ঘ) এটি ছিল একটি ঐতিহাসিক ঐতিহ্য যার কোন বাস্তব অর্থ নেই।</v>
      </c>
      <c r="L94" s="10" t="str">
        <f>IFERROR(__xludf.DUMMYFUNCTION("GOOGLETRANSLATE(D94, ""en"", ""bn"")"),"ক) এটি ছিল বিরোধীদের ভয় দেখানোর একটি উপায়")</f>
        <v>ক) এটি ছিল বিরোধীদের ভয় দেখানোর একটি উপায়</v>
      </c>
      <c r="M94" s="10" t="str">
        <f>IFERROR(__xludf.DUMMYFUNCTION("GOOGLETRANSLATE(E94, ""en"", ""bn"")"),"দর্শকদের উচ্চস্বরে এবং উচ্ছ্বসিত উল্লাস খেলার একটি ঐতিহাসিক অংশ ছিল, যার উদ্দেশ্য ছিল তাদের দলকে উজ্জীবিত করা এবং প্রতিপক্ষকে ভয় দেখানো।")</f>
        <v>দর্শকদের উচ্চস্বরে এবং উচ্ছ্বসিত উল্লাস খেলার একটি ঐতিহাসিক অংশ ছিল, যার উদ্দেশ্য ছিল তাদের দলকে উজ্জীবিত করা এবং প্রতিপক্ষকে ভয় দেখানো।</v>
      </c>
    </row>
    <row r="95">
      <c r="A95" s="7">
        <v>94.0</v>
      </c>
      <c r="B95" s="7" t="s">
        <v>867</v>
      </c>
      <c r="C95" s="7" t="s">
        <v>868</v>
      </c>
      <c r="D95" s="7" t="s">
        <v>869</v>
      </c>
      <c r="E95" s="7" t="s">
        <v>870</v>
      </c>
      <c r="I95" s="10" t="str">
        <f>IFERROR(__xludf.DUMMYFUNCTION("GOOGLETRANSLATE(A95, ""en"", ""bn"")"),"৯৪")</f>
        <v>৯৪</v>
      </c>
      <c r="J95" s="10" t="str">
        <f>IFERROR(__xludf.DUMMYFUNCTION("GOOGLETRANSLATE(B95, ""en"", ""bn"")"),"কোন ঐতিহাসিক পরিবর্তনের ফলে দাড়িবান্ধার জন্য নিয়মকানুন ও আদালতের আনুষ্ঠানিক রূপ লাভ হয়েছিল?")</f>
        <v>কোন ঐতিহাসিক পরিবর্তনের ফলে দাড়িবান্ধার জন্য নিয়মকানুন ও আদালতের আনুষ্ঠানিক রূপ লাভ হয়েছিল?</v>
      </c>
      <c r="K95" s="10" t="str">
        <f>IFERROR(__xludf.DUMMYFUNCTION("GOOGLETRANSLATE(C95, ""en"", ""bn"")"),"ক) স্কুল ক্রীড়ায় এর অন্তর্ভুক্তি, খ) এর পেশাদারিত্ব, গ) সরকারি নিয়ন্ত্রণ, ঘ) জাতীয় ক্রীড়া সংস্থা গঠন")</f>
        <v>ক) স্কুল ক্রীড়ায় এর অন্তর্ভুক্তি, খ) এর পেশাদারিত্ব, গ) সরকারি নিয়ন্ত্রণ, ঘ) জাতীয় ক্রীড়া সংস্থা গঠন</v>
      </c>
      <c r="L95" s="10" t="str">
        <f>IFERROR(__xludf.DUMMYFUNCTION("GOOGLETRANSLATE(D95, ""en"", ""bn"")"),"ঘ) জাতীয় ক্রীড়া সংস্থা গঠন")</f>
        <v>ঘ) জাতীয় ক্রীড়া সংস্থা গঠন</v>
      </c>
      <c r="M95" s="10" t="str">
        <f>IFERROR(__xludf.DUMMYFUNCTION("GOOGLETRANSLATE(E95, ""en"", ""bn"")"),"বাংলাদেশে জাতীয় ক্রীড়া সংস্থা প্রতিষ্ঠার ফলে খেলার নিয়মকানুন এবং খেলার ক্ষেত্র আনুষ্ঠানিকভাবে প্রতিষ্ঠিত হয়।")</f>
        <v>বাংলাদেশে জাতীয় ক্রীড়া সংস্থা প্রতিষ্ঠার ফলে খেলার নিয়মকানুন এবং খেলার ক্ষেত্র আনুষ্ঠানিকভাবে প্রতিষ্ঠিত হয়।</v>
      </c>
    </row>
    <row r="96">
      <c r="A96" s="7">
        <v>95.0</v>
      </c>
      <c r="B96" s="7" t="s">
        <v>871</v>
      </c>
      <c r="C96" s="7" t="s">
        <v>872</v>
      </c>
      <c r="D96" s="7" t="s">
        <v>873</v>
      </c>
      <c r="E96" s="7" t="s">
        <v>874</v>
      </c>
      <c r="I96" s="10" t="str">
        <f>IFERROR(__xludf.DUMMYFUNCTION("GOOGLETRANSLATE(A96, ""en"", ""bn"")"),"৯৫")</f>
        <v>৯৫</v>
      </c>
      <c r="J96" s="10" t="str">
        <f>IFERROR(__xludf.DUMMYFUNCTION("GOOGLETRANSLATE(B96, ""en"", ""bn"")"),"ঐতিহাসিক প্রেক্ষাপটে, মাঠের মাঝখানে দরিয়া বা রেখার ভূমিকা কী ছিল?")</f>
        <v>ঐতিহাসিক প্রেক্ষাপটে, মাঠের মাঝখানে দরিয়া বা রেখার ভূমিকা কী ছিল?</v>
      </c>
      <c r="K96" s="10" t="str">
        <f>IFERROR(__xludf.DUMMYFUNCTION("GOOGLETRANSLATE(C96, ""en"", ""bn"")"),"A) এটি একটি ঐচ্ছিক লাইন ছিল, B) এটি একটি মার্কার ছিল যা দেখায় যে কোন দলে বেশি খেলোয়াড় রয়েছে, C) এটি একটি রূপক সীমানা ছিল যা অতিক্রম করার চ্যালেঞ্জকে প্রতিনিধিত্ব করে, D) এটি রেফারির দাঁড়ানোর জায়গা ছিল")</f>
        <v>A) এটি একটি ঐচ্ছিক লাইন ছিল, B) এটি একটি মার্কার ছিল যা দেখায় যে কোন দলে বেশি খেলোয়াড় রয়েছে, C) এটি একটি রূপক সীমানা ছিল যা অতিক্রম করার চ্যালেঞ্জকে প্রতিনিধিত্ব করে, D) এটি রেফারির দাঁড়ানোর জায়গা ছিল</v>
      </c>
      <c r="L96" s="10" t="str">
        <f>IFERROR(__xludf.DUMMYFUNCTION("GOOGLETRANSLATE(D96, ""en"", ""bn"")"),"গ) এটি একটি রূপক সীমানা ছিল যা অতিক্রম করার জন্য একটি চ্যালেঞ্জকে প্রতিনিধিত্ব করে")</f>
        <v>গ) এটি একটি রূপক সীমানা ছিল যা অতিক্রম করার জন্য একটি চ্যালেঞ্জকে প্রতিনিধিত্ব করে</v>
      </c>
      <c r="M96" s="10" t="str">
        <f>IFERROR(__xludf.DUMMYFUNCTION("GOOGLETRANSLATE(E96, ""en"", ""bn"")"),"কেন্দ্রীয় রেখাটি কেবল একটি সীমানা ছিল না; এটি ছিল একটি প্রতীকী চ্যালেঞ্জ যা দলগুলিকে ঐক্য এবং শক্তির মাধ্যমে অতিক্রম করতে হয়েছিল।")</f>
        <v>কেন্দ্রীয় রেখাটি কেবল একটি সীমানা ছিল না; এটি ছিল একটি প্রতীকী চ্যালেঞ্জ যা দলগুলিকে ঐক্য এবং শক্তির মাধ্যমে অতিক্রম করতে হয়েছিল।</v>
      </c>
    </row>
    <row r="97">
      <c r="A97" s="7">
        <v>96.0</v>
      </c>
      <c r="B97" s="7" t="s">
        <v>875</v>
      </c>
      <c r="C97" s="7" t="s">
        <v>876</v>
      </c>
      <c r="D97" s="7" t="s">
        <v>877</v>
      </c>
      <c r="E97" s="7" t="s">
        <v>878</v>
      </c>
      <c r="I97" s="10" t="str">
        <f>IFERROR(__xludf.DUMMYFUNCTION("GOOGLETRANSLATE(A97, ""en"", ""bn"")"),"৯৬")</f>
        <v>৯৬</v>
      </c>
      <c r="J97" s="10" t="str">
        <f>IFERROR(__xludf.DUMMYFUNCTION("GOOGLETRANSLATE(B97, ""en"", ""bn"")"),"দাড়িবান্ধার কোন ঐতিহাসিক দিকটি এটিকে সাংস্কৃতিক বিনিময়ের এক অনন্য রূপ করে তোলে?")</f>
        <v>দাড়িবান্ধার কোন ঐতিহাসিক দিকটি এটিকে সাংস্কৃতিক বিনিময়ের এক অনন্য রূপ করে তোলে?</v>
      </c>
      <c r="K97" s="10" t="str">
        <f>IFERROR(__xludf.DUMMYFUNCTION("GOOGLETRANSLATE(C97, ""en"", ""bn"")"),"ক) এটি শুধুমাত্র একটি গ্রামে খেলা হত, খ) এটি বিভিন্ন গ্রাম বা সম্প্রদায়ের মধ্যে খেলা হত, গ) এটি কেবল শান্তির সময় খেলা হত, ঘ) এটি কেবল যুদ্ধের সময় খেলা হত")</f>
        <v>ক) এটি শুধুমাত্র একটি গ্রামে খেলা হত, খ) এটি বিভিন্ন গ্রাম বা সম্প্রদায়ের মধ্যে খেলা হত, গ) এটি কেবল শান্তির সময় খেলা হত, ঘ) এটি কেবল যুদ্ধের সময় খেলা হত</v>
      </c>
      <c r="L97" s="10" t="str">
        <f>IFERROR(__xludf.DUMMYFUNCTION("GOOGLETRANSLATE(D97, ""en"", ""bn"")"),"খ) এটি বিভিন্ন গ্রাম বা সম্প্রদায়ের মধ্যে খেলা হত")</f>
        <v>খ) এটি বিভিন্ন গ্রাম বা সম্প্রদায়ের মধ্যে খেলা হত</v>
      </c>
      <c r="M97" s="10" t="str">
        <f>IFERROR(__xludf.DUMMYFUNCTION("GOOGLETRANSLATE(E97, ""en"", ""bn"")"),"ঐতিহাসিকভাবে দাড়িবান্ধা ছিল বিভিন্ন গ্রাম এবং সম্প্রদায়ের মধ্যে বন্ধুত্বপূর্ণ, প্রতিযোগিতামূলক পরিবেশে যোগাযোগের একটি মাধ্যম।")</f>
        <v>ঐতিহাসিকভাবে দাড়িবান্ধা ছিল বিভিন্ন গ্রাম এবং সম্প্রদায়ের মধ্যে বন্ধুত্বপূর্ণ, প্রতিযোগিতামূলক পরিবেশে যোগাযোগের একটি মাধ্যম।</v>
      </c>
    </row>
    <row r="98">
      <c r="A98" s="7">
        <v>97.0</v>
      </c>
      <c r="B98" s="7" t="s">
        <v>879</v>
      </c>
      <c r="C98" s="7" t="s">
        <v>880</v>
      </c>
      <c r="D98" s="7" t="s">
        <v>881</v>
      </c>
      <c r="E98" s="7" t="s">
        <v>882</v>
      </c>
      <c r="I98" s="10" t="str">
        <f>IFERROR(__xludf.DUMMYFUNCTION("GOOGLETRANSLATE(A98, ""en"", ""bn"")"),"৯৭")</f>
        <v>৯৭</v>
      </c>
      <c r="J98" s="10" t="str">
        <f>IFERROR(__xludf.DUMMYFUNCTION("GOOGLETRANSLATE(B98, ""en"", ""bn"")"),"কৃষকদের ফসল কাটার পরের চাপ কমাতে ঐতিহাসিকভাবে দাড়িয়াবান্ধা কীভাবে সাহায্য করেছিল?")</f>
        <v>কৃষকদের ফসল কাটার পরের চাপ কমাতে ঐতিহাসিকভাবে দাড়িয়াবান্ধা কীভাবে সাহায্য করেছিল?</v>
      </c>
      <c r="K98" s="10" t="str">
        <f>IFERROR(__xludf.DUMMYFUNCTION("GOOGLETRANSLATE(C98, ""en"", ""bn"")"),"ক) এটি ছিল একটি শারীরিকভাবে আরামদায়ক কার্যকলাপ, খ) এটি উদযাপনের একটি বিনোদনমূলক এবং মজাদার উপায় ছিল, গ) এটি ছিল ধ্যানের একটি রূপ, ঘ) এটি ছিল অতিরিক্ত অর্থ উপার্জনের একটি উপায়।")</f>
        <v>ক) এটি ছিল একটি শারীরিকভাবে আরামদায়ক কার্যকলাপ, খ) এটি উদযাপনের একটি বিনোদনমূলক এবং মজাদার উপায় ছিল, গ) এটি ছিল ধ্যানের একটি রূপ, ঘ) এটি ছিল অতিরিক্ত অর্থ উপার্জনের একটি উপায়।</v>
      </c>
      <c r="L98" s="10" t="str">
        <f>IFERROR(__xludf.DUMMYFUNCTION("GOOGLETRANSLATE(D98, ""en"", ""bn"")"),"খ) এটি উদযাপনের একটি বিনোদনমূলক এবং মজাদার উপায় ছিল")</f>
        <v>খ) এটি উদযাপনের একটি বিনোদনমূলক এবং মজাদার উপায় ছিল</v>
      </c>
      <c r="M98" s="10" t="str">
        <f>IFERROR(__xludf.DUMMYFUNCTION("GOOGLETRANSLATE(E98, ""en"", ""bn"")"),"কঠোর ফসল কাটার পর, খেলাটি কৃষকদের আরাম করার, উদযাপন করার এবং তাদের সম্প্রদায়ের সাথে বন্ধনের জন্য একটি অত্যন্ত প্রয়োজনীয় পথ প্রদান করেছিল।")</f>
        <v>কঠোর ফসল কাটার পর, খেলাটি কৃষকদের আরাম করার, উদযাপন করার এবং তাদের সম্প্রদায়ের সাথে বন্ধনের জন্য একটি অত্যন্ত প্রয়োজনীয় পথ প্রদান করেছিল।</v>
      </c>
    </row>
    <row r="99">
      <c r="A99" s="7">
        <v>98.0</v>
      </c>
      <c r="B99" s="7" t="s">
        <v>883</v>
      </c>
      <c r="C99" s="7" t="s">
        <v>884</v>
      </c>
      <c r="D99" s="7" t="s">
        <v>178</v>
      </c>
      <c r="E99" s="7" t="s">
        <v>885</v>
      </c>
      <c r="I99" s="10" t="str">
        <f>IFERROR(__xludf.DUMMYFUNCTION("GOOGLETRANSLATE(A99, ""en"", ""bn"")"),"৯৮")</f>
        <v>৯৮</v>
      </c>
      <c r="J99" s="10" t="str">
        <f>IFERROR(__xludf.DUMMYFUNCTION("GOOGLETRANSLATE(B99, ""en"", ""bn"")"),"একজন মুখ্য (গ্রামের প্রবীণ) খেলাটি তদারকি করার ঐতিহাসিক উদ্দেশ্য কী ছিল?")</f>
        <v>একজন মুখ্য (গ্রামের প্রবীণ) খেলাটি তদারকি করার ঐতিহাসিক উদ্দেশ্য কী ছিল?</v>
      </c>
      <c r="K99" s="10" t="str">
        <f>IFERROR(__xludf.DUMMYFUNCTION("GOOGLETRANSLATE(C99, ""en"", ""bn"")"),"ক) নিয়ম মেনে চলা নিশ্চিত করা, খ) যেকোনো বিরোধ নিষ্পত্তি করা, গ) খেলোয়াড়দের নির্দেশনা প্রদান করা, ঘ) উপরের সমস্ত")</f>
        <v>ক) নিয়ম মেনে চলা নিশ্চিত করা, খ) যেকোনো বিরোধ নিষ্পত্তি করা, গ) খেলোয়াড়দের নির্দেশনা প্রদান করা, ঘ) উপরের সমস্ত</v>
      </c>
      <c r="L99" s="10" t="str">
        <f>IFERROR(__xludf.DUMMYFUNCTION("GOOGLETRANSLATE(D99, ""en"", ""bn"")"),"ঘ) উপরের সবগুলো")</f>
        <v>ঘ) উপরের সবগুলো</v>
      </c>
      <c r="M99" s="10" t="str">
        <f>IFERROR(__xludf.DUMMYFUNCTION("GOOGLETRANSLATE(E99, ""en"", ""bn"")"),"মুখ্যের ভূমিকা ছিল ব্যাপক, ন্যায্যতা নিশ্চিত করা, দ্বন্দ্ব নিরসন করা এবং দলগুলিকে নির্দেশনা দেওয়া, এইভাবে খেলার অখণ্ডতা রক্ষা করা।")</f>
        <v>মুখ্যের ভূমিকা ছিল ব্যাপক, ন্যায্যতা নিশ্চিত করা, দ্বন্দ্ব নিরসন করা এবং দলগুলিকে নির্দেশনা দেওয়া, এইভাবে খেলার অখণ্ডতা রক্ষা করা।</v>
      </c>
    </row>
    <row r="100">
      <c r="A100" s="7">
        <v>99.0</v>
      </c>
      <c r="B100" s="7" t="s">
        <v>886</v>
      </c>
      <c r="C100" s="7" t="s">
        <v>887</v>
      </c>
      <c r="D100" s="7" t="s">
        <v>888</v>
      </c>
      <c r="E100" s="7" t="s">
        <v>889</v>
      </c>
      <c r="I100" s="10" t="str">
        <f>IFERROR(__xludf.DUMMYFUNCTION("GOOGLETRANSLATE(A100, ""en"", ""bn"")"),"৯৯")</f>
        <v>৯৯</v>
      </c>
      <c r="J100" s="10" t="str">
        <f>IFERROR(__xludf.DUMMYFUNCTION("GOOGLETRANSLATE(B100, ""en"", ""bn"")"),"ঐতিহাসিকভাবে, দাড়িবান্ধা ম্যাচের জন্য দড়ির দৈর্ঘ্য কীভাবে নির্ধারণ করা হত?")</f>
        <v>ঐতিহাসিকভাবে, দাড়িবান্ধা ম্যাচের জন্য দড়ির দৈর্ঘ্য কীভাবে নির্ধারণ করা হত?</v>
      </c>
      <c r="K100" s="10" t="str">
        <f>IFERROR(__xludf.DUMMYFUNCTION("GOOGLETRANSLATE(C100, ""en"", ""bn"")"),"ক) একটি আদর্শ পরিমাপ অনুসারে, খ) খেলোয়াড় সংখ্যা অনুসারে, গ) গ্রামের প্রবীণদের দ্বারা, ঘ) উভয় দলের অধিনায়কদের দ্বারা")</f>
        <v>ক) একটি আদর্শ পরিমাপ অনুসারে, খ) খেলোয়াড় সংখ্যা অনুসারে, গ) গ্রামের প্রবীণদের দ্বারা, ঘ) উভয় দলের অধিনায়কদের দ্বারা</v>
      </c>
      <c r="L100" s="10" t="str">
        <f>IFERROR(__xludf.DUMMYFUNCTION("GOOGLETRANSLATE(D100, ""en"", ""bn"")"),"খ) খেলোয়াড় সংখ্যা অনুসারে")</f>
        <v>খ) খেলোয়াড় সংখ্যা অনুসারে</v>
      </c>
      <c r="M100" s="10" t="str">
        <f>IFERROR(__xludf.DUMMYFUNCTION("GOOGLETRANSLATE(E100, ""en"", ""bn"")"),"ঐতিহাসিকভাবে, দড়ির দৈর্ঘ্য প্রতিটি দলের খেলোয়াড়ের সংখ্যা দ্বারা নির্ধারিত হত যাতে এটি তাদের সকলের ধরে রাখার জন্য যথেষ্ট দীর্ঘ হয়।")</f>
        <v>ঐতিহাসিকভাবে, দড়ির দৈর্ঘ্য প্রতিটি দলের খেলোয়াড়ের সংখ্যা দ্বারা নির্ধারিত হত যাতে এটি তাদের সকলের ধরে রাখার জন্য যথেষ্ট দীর্ঘ হয়।</v>
      </c>
    </row>
    <row r="101">
      <c r="A101" s="7">
        <v>100.0</v>
      </c>
      <c r="B101" s="7" t="s">
        <v>890</v>
      </c>
      <c r="C101" s="7" t="s">
        <v>891</v>
      </c>
      <c r="D101" s="7" t="s">
        <v>892</v>
      </c>
      <c r="E101" s="7" t="s">
        <v>893</v>
      </c>
      <c r="I101" s="10" t="str">
        <f>IFERROR(__xludf.DUMMYFUNCTION("GOOGLETRANSLATE(A101, ""en"", ""bn"")"),"১০০")</f>
        <v>১০০</v>
      </c>
      <c r="J101" s="10" t="str">
        <f>IFERROR(__xludf.DUMMYFUNCTION("GOOGLETRANSLATE(B101, ""en"", ""bn"")"),"কোন ঐতিহাসিক কারণটি দারিয়াবান্ধাকে একটি নৈমিত্তিক বিনোদন থেকে প্রতিযোগিতামূলক খেলায় রূপান্তরিত করেছিল?")</f>
        <v>কোন ঐতিহাসিক কারণটি দারিয়াবান্ধাকে একটি নৈমিত্তিক বিনোদন থেকে প্রতিযোগিতামূলক খেলায় রূপান্তরিত করেছিল?</v>
      </c>
      <c r="K101" s="10" t="str">
        <f>IFERROR(__xludf.DUMMYFUNCTION("GOOGLETRANSLATE(C101, ""en"", ""bn"")"),"ক) ট্রফি প্রবর্তন, খ) স্থানীয় টুর্নামেন্ট এবং মেলার উত্থান, গ) আনুষ্ঠানিক ক্লাব প্রতিষ্ঠা, ঘ) সরকারী পোশাক তৈরি")</f>
        <v>ক) ট্রফি প্রবর্তন, খ) স্থানীয় টুর্নামেন্ট এবং মেলার উত্থান, গ) আনুষ্ঠানিক ক্লাব প্রতিষ্ঠা, ঘ) সরকারী পোশাক তৈরি</v>
      </c>
      <c r="L101" s="10" t="str">
        <f>IFERROR(__xludf.DUMMYFUNCTION("GOOGLETRANSLATE(D101, ""en"", ""bn"")"),"খ) স্থানীয় টুর্নামেন্ট এবং মেলার উত্থান")</f>
        <v>খ) স্থানীয় টুর্নামেন্ট এবং মেলার উত্থান</v>
      </c>
      <c r="M101" s="10" t="str">
        <f>IFERROR(__xludf.DUMMYFUNCTION("GOOGLETRANSLATE(E101, ""en"", ""bn"")"),"স্থানীয় মেলা এবং টুর্নামেন্টের আয়োজন খেলাটিকে একটি নৈমিত্তিক বিনোদন থেকে আরও গুরুতর, প্রতিযোগিতামূলক খেলায় রূপান্তরিত করে।")</f>
        <v>স্থানীয় মেলা এবং টুর্নামেন্টের আয়োজন খেলাটিকে একটি নৈমিত্তিক বিনোদন থেকে আরও গুরুতর, প্রতিযোগিতামূলক খেলায় রূপান্তরিত করে।</v>
      </c>
    </row>
    <row r="102">
      <c r="A102" s="7">
        <v>101.0</v>
      </c>
      <c r="B102" s="7" t="s">
        <v>894</v>
      </c>
      <c r="C102" s="7" t="s">
        <v>895</v>
      </c>
      <c r="D102" s="7" t="s">
        <v>896</v>
      </c>
      <c r="E102" s="7" t="s">
        <v>897</v>
      </c>
      <c r="I102" s="10" t="str">
        <f>IFERROR(__xludf.DUMMYFUNCTION("GOOGLETRANSLATE(A102, ""en"", ""bn"")"),"১০১")</f>
        <v>১০১</v>
      </c>
      <c r="J102" s="10" t="str">
        <f>IFERROR(__xludf.DUMMYFUNCTION("GOOGLETRANSLATE(B102, ""en"", ""bn"")"),"দাড়িবান্ধার সাম্প্রদায়িক প্রকৃতি থেকে কোন ঐতিহাসিক শিক্ষা নেওয়া যেতে পারে?")</f>
        <v>দাড়িবান্ধার সাম্প্রদায়িক প্রকৃতি থেকে কোন ঐতিহাসিক শিক্ষা নেওয়া যেতে পারে?</v>
      </c>
      <c r="K102" s="10" t="str">
        <f>IFERROR(__xludf.DUMMYFUNCTION("GOOGLETRANSLATE(C102, ""en"", ""bn"")"),"ক) ব্যক্তিগত শক্তির গুরুত্ব, খ) প্রতিযোগিতার মূল্য, গ) সম্মিলিত কর্মকাণ্ড এবং ঐক্যের শক্তি, ঘ) যেকোনো মূল্যে জয়লাভের গুরুত্ব")</f>
        <v>ক) ব্যক্তিগত শক্তির গুরুত্ব, খ) প্রতিযোগিতার মূল্য, গ) সম্মিলিত কর্মকাণ্ড এবং ঐক্যের শক্তি, ঘ) যেকোনো মূল্যে জয়লাভের গুরুত্ব</v>
      </c>
      <c r="L102" s="10" t="str">
        <f>IFERROR(__xludf.DUMMYFUNCTION("GOOGLETRANSLATE(D102, ""en"", ""bn"")"),"গ) সম্মিলিত কর্মকাণ্ড এবং ঐক্যের শক্তি")</f>
        <v>গ) সম্মিলিত কর্মকাণ্ড এবং ঐক্যের শক্তি</v>
      </c>
      <c r="M102" s="10" t="str">
        <f>IFERROR(__xludf.DUMMYFUNCTION("GOOGLETRANSLATE(E102, ""en"", ""bn"")"),"এই খেলাটি এই ধারণার একটি ঐতিহাসিক প্রমাণ যে একটি গোষ্ঠীর সম্মিলিত শক্তি এবং ঐক্য যেকোনো চ্যালেঞ্জকে অতিক্রম করতে পারে, যা সম্প্রদায়ের জন্য একটি গুরুত্বপূর্ণ শিক্ষা।")</f>
        <v>এই খেলাটি এই ধারণার একটি ঐতিহাসিক প্রমাণ যে একটি গোষ্ঠীর সম্মিলিত শক্তি এবং ঐক্য যেকোনো চ্যালেঞ্জকে অতিক্রম করতে পারে, যা সম্প্রদায়ের জন্য একটি গুরুত্বপূর্ণ শিক্ষা।</v>
      </c>
    </row>
    <row r="103">
      <c r="A103" s="7">
        <v>102.0</v>
      </c>
      <c r="B103" s="7" t="s">
        <v>898</v>
      </c>
      <c r="C103" s="7" t="s">
        <v>899</v>
      </c>
      <c r="D103" s="7" t="s">
        <v>900</v>
      </c>
      <c r="E103" s="7" t="s">
        <v>901</v>
      </c>
      <c r="I103" s="10" t="str">
        <f>IFERROR(__xludf.DUMMYFUNCTION("GOOGLETRANSLATE(A103, ""en"", ""bn"")"),"১০২")</f>
        <v>১০২</v>
      </c>
      <c r="J103" s="10" t="str">
        <f>IFERROR(__xludf.DUMMYFUNCTION("GOOGLETRANSLATE(B103, ""en"", ""bn"")"),"দাড়িবান্ধা খেলার জন্য কোন ঐতিহাসিক পোশাক সবচেয়ে উপযুক্ত ছিল?")</f>
        <v>দাড়িবান্ধা খেলার জন্য কোন ঐতিহাসিক পোশাক সবচেয়ে উপযুক্ত ছিল?</v>
      </c>
      <c r="K103" s="10" t="str">
        <f>IFERROR(__xludf.DUMMYFUNCTION("GOOGLETRANSLATE(C103, ""en"", ""bn"")"),"ক) ধুতি এবং শার্ট, খ) শাড়ি, গ) শেরওয়ানি, ঘ) লুঙ্গি এবং ভেস্ট")</f>
        <v>ক) ধুতি এবং শার্ট, খ) শাড়ি, গ) শেরওয়ানি, ঘ) লুঙ্গি এবং ভেস্ট</v>
      </c>
      <c r="L103" s="10" t="str">
        <f>IFERROR(__xludf.DUMMYFUNCTION("GOOGLETRANSLATE(D103, ""en"", ""bn"")"),"ঘ) লুঙ্গি এবং জ্যাকেট")</f>
        <v>ঘ) লুঙ্গি এবং জ্যাকেট</v>
      </c>
      <c r="M103" s="10" t="str">
        <f>IFERROR(__xludf.DUMMYFUNCTION("GOOGLETRANSLATE(E103, ""en"", ""bn"")"),"ঐতিহ্যবাহী লুঙ্গি এবং গেঞ্জি (ন্যস্ত পোশাক) খেলোয়াড়দের জন্য ব্যবহারিক এবং আরামদায়ক ছিল, যা খেলার সময় চলাচলের স্বাধীনতা প্রদান করত।")</f>
        <v>ঐতিহ্যবাহী লুঙ্গি এবং গেঞ্জি (ন্যস্ত পোশাক) খেলোয়াড়দের জন্য ব্যবহারিক এবং আরামদায়ক ছিল, যা খেলার সময় চলাচলের স্বাধীনতা প্রদান করত।</v>
      </c>
    </row>
    <row r="104">
      <c r="A104" s="7">
        <v>103.0</v>
      </c>
      <c r="B104" s="7" t="s">
        <v>902</v>
      </c>
      <c r="C104" s="7" t="s">
        <v>903</v>
      </c>
      <c r="D104" s="7" t="s">
        <v>904</v>
      </c>
      <c r="E104" s="7" t="s">
        <v>905</v>
      </c>
      <c r="I104" s="10" t="str">
        <f>IFERROR(__xludf.DUMMYFUNCTION("GOOGLETRANSLATE(A104, ""en"", ""bn"")"),"১০৩")</f>
        <v>১০৩</v>
      </c>
      <c r="J104" s="10" t="str">
        <f>IFERROR(__xludf.DUMMYFUNCTION("GOOGLETRANSLATE(B104, ""en"", ""bn"")"),"দরিয়াবান্ধা কোন ঐতিহাসিক সামাজিক বন্ধনকে শক্তিশালী করতে সাহায্য করেছিল?")</f>
        <v>দরিয়াবান্ধা কোন ঐতিহাসিক সামাজিক বন্ধনকে শক্তিশালী করতে সাহায্য করেছিল?</v>
      </c>
      <c r="K104" s="10" t="str">
        <f>IFERROR(__xludf.DUMMYFUNCTION("GOOGLETRANSLATE(C104, ""en"", ""bn"")"),"ক) পরিবারের মধ্যে বন্ধন, খ) গ্রামবাসী এবং তাদের মুখ্যের মধ্যে বন্ধন, গ) প্রতিবেশী এবং সম্প্রদায়ের মধ্যে বন্ধন, ঘ) উপরের সমস্ত")</f>
        <v>ক) পরিবারের মধ্যে বন্ধন, খ) গ্রামবাসী এবং তাদের মুখ্যের মধ্যে বন্ধন, গ) প্রতিবেশী এবং সম্প্রদায়ের মধ্যে বন্ধন, ঘ) উপরের সমস্ত</v>
      </c>
      <c r="L104" s="10" t="str">
        <f>IFERROR(__xludf.DUMMYFUNCTION("GOOGLETRANSLATE(D104, ""en"", ""bn"")"),"গ) প্রতিবেশী এবং সম্প্রদায়ের মধ্যে বন্ধন")</f>
        <v>গ) প্রতিবেশী এবং সম্প্রদায়ের মধ্যে বন্ধন</v>
      </c>
      <c r="M104" s="10" t="str">
        <f>IFERROR(__xludf.DUMMYFUNCTION("GOOGLETRANSLATE(E104, ""en"", ""bn"")"),"একটি সাধারণ উদ্দেশ্যে মানুষকে একত্রিত করে, খেলাটি গ্রামের সামাজিক কাঠামোকে শক্তিশালী করতে সাহায্য করেছিল।")</f>
        <v>একটি সাধারণ উদ্দেশ্যে মানুষকে একত্রিত করে, খেলাটি গ্রামের সামাজিক কাঠামোকে শক্তিশালী করতে সাহায্য করেছিল।</v>
      </c>
    </row>
    <row r="105">
      <c r="A105" s="7">
        <v>104.0</v>
      </c>
      <c r="B105" s="7" t="s">
        <v>906</v>
      </c>
      <c r="C105" s="7" t="s">
        <v>907</v>
      </c>
      <c r="D105" s="7" t="s">
        <v>908</v>
      </c>
      <c r="E105" s="7" t="s">
        <v>909</v>
      </c>
      <c r="I105" s="10" t="str">
        <f>IFERROR(__xludf.DUMMYFUNCTION("GOOGLETRANSLATE(A105, ""en"", ""bn"")"),"১০৪")</f>
        <v>১০৪</v>
      </c>
      <c r="J105" s="10" t="str">
        <f>IFERROR(__xludf.DUMMYFUNCTION("GOOGLETRANSLATE(B105, ""en"", ""bn"")"),"সমতল, খোলা মাঠে খেলাটি খেলার ঐতিহাসিক কারণ কী ছিল?")</f>
        <v>সমতল, খোলা মাঠে খেলাটি খেলার ঐতিহাসিক কারণ কী ছিল?</v>
      </c>
      <c r="K105" s="10" t="str">
        <f>IFERROR(__xludf.DUMMYFUNCTION("GOOGLETRANSLATE(C105, ""en"", ""bn"")"),"ক) এটি ছিল একমাত্র ধরণের জমি যা উপলব্ধ ছিল, খ) এটি ছিল ন্যায্যতা নিশ্চিত করার এবং আঘাত প্রতিরোধ করার একটি উপায়, গ) এটি ছিল গ্রামের জমি প্রদর্শনের একটি উপায়, ঘ) এটি ছিল সরকারের অনুমোদনের একটি প্রয়োজনীয়তা।")</f>
        <v>ক) এটি ছিল একমাত্র ধরণের জমি যা উপলব্ধ ছিল, খ) এটি ছিল ন্যায্যতা নিশ্চিত করার এবং আঘাত প্রতিরোধ করার একটি উপায়, গ) এটি ছিল গ্রামের জমি প্রদর্শনের একটি উপায়, ঘ) এটি ছিল সরকারের অনুমোদনের একটি প্রয়োজনীয়তা।</v>
      </c>
      <c r="L105" s="10" t="str">
        <f>IFERROR(__xludf.DUMMYFUNCTION("GOOGLETRANSLATE(D105, ""en"", ""bn"")"),"খ) এটি ন্যায্যতা নিশ্চিত করার এবং আঘাত প্রতিরোধ করার একটি উপায় ছিল")</f>
        <v>খ) এটি ন্যায্যতা নিশ্চিত করার এবং আঘাত প্রতিরোধ করার একটি উপায় ছিল</v>
      </c>
      <c r="M105" s="10" t="str">
        <f>IFERROR(__xludf.DUMMYFUNCTION("GOOGLETRANSLATE(E105, ""en"", ""bn"")"),"ঐতিহাসিকভাবে একটি সমতল এবং খোলা মাঠ বেছে নেওয়া হয়েছিল যাতে উভয় দলের অবস্থান সমান থাকে এবং খেলোয়াড়রা অসম মাটিতে পড়ে যাওয়ার ঝুঁকিতে না পড়ে।")</f>
        <v>ঐতিহাসিকভাবে একটি সমতল এবং খোলা মাঠ বেছে নেওয়া হয়েছিল যাতে উভয় দলের অবস্থান সমান থাকে এবং খেলোয়াড়রা অসম মাটিতে পড়ে যাওয়ার ঝুঁকিতে না পড়ে।</v>
      </c>
    </row>
    <row r="106">
      <c r="A106" s="7">
        <v>105.0</v>
      </c>
      <c r="B106" s="7" t="s">
        <v>910</v>
      </c>
      <c r="C106" s="7" t="s">
        <v>911</v>
      </c>
      <c r="D106" s="7" t="s">
        <v>178</v>
      </c>
      <c r="E106" s="7" t="s">
        <v>912</v>
      </c>
      <c r="I106" s="10" t="str">
        <f>IFERROR(__xludf.DUMMYFUNCTION("GOOGLETRANSLATE(A106, ""en"", ""bn"")"),"১০৫")</f>
        <v>১০৫</v>
      </c>
      <c r="J106" s="10" t="str">
        <f>IFERROR(__xludf.DUMMYFUNCTION("GOOGLETRANSLATE(B106, ""en"", ""bn"")"),"দাড়িবান্ধার সাথে সম্পর্কিত কোন ঐতিহাসিক প্রথা এখন বিলুপ্ত হয়ে যাচ্ছে?")</f>
        <v>দাড়িবান্ধার সাথে সম্পর্কিত কোন ঐতিহাসিক প্রথা এখন বিলুপ্ত হয়ে যাচ্ছে?</v>
      </c>
      <c r="K106" s="10" t="str">
        <f>IFERROR(__xludf.DUMMYFUNCTION("GOOGLETRANSLATE(C106, ""en"", ""bn"")"),"ক) পাটের দড়ি ব্যবহার, খ) গ্রাম অনুসারে দল গঠন, গ) বিচারক হিসেবে গ্রামের একজন প্রবীণকে সম্পৃক্ত করা, ঘ) উপরের সবগুলো")</f>
        <v>ক) পাটের দড়ি ব্যবহার, খ) গ্রাম অনুসারে দল গঠন, গ) বিচারক হিসেবে গ্রামের একজন প্রবীণকে সম্পৃক্ত করা, ঘ) উপরের সবগুলো</v>
      </c>
      <c r="L106" s="10" t="str">
        <f>IFERROR(__xludf.DUMMYFUNCTION("GOOGLETRANSLATE(D106, ""en"", ""bn"")"),"ঘ) উপরের সবগুলো")</f>
        <v>ঘ) উপরের সবগুলো</v>
      </c>
      <c r="M106" s="10" t="str">
        <f>IFERROR(__xludf.DUMMYFUNCTION("GOOGLETRANSLATE(E106, ""en"", ""bn"")"),"খেলার আধুনিকীকরণের সাথে সাথে স্থানীয়ভাবে দড়ি তৈরি এবং গ্রামের প্রবীণকে বিচারক হিসেবে রাখার মতো অনেক ঐতিহ্যবাহী অনুশীলন কমতে শুরু করেছে।")</f>
        <v>খেলার আধুনিকীকরণের সাথে সাথে স্থানীয়ভাবে দড়ি তৈরি এবং গ্রামের প্রবীণকে বিচারক হিসেবে রাখার মতো অনেক ঐতিহ্যবাহী অনুশীলন কমতে শুরু করেছে।</v>
      </c>
    </row>
    <row r="107">
      <c r="A107" s="7">
        <v>106.0</v>
      </c>
      <c r="B107" s="7" t="s">
        <v>913</v>
      </c>
      <c r="C107" s="7" t="s">
        <v>914</v>
      </c>
      <c r="D107" s="7" t="s">
        <v>915</v>
      </c>
      <c r="E107" s="7" t="s">
        <v>916</v>
      </c>
      <c r="I107" s="10" t="str">
        <f>IFERROR(__xludf.DUMMYFUNCTION("GOOGLETRANSLATE(A107, ""en"", ""bn"")"),"১০৬")</f>
        <v>১০৬</v>
      </c>
      <c r="J107" s="10" t="str">
        <f>IFERROR(__xludf.DUMMYFUNCTION("GOOGLETRANSLATE(B107, ""en"", ""bn"")"),"স্বাধীনতা সংগ্রামের অংশ হিসেবে কোন ঐতিহাসিক ঘটনাটি খেলাটির জনপ্রিয়তাকে প্রভাবিত করেছিল?")</f>
        <v>স্বাধীনতা সংগ্রামের অংশ হিসেবে কোন ঐতিহাসিক ঘটনাটি খেলাটির জনপ্রিয়তাকে প্রভাবিত করেছিল?</v>
      </c>
      <c r="K107" s="10" t="str">
        <f>IFERROR(__xludf.DUMMYFUNCTION("GOOGLETRANSLATE(C107, ""en"", ""bn"")"),"ক) লবণ অভিযান, খ) অসহযোগ আন্দোলন, গ) বঙ্গীয় নবজাগরণ, ঘ) ১৯০৫ সালের বঙ্গভঙ্গ বিরোধী আন্দোলন")</f>
        <v>ক) লবণ অভিযান, খ) অসহযোগ আন্দোলন, গ) বঙ্গীয় নবজাগরণ, ঘ) ১৯০৫ সালের বঙ্গভঙ্গ বিরোধী আন্দোলন</v>
      </c>
      <c r="L107" s="10" t="str">
        <f>IFERROR(__xludf.DUMMYFUNCTION("GOOGLETRANSLATE(D107, ""en"", ""bn"")"),"ঘ) ১৯০৫ সালের বঙ্গভঙ্গ বিরোধী আন্দোলন")</f>
        <v>ঘ) ১৯০৫ সালের বঙ্গভঙ্গ বিরোধী আন্দোলন</v>
      </c>
      <c r="M107" s="10" t="str">
        <f>IFERROR(__xludf.DUMMYFUNCTION("GOOGLETRANSLATE(E107, ""en"", ""bn"")"),"অখণ্ড বাংলা বজায় রাখার লক্ষ্যে বঙ্গভঙ্গ বিরোধী আন্দোলন সাংস্কৃতিক ঐক্যের প্রতীক হিসেবে দাড়িয়াবান্ধার মতো ঐতিহ্যবাহী খেলাধুলাকে উৎসাহিত করেছিল।")</f>
        <v>অখণ্ড বাংলা বজায় রাখার লক্ষ্যে বঙ্গভঙ্গ বিরোধী আন্দোলন সাংস্কৃতিক ঐক্যের প্রতীক হিসেবে দাড়িয়াবান্ধার মতো ঐতিহ্যবাহী খেলাধুলাকে উৎসাহিত করেছিল।</v>
      </c>
    </row>
    <row r="108">
      <c r="A108" s="7">
        <v>107.0</v>
      </c>
      <c r="B108" s="7" t="s">
        <v>917</v>
      </c>
      <c r="C108" s="7" t="s">
        <v>918</v>
      </c>
      <c r="D108" s="7" t="s">
        <v>919</v>
      </c>
      <c r="E108" s="7" t="s">
        <v>920</v>
      </c>
      <c r="I108" s="10" t="str">
        <f>IFERROR(__xludf.DUMMYFUNCTION("GOOGLETRANSLATE(A108, ""en"", ""bn"")"),"১০৭")</f>
        <v>১০৭</v>
      </c>
      <c r="J108" s="10" t="str">
        <f>IFERROR(__xludf.DUMMYFUNCTION("GOOGLETRANSLATE(B108, ""en"", ""bn"")"),"দাড়িবান্ধায় কোন গ্রামের বিজয়ের সাথে প্রায়শই কোন ঐতিহাসিক রীতি জড়িত ছিল?")</f>
        <v>দাড়িবান্ধায় কোন গ্রামের বিজয়ের সাথে প্রায়শই কোন ঐতিহাসিক রীতি জড়িত ছিল?</v>
      </c>
      <c r="K108" s="10" t="str">
        <f>IFERROR(__xludf.DUMMYFUNCTION("GOOGLETRANSLATE(C108, ""en"", ""bn"")"),"ক) একটি বিশেষ ভোজ বা উদযাপন, খ) একটি সরকারি ছুটির দিন, গ) একটি কর ছাড়, ঘ) একটি কুচকাওয়াজ")</f>
        <v>ক) একটি বিশেষ ভোজ বা উদযাপন, খ) একটি সরকারি ছুটির দিন, গ) একটি কর ছাড়, ঘ) একটি কুচকাওয়াজ</v>
      </c>
      <c r="L108" s="10" t="str">
        <f>IFERROR(__xludf.DUMMYFUNCTION("GOOGLETRANSLATE(D108, ""en"", ""bn"")"),"ক) একটি বিশেষ ভোজ বা উদযাপন")</f>
        <v>ক) একটি বিশেষ ভোজ বা উদযাপন</v>
      </c>
      <c r="M108" s="10" t="str">
        <f>IFERROR(__xludf.DUMMYFUNCTION("GOOGLETRANSLATE(E108, ""en"", ""bn"")"),"বিজয়ী দল এবং তাদের সম্প্রদায়কে প্রায়শই একটি বিশেষ ভোজ দিয়ে সম্মানিত করা হত, একটি ঐতিহ্য যা খেলার সামাজিক গুরুত্বকে জোর দিয়েছিল।")</f>
        <v>বিজয়ী দল এবং তাদের সম্প্রদায়কে প্রায়শই একটি বিশেষ ভোজ দিয়ে সম্মানিত করা হত, একটি ঐতিহ্য যা খেলার সামাজিক গুরুত্বকে জোর দিয়েছিল।</v>
      </c>
    </row>
    <row r="109">
      <c r="A109" s="7">
        <v>108.0</v>
      </c>
      <c r="B109" s="7" t="s">
        <v>921</v>
      </c>
      <c r="C109" s="7" t="s">
        <v>922</v>
      </c>
      <c r="D109" s="7" t="s">
        <v>923</v>
      </c>
      <c r="E109" s="7" t="s">
        <v>924</v>
      </c>
      <c r="I109" s="10" t="str">
        <f>IFERROR(__xludf.DUMMYFUNCTION("GOOGLETRANSLATE(A109, ""en"", ""bn"")"),"১০৮")</f>
        <v>১০৮</v>
      </c>
      <c r="J109" s="10" t="str">
        <f>IFERROR(__xludf.DUMMYFUNCTION("GOOGLETRANSLATE(B109, ""en"", ""bn"")"),"দাড়িবান্ধা খেলার সাথে কোন ঐতিহাসিক সঙ্গীত কখনও কখনও বাজানো হত?")</f>
        <v>দাড়িবান্ধা খেলার সাথে কোন ঐতিহাসিক সঙ্গীত কখনও কখনও বাজানো হত?</v>
      </c>
      <c r="K109" s="10" t="str">
        <f>IFERROR(__xludf.DUMMYFUNCTION("GOOGLETRANSLATE(C109, ""en"", ""bn"")"),"ক) ধ্রুপদী সঙ্গীত, খ) লোকসঙ্গীত এবং ঢোলের তাল, গ) আধুনিক পপ সঙ্গীত, ঘ) পাশ্চাত্য ধ্রুপদী সঙ্গীত")</f>
        <v>ক) ধ্রুপদী সঙ্গীত, খ) লোকসঙ্গীত এবং ঢোলের তাল, গ) আধুনিক পপ সঙ্গীত, ঘ) পাশ্চাত্য ধ্রুপদী সঙ্গীত</v>
      </c>
      <c r="L109" s="10" t="str">
        <f>IFERROR(__xludf.DUMMYFUNCTION("GOOGLETRANSLATE(D109, ""en"", ""bn"")"),"খ) লোকসঙ্গীত এবং ঢোলের তাল")</f>
        <v>খ) লোকসঙ্গীত এবং ঢোলের তাল</v>
      </c>
      <c r="M109" s="10" t="str">
        <f>IFERROR(__xludf.DUMMYFUNCTION("GOOGLETRANSLATE(E109, ""en"", ""bn"")"),"ঢোলের ছন্দময় তাল এবং প্রাণবন্ত লোকসঙ্গীত প্রায়শই বাদক এবং দর্শকদের উজ্জীবিত করার জন্য বাজানো হত, যা উৎসবের পরিবেশকে আরও বাড়িয়ে তোলে।")</f>
        <v>ঢোলের ছন্দময় তাল এবং প্রাণবন্ত লোকসঙ্গীত প্রায়শই বাদক এবং দর্শকদের উজ্জীবিত করার জন্য বাজানো হত, যা উৎসবের পরিবেশকে আরও বাড়িয়ে তোলে।</v>
      </c>
    </row>
    <row r="110">
      <c r="A110" s="7">
        <v>109.0</v>
      </c>
      <c r="B110" s="7" t="s">
        <v>925</v>
      </c>
      <c r="C110" s="7" t="s">
        <v>926</v>
      </c>
      <c r="D110" s="7" t="s">
        <v>927</v>
      </c>
      <c r="E110" s="7" t="s">
        <v>928</v>
      </c>
      <c r="I110" s="10" t="str">
        <f>IFERROR(__xludf.DUMMYFUNCTION("GOOGLETRANSLATE(A110, ""en"", ""bn"")"),"১০৯")</f>
        <v>১০৯</v>
      </c>
      <c r="J110" s="10" t="str">
        <f>IFERROR(__xludf.DUMMYFUNCTION("GOOGLETRANSLATE(B110, ""en"", ""bn"")"),"দারিয়াবান্ধায় দলগুলোর ভূমিকা বর্ণনা করার জন্য কোন ঐতিহাসিক উপমা ব্যবহার করা যেতে পারে?")</f>
        <v>দারিয়াবান্ধায় দলগুলোর ভূমিকা বর্ণনা করার জন্য কোন ঐতিহাসিক উপমা ব্যবহার করা যেতে পারে?</v>
      </c>
      <c r="K110" s="10" t="str">
        <f>IFERROR(__xludf.DUMMYFUNCTION("GOOGLETRANSLATE(C110, ""en"", ""bn"")"),"ক) একটি দৌড় প্রতিযোগিতা, খ) বুদ্ধির লড়াই, গ) টানাটানি, ঘ) কৌশলের খেলা")</f>
        <v>ক) একটি দৌড় প্রতিযোগিতা, খ) বুদ্ধির লড়াই, গ) টানাটানি, ঘ) কৌশলের খেলা</v>
      </c>
      <c r="L110" s="10" t="str">
        <f>IFERROR(__xludf.DUMMYFUNCTION("GOOGLETRANSLATE(D110, ""en"", ""bn"")"),"গ) টানাপোড়েন")</f>
        <v>গ) টানাপোড়েন</v>
      </c>
      <c r="M110" s="10" t="str">
        <f>IFERROR(__xludf.DUMMYFUNCTION("GOOGLETRANSLATE(E110, ""en"", ""bn"")"),"ঐতিহাসিকভাবে এই খেলাটিকে প্রায়শই টানাপোড়েনের একটি রূপ হিসেবে বর্ণনা করা হয়, যেখানে উভয় দলই জয়ের জন্য একক দড়িতে টানাপোড়েন চালায়।")</f>
        <v>ঐতিহাসিকভাবে এই খেলাটিকে প্রায়শই টানাপোড়েনের একটি রূপ হিসেবে বর্ণনা করা হয়, যেখানে উভয় দলই জয়ের জন্য একক দড়িতে টানাপোড়েন চালায়।</v>
      </c>
    </row>
    <row r="111">
      <c r="A111" s="7">
        <v>110.0</v>
      </c>
      <c r="B111" s="7" t="s">
        <v>840</v>
      </c>
      <c r="C111" s="7" t="s">
        <v>929</v>
      </c>
      <c r="D111" s="7" t="s">
        <v>930</v>
      </c>
      <c r="E111" s="7" t="s">
        <v>931</v>
      </c>
      <c r="I111" s="10" t="str">
        <f>IFERROR(__xludf.DUMMYFUNCTION("GOOGLETRANSLATE(A111, ""en"", ""bn"")"),"১১০")</f>
        <v>১১০</v>
      </c>
      <c r="J111" s="10" t="str">
        <f>IFERROR(__xludf.DUMMYFUNCTION("GOOGLETRANSLATE(B111, ""en"", ""bn"")"),"শহরাঞ্চলে দাড়িবান্ধার পতনের পেছনে কোন ঐতিহাসিক কারণটি দায়ী ছিল?")</f>
        <v>শহরাঞ্চলে দাড়িবান্ধার পতনের পেছনে কোন ঐতিহাসিক কারণটি দায়ী ছিল?</v>
      </c>
      <c r="K111" s="10" t="str">
        <f>IFERROR(__xludf.DUMMYFUNCTION("GOOGLETRANSLATE(C111, ""en"", ""bn"")"),"ক) রেডিওর জনপ্রিয়তা, খ) সাম্প্রদায়িক জমির অভাব, গ) খেলাধুলার উপর সরকারের নিষেধাজ্ঞা, ঘ) ভিডিও গেমের উত্থান")</f>
        <v>ক) রেডিওর জনপ্রিয়তা, খ) সাম্প্রদায়িক জমির অভাব, গ) খেলাধুলার উপর সরকারের নিষেধাজ্ঞা, ঘ) ভিডিও গেমের উত্থান</v>
      </c>
      <c r="L111" s="10" t="str">
        <f>IFERROR(__xludf.DUMMYFUNCTION("GOOGLETRANSLATE(D111, ""en"", ""bn"")"),"খ) সাম্প্রদায়িক জমির অভাব")</f>
        <v>খ) সাম্প্রদায়িক জমির অভাব</v>
      </c>
      <c r="M111" s="10" t="str">
        <f>IFERROR(__xludf.DUMMYFUNCTION("GOOGLETRANSLATE(E111, ""en"", ""bn"")"),"দ্রুত নগরায়ণ এবং খোলা জায়গার অভাবের কারণে এমন একটি খেলা খেলা কঠিন হয়ে পড়ে যার জন্য একটি বড়, সমতল মাঠের প্রয়োজন হয়।")</f>
        <v>দ্রুত নগরায়ণ এবং খোলা জায়গার অভাবের কারণে এমন একটি খেলা খেলা কঠিন হয়ে পড়ে যার জন্য একটি বড়, সমতল মাঠের প্রয়োজন হয়।</v>
      </c>
    </row>
    <row r="112">
      <c r="A112" s="7">
        <v>111.0</v>
      </c>
      <c r="B112" s="7" t="s">
        <v>932</v>
      </c>
      <c r="C112" s="7" t="s">
        <v>933</v>
      </c>
      <c r="D112" s="7" t="s">
        <v>934</v>
      </c>
      <c r="E112" s="7" t="s">
        <v>935</v>
      </c>
      <c r="I112" s="10" t="str">
        <f>IFERROR(__xludf.DUMMYFUNCTION("GOOGLETRANSLATE(A112, ""en"", ""bn"")"),"১১১")</f>
        <v>১১১</v>
      </c>
      <c r="J112" s="10" t="str">
        <f>IFERROR(__xludf.DUMMYFUNCTION("GOOGLETRANSLATE(B112, ""en"", ""bn"")"),"গল্প বলার বা লোকনাট্যের কোন ঐতিহাসিক ঐতিহ্য কখনও কখনও দরিয়াবান্ধাকে একটি বিষয় হিসেবে ব্যবহার করত?")</f>
        <v>গল্প বলার বা লোকনাট্যের কোন ঐতিহাসিক ঐতিহ্য কখনও কখনও দরিয়াবান্ধাকে একটি বিষয় হিসেবে ব্যবহার করত?</v>
      </c>
      <c r="K112" s="10" t="str">
        <f>IFERROR(__xludf.DUMMYFUNCTION("GOOGLETRANSLATE(C112, ""en"", ""bn"")"),"A) যাত্রা, B) পালা গান, C) পুথির পথ, D) বাউল গান")</f>
        <v>A) যাত্রা, B) পালা গান, C) পুথির পথ, D) বাউল গান</v>
      </c>
      <c r="L112" s="10" t="str">
        <f>IFERROR(__xludf.DUMMYFUNCTION("GOOGLETRANSLATE(D112, ""en"", ""bn"")"),"ক) যাত্রা")</f>
        <v>ক) যাত্রা</v>
      </c>
      <c r="M112" s="10" t="str">
        <f>IFERROR(__xludf.DUMMYFUNCTION("GOOGLETRANSLATE(E112, ""en"", ""bn"")"),"লোকনাট্যের একটি রূপ, যাত্রা, কখনও কখনও দাড়িবান্ধার মতো ঐতিহ্যবাহী খেলার বিষয়বস্তুকে শক্তি, ঐক্য এবং সম্প্রদায়ের গল্প বলার জন্য অন্তর্ভুক্ত করত।")</f>
        <v>লোকনাট্যের একটি রূপ, যাত্রা, কখনও কখনও দাড়িবান্ধার মতো ঐতিহ্যবাহী খেলার বিষয়বস্তুকে শক্তি, ঐক্য এবং সম্প্রদায়ের গল্প বলার জন্য অন্তর্ভুক্ত করত।</v>
      </c>
    </row>
    <row r="113">
      <c r="A113" s="7">
        <v>112.0</v>
      </c>
      <c r="B113" s="7" t="s">
        <v>936</v>
      </c>
      <c r="C113" s="7" t="s">
        <v>937</v>
      </c>
      <c r="D113" s="7" t="s">
        <v>938</v>
      </c>
      <c r="E113" s="7" t="s">
        <v>939</v>
      </c>
      <c r="I113" s="10" t="str">
        <f>IFERROR(__xludf.DUMMYFUNCTION("GOOGLETRANSLATE(A113, ""en"", ""bn"")"),"১১২")</f>
        <v>১১২</v>
      </c>
      <c r="J113" s="10" t="str">
        <f>IFERROR(__xludf.DUMMYFUNCTION("GOOGLETRANSLATE(B113, ""en"", ""bn"")"),"দাড়িবান্ধায় একজন দলের অধিনায়ক কোন ঐতিহাসিক ভূমিকা পালন করেছিলেন?")</f>
        <v>দাড়িবান্ধায় একজন দলের অধিনায়ক কোন ঐতিহাসিক ভূমিকা পালন করেছিলেন?</v>
      </c>
      <c r="K113" s="10" t="str">
        <f>IFERROR(__xludf.DUMMYFUNCTION("GOOGLETRANSLATE(C113, ""en"", ""bn"")"),"ক) তারাই হবে সবচেয়ে শক্তিশালী খেলোয়াড়, খ) তারাই হবে সব সিদ্ধান্ত, গ) তারাই হবে দলকে নেতৃত্ব এবং কৌশল নির্ধারণ, ঘ) তারাই হবে প্রথম দল গঠনের লড়াইয়ে।")</f>
        <v>ক) তারাই হবে সবচেয়ে শক্তিশালী খেলোয়াড়, খ) তারাই হবে সব সিদ্ধান্ত, গ) তারাই হবে দলকে নেতৃত্ব এবং কৌশল নির্ধারণ, ঘ) তারাই হবে প্রথম দল গঠনের লড়াইয়ে।</v>
      </c>
      <c r="L113" s="10" t="str">
        <f>IFERROR(__xludf.DUMMYFUNCTION("GOOGLETRANSLATE(D113, ""en"", ""bn"")"),"গ) তারা দলকে নেতৃত্ব দেবে এবং কৌশল নির্ধারণ করবে")</f>
        <v>গ) তারা দলকে নেতৃত্ব দেবে এবং কৌশল নির্ধারণ করবে</v>
      </c>
      <c r="M113" s="10" t="str">
        <f>IFERROR(__xludf.DUMMYFUNCTION("GOOGLETRANSLATE(E113, ""en"", ""bn"")"),"অধিনায়কের ঐতিহাসিক ভূমিকা ছিল দলকে নেতৃত্ব দেওয়া, খেলোয়াড়দের অনুপ্রাণিত করা এবং প্রতিপক্ষকে পরাজিত করার জন্য কৌশল তৈরি করা।")</f>
        <v>অধিনায়কের ঐতিহাসিক ভূমিকা ছিল দলকে নেতৃত্ব দেওয়া, খেলোয়াড়দের অনুপ্রাণিত করা এবং প্রতিপক্ষকে পরাজিত করার জন্য কৌশল তৈরি করা।</v>
      </c>
    </row>
    <row r="114">
      <c r="A114" s="7">
        <v>113.0</v>
      </c>
      <c r="B114" s="7" t="s">
        <v>940</v>
      </c>
      <c r="C114" s="7" t="s">
        <v>941</v>
      </c>
      <c r="D114" s="7" t="s">
        <v>178</v>
      </c>
      <c r="E114" s="7" t="s">
        <v>942</v>
      </c>
      <c r="I114" s="10" t="str">
        <f>IFERROR(__xludf.DUMMYFUNCTION("GOOGLETRANSLATE(A114, ""en"", ""bn"")"),"১১৩")</f>
        <v>১১৩</v>
      </c>
      <c r="J114" s="10" t="str">
        <f>IFERROR(__xludf.DUMMYFUNCTION("GOOGLETRANSLATE(B114, ""en"", ""bn"")"),"বাংলাদেশের কিছু অংশে দাড়িবান্ধার পতনের জন্য কোন ঐতিহাসিক পরিবর্তন সবচেয়ে বেশি দায়ী?")</f>
        <v>বাংলাদেশের কিছু অংশে দাড়িবান্ধার পতনের জন্য কোন ঐতিহাসিক পরিবর্তন সবচেয়ে বেশি দায়ী?</v>
      </c>
      <c r="K114" s="10" t="str">
        <f>IFERROR(__xludf.DUMMYFUNCTION("GOOGLETRANSLATE(C114, ""en"", ""bn"")"),"ক) ক্রিকেটের মতো পশ্চিমা খেলার উত্থান, খ) সরকারি সহায়তার অভাব, গ) অর্থনৈতিক পরিবর্তন, ঘ) উপরের সবগুলো")</f>
        <v>ক) ক্রিকেটের মতো পশ্চিমা খেলার উত্থান, খ) সরকারি সহায়তার অভাব, গ) অর্থনৈতিক পরিবর্তন, ঘ) উপরের সবগুলো</v>
      </c>
      <c r="L114" s="10" t="str">
        <f>IFERROR(__xludf.DUMMYFUNCTION("GOOGLETRANSLATE(D114, ""en"", ""bn"")"),"ঘ) উপরের সবগুলো")</f>
        <v>ঘ) উপরের সবগুলো</v>
      </c>
      <c r="M114" s="10" t="str">
        <f>IFERROR(__xludf.DUMMYFUNCTION("GOOGLETRANSLATE(E114, ""en"", ""bn"")"),"আধুনিক খেলাধুলার জনপ্রিয়তা, অর্থনৈতিক পরিবর্তন এবং সহায়তার অভাব সহ বিভিন্ন কারণের সংমিশ্রণ কিছু ক্ষেত্রে খেলাটির পতনের দিকে পরিচালিত করে।")</f>
        <v>আধুনিক খেলাধুলার জনপ্রিয়তা, অর্থনৈতিক পরিবর্তন এবং সহায়তার অভাব সহ বিভিন্ন কারণের সংমিশ্রণ কিছু ক্ষেত্রে খেলাটির পতনের দিকে পরিচালিত করে।</v>
      </c>
    </row>
    <row r="115">
      <c r="A115" s="7">
        <v>114.0</v>
      </c>
      <c r="B115" s="7" t="s">
        <v>943</v>
      </c>
      <c r="C115" s="7" t="s">
        <v>944</v>
      </c>
      <c r="D115" s="7" t="s">
        <v>945</v>
      </c>
      <c r="E115" s="7" t="s">
        <v>946</v>
      </c>
      <c r="I115" s="10" t="str">
        <f>IFERROR(__xludf.DUMMYFUNCTION("GOOGLETRANSLATE(A115, ""en"", ""bn"")"),"১১৪")</f>
        <v>১১৪</v>
      </c>
      <c r="J115" s="10" t="str">
        <f>IFERROR(__xludf.DUMMYFUNCTION("GOOGLETRANSLATE(B115, ""en"", ""bn"")"),"খেলাটির নাম, দারিয়া, এর ঐতিহাসিক তাৎপর্য কী?")</f>
        <v>খেলাটির নাম, দারিয়া, এর ঐতিহাসিক তাৎপর্য কী?</v>
      </c>
      <c r="K115" s="10" t="str">
        <f>IFERROR(__xludf.DUMMYFUNCTION("GOOGLETRANSLATE(C115, ""en"", ""bn"")"),"ক) এটি 'নদী'-এর স্থানীয় উপভাষার শব্দ, খ) এটি 'শক্তি'-এর জন্য একটি প্রাচীন শব্দ, গ) এটি 'দড়ি'-এর জন্য একটি প্রচলিত শব্দ, ঘ) এটি একটি পারিবারিক নাম।")</f>
        <v>ক) এটি 'নদী'-এর স্থানীয় উপভাষার শব্দ, খ) এটি 'শক্তি'-এর জন্য একটি প্রাচীন শব্দ, গ) এটি 'দড়ি'-এর জন্য একটি প্রচলিত শব্দ, ঘ) এটি একটি পারিবারিক নাম।</v>
      </c>
      <c r="L115" s="10" t="str">
        <f>IFERROR(__xludf.DUMMYFUNCTION("GOOGLETRANSLATE(D115, ""en"", ""bn"")"),"গ) এটি 'দড়ি' এর একটি প্রচলিত শব্দ।")</f>
        <v>গ) এটি 'দড়ি' এর একটি প্রচলিত শব্দ।</v>
      </c>
      <c r="M115" s="10" t="str">
        <f>IFERROR(__xludf.DUMMYFUNCTION("GOOGLETRANSLATE(E115, ""en"", ""bn"")"),"""দারিয়া"" শব্দটি বাংলায় একটি প্রচলিত এবং ঐতিহাসিক শব্দ যার অর্থ লম্বা, মোটা দড়ি, যা খেলার কেন্দ্রীয় উপাদান।")</f>
        <v>"দারিয়া" শব্দটি বাংলায় একটি প্রচলিত এবং ঐতিহাসিক শব্দ যার অর্থ লম্বা, মোটা দড়ি, যা খেলার কেন্দ্রীয় উপাদান।</v>
      </c>
    </row>
    <row r="116">
      <c r="A116" s="7">
        <v>115.0</v>
      </c>
      <c r="B116" s="7" t="s">
        <v>947</v>
      </c>
      <c r="C116" s="7" t="s">
        <v>948</v>
      </c>
      <c r="D116" s="7" t="s">
        <v>949</v>
      </c>
      <c r="E116" s="7" t="s">
        <v>950</v>
      </c>
      <c r="I116" s="10" t="str">
        <f>IFERROR(__xludf.DUMMYFUNCTION("GOOGLETRANSLATE(A116, ""en"", ""bn"")"),"১১৫")</f>
        <v>১১৫</v>
      </c>
      <c r="J116" s="10" t="str">
        <f>IFERROR(__xludf.DUMMYFUNCTION("GOOGLETRANSLATE(B116, ""en"", ""bn"")"),"ঐতিহাসিকভাবে, দাড়িবান্ধায় একটি দলের সবচেয়ে গুরুত্বপূর্ণ গুণ কী ছিল?")</f>
        <v>ঐতিহাসিকভাবে, দাড়িবান্ধায় একটি দলের সবচেয়ে গুরুত্বপূর্ণ গুণ কী ছিল?</v>
      </c>
      <c r="K116" s="10" t="str">
        <f>IFERROR(__xludf.DUMMYFUNCTION("GOOGLETRANSLATE(C116, ""en"", ""bn"")"),"ক) গতি, খ) শক্তি, গ) ঐক্য, ঘ) তৎপরতা")</f>
        <v>ক) গতি, খ) শক্তি, গ) ঐক্য, ঘ) তৎপরতা</v>
      </c>
      <c r="L116" s="10" t="str">
        <f>IFERROR(__xludf.DUMMYFUNCTION("GOOGLETRANSLATE(D116, ""en"", ""bn"")"),"গ) ঐক্য")</f>
        <v>গ) ঐক্য</v>
      </c>
      <c r="M116" s="10" t="str">
        <f>IFERROR(__xludf.DUMMYFUNCTION("GOOGLETRANSLATE(E116, ""en"", ""bn"")"),"সবচেয়ে গুরুত্বপূর্ণ গুণ ছিল কেবল ব্যক্তিগত শক্তি নয় বরং দলের ঐক্য এবং সমন্বিত প্রচেষ্টা, যা ছিল জয়ের মূল চাবিকাঠি।")</f>
        <v>সবচেয়ে গুরুত্বপূর্ণ গুণ ছিল কেবল ব্যক্তিগত শক্তি নয় বরং দলের ঐক্য এবং সমন্বিত প্রচেষ্টা, যা ছিল জয়ের মূল চাবিকাঠি।</v>
      </c>
    </row>
    <row r="117">
      <c r="A117" s="7">
        <v>116.0</v>
      </c>
      <c r="B117" s="7" t="s">
        <v>951</v>
      </c>
      <c r="C117" s="7" t="s">
        <v>952</v>
      </c>
      <c r="D117" s="7" t="s">
        <v>953</v>
      </c>
      <c r="E117" s="7" t="s">
        <v>954</v>
      </c>
      <c r="I117" s="10" t="str">
        <f>IFERROR(__xludf.DUMMYFUNCTION("GOOGLETRANSLATE(A117, ""en"", ""bn"")"),"১১৬")</f>
        <v>১১৬</v>
      </c>
      <c r="J117" s="10" t="str">
        <f>IFERROR(__xludf.DUMMYFUNCTION("GOOGLETRANSLATE(B117, ""en"", ""bn"")"),"ঐতিহাসিক দাড়িবান্ধা খেলাটি আধুনিক খেলার থেকে কীভাবে আলাদা ছিল?")</f>
        <v>ঐতিহাসিক দাড়িবান্ধা খেলাটি আধুনিক খেলার থেকে কীভাবে আলাদা ছিল?</v>
      </c>
      <c r="K117" s="10" t="str">
        <f>IFERROR(__xludf.DUMMYFUNCTION("GOOGLETRANSLATE(C117, ""en"", ""bn"")"),"ক) এটি কম সংগঠিত ছিল, খ) এটি জয়ের চেয়ে সাম্প্রদায়িক বন্ধনের বিষয়ে বেশি ছিল, গ) এটি বিরোধ নিষ্পত্তির একটি উপায় ছিল, ঘ) ক এবং খ উভয়ই")</f>
        <v>ক) এটি কম সংগঠিত ছিল, খ) এটি জয়ের চেয়ে সাম্প্রদায়িক বন্ধনের বিষয়ে বেশি ছিল, গ) এটি বিরোধ নিষ্পত্তির একটি উপায় ছিল, ঘ) ক এবং খ উভয়ই</v>
      </c>
      <c r="L117" s="10" t="str">
        <f>IFERROR(__xludf.DUMMYFUNCTION("GOOGLETRANSLATE(D117, ""en"", ""bn"")"),"ঘ) ক এবং খ উভয়ই")</f>
        <v>ঘ) ক এবং খ উভয়ই</v>
      </c>
      <c r="M117" s="10" t="str">
        <f>IFERROR(__xludf.DUMMYFUNCTION("GOOGLETRANSLATE(E117, ""en"", ""bn"")"),"ঐতিহাসিকভাবে, খেলাটি কম সংগঠিত ছিল এবং তীব্র প্রতিযোগিতার চেয়ে মজা এবং সম্প্রদায়ের বন্ধনের জন্য বেশি খেলা হত।")</f>
        <v>ঐতিহাসিকভাবে, খেলাটি কম সংগঠিত ছিল এবং তীব্র প্রতিযোগিতার চেয়ে মজা এবং সম্প্রদায়ের বন্ধনের জন্য বেশি খেলা হত।</v>
      </c>
    </row>
    <row r="118">
      <c r="A118" s="7">
        <v>117.0</v>
      </c>
      <c r="B118" s="7" t="s">
        <v>955</v>
      </c>
      <c r="C118" s="7" t="s">
        <v>956</v>
      </c>
      <c r="D118" s="7" t="s">
        <v>957</v>
      </c>
      <c r="E118" s="7" t="s">
        <v>958</v>
      </c>
      <c r="I118" s="10" t="str">
        <f>IFERROR(__xludf.DUMMYFUNCTION("GOOGLETRANSLATE(A118, ""en"", ""bn"")"),"১১৭")</f>
        <v>১১৭</v>
      </c>
      <c r="J118" s="10" t="str">
        <f>IFERROR(__xludf.DUMMYFUNCTION("GOOGLETRANSLATE(B118, ""en"", ""bn"")"),"খেলার সরলতার ঐতিহাসিক তাৎপর্য কী ছিল?")</f>
        <v>খেলার সরলতার ঐতিহাসিক তাৎপর্য কী ছিল?</v>
      </c>
      <c r="K118" s="10" t="str">
        <f>IFERROR(__xludf.DUMMYFUNCTION("GOOGLETRANSLATE(C118, ""en"", ""bn"")"),"ক) এটি গেমটিকে একঘেয়ে করে তুলেছিল, খ) এটি গেমটিকে সবার জন্য সহজলভ্য করে তুলেছিল, গ) এটি গেমটি খেলা কঠিন করে তুলেছিল, ঘ) এটি এটিকে কম জনপ্রিয় করে তোলার একটি উপায় ছিল")</f>
        <v>ক) এটি গেমটিকে একঘেয়ে করে তুলেছিল, খ) এটি গেমটিকে সবার জন্য সহজলভ্য করে তুলেছিল, গ) এটি গেমটি খেলা কঠিন করে তুলেছিল, ঘ) এটি এটিকে কম জনপ্রিয় করে তোলার একটি উপায় ছিল</v>
      </c>
      <c r="L118" s="10" t="str">
        <f>IFERROR(__xludf.DUMMYFUNCTION("GOOGLETRANSLATE(D118, ""en"", ""bn"")"),"খ) এটি গেমটিকে সকলের কাছে অ্যাক্সেসযোগ্য করে তুলেছে")</f>
        <v>খ) এটি গেমটিকে সকলের কাছে অ্যাক্সেসযোগ্য করে তুলেছে</v>
      </c>
      <c r="M118" s="10" t="str">
        <f>IFERROR(__xludf.DUMMYFUNCTION("GOOGLETRANSLATE(E118, ""en"", ""bn"")"),"গেমটির সরলতা, এর ন্যূনতম সরঞ্জাম সহ, এর অর্থ ছিল যে কেউ এটি খেলতে পারত, তাদের সামাজিক বা অর্থনৈতিক পটভূমি নির্বিশেষে।")</f>
        <v>গেমটির সরলতা, এর ন্যূনতম সরঞ্জাম সহ, এর অর্থ ছিল যে কেউ এটি খেলতে পারত, তাদের সামাজিক বা অর্থনৈতিক পটভূমি নির্বিশেষে।</v>
      </c>
    </row>
    <row r="119">
      <c r="A119" s="7">
        <v>118.0</v>
      </c>
      <c r="B119" s="7" t="s">
        <v>959</v>
      </c>
      <c r="C119" s="7" t="s">
        <v>960</v>
      </c>
      <c r="D119" s="7" t="s">
        <v>961</v>
      </c>
      <c r="E119" s="7" t="s">
        <v>962</v>
      </c>
      <c r="I119" s="10" t="str">
        <f>IFERROR(__xludf.DUMMYFUNCTION("GOOGLETRANSLATE(A119, ""en"", ""bn"")"),"১১৮")</f>
        <v>১১৮</v>
      </c>
      <c r="J119" s="10" t="str">
        <f>IFERROR(__xludf.DUMMYFUNCTION("GOOGLETRANSLATE(B119, ""en"", ""bn"")"),"ঐতিহাসিক প্রেক্ষাপটে, দাড়িয়াবান্ধার নিয়মের প্রাথমিক উৎস কী ছিল?")</f>
        <v>ঐতিহাসিক প্রেক্ষাপটে, দাড়িয়াবান্ধার নিয়মের প্রাথমিক উৎস কী ছিল?</v>
      </c>
      <c r="K119" s="10" t="str">
        <f>IFERROR(__xludf.DUMMYFUNCTION("GOOGLETRANSLATE(C119, ""en"", ""bn"")"),"ক) লিখিত আইন, খ) মৌখিক ঐতিহ্য, গ) সরকারি নিয়ন্ত্রণ, ঘ) আন্তর্জাতিক ক্রীড়া সংস্থা")</f>
        <v>ক) লিখিত আইন, খ) মৌখিক ঐতিহ্য, গ) সরকারি নিয়ন্ত্রণ, ঘ) আন্তর্জাতিক ক্রীড়া সংস্থা</v>
      </c>
      <c r="L119" s="10" t="str">
        <f>IFERROR(__xludf.DUMMYFUNCTION("GOOGLETRANSLATE(D119, ""en"", ""bn"")"),"খ) মৌখিক ঐতিহ্য")</f>
        <v>খ) মৌখিক ঐতিহ্য</v>
      </c>
      <c r="M119" s="10" t="str">
        <f>IFERROR(__xludf.DUMMYFUNCTION("GOOGLETRANSLATE(E119, ""en"", ""bn"")"),"খেলার নিয়মগুলি মৌখিক ঐতিহ্যের মাধ্যমে প্রজন্মের পর প্রজন্ম ধরে চলে এসেছে এবং স্থানীয় পরিবর্তনের সাপেক্ষে ছিল।")</f>
        <v>খেলার নিয়মগুলি মৌখিক ঐতিহ্যের মাধ্যমে প্রজন্মের পর প্রজন্ম ধরে চলে এসেছে এবং স্থানীয় পরিবর্তনের সাপেক্ষে ছিল।</v>
      </c>
    </row>
    <row r="120">
      <c r="A120" s="7">
        <v>119.0</v>
      </c>
      <c r="B120" s="7" t="s">
        <v>963</v>
      </c>
      <c r="C120" s="7" t="s">
        <v>964</v>
      </c>
      <c r="D120" s="7" t="s">
        <v>965</v>
      </c>
      <c r="E120" s="7" t="s">
        <v>966</v>
      </c>
      <c r="I120" s="10" t="str">
        <f>IFERROR(__xludf.DUMMYFUNCTION("GOOGLETRANSLATE(A120, ""en"", ""bn"")"),"১১৯")</f>
        <v>১১৯</v>
      </c>
      <c r="J120" s="10" t="str">
        <f>IFERROR(__xludf.DUMMYFUNCTION("GOOGLETRANSLATE(B120, ""en"", ""bn"")"),"কোন ঐতিহাসিক ঘটনার ফলে দরিয়াবান্ধার প্রতি আগ্রহ পুনরুজ্জীবিত হয়েছিল?")</f>
        <v>কোন ঐতিহাসিক ঘটনার ফলে দরিয়াবান্ধার প্রতি আগ্রহ পুনরুজ্জীবিত হয়েছিল?</v>
      </c>
      <c r="K120" s="10" t="str">
        <f>IFERROR(__xludf.DUMMYFUNCTION("GOOGLETRANSLATE(C120, ""en"", ""bn"")"),"ক) ঢাকা-কলকাতা ট্রেন পরিষেবা, খ) একজন বিদেশী বিশিষ্ট ব্যক্তির সফর, গ) একটি জাতীয় ছুটির দিন উদযাপন, ঘ) বাংলার নবজাগরণ")</f>
        <v>ক) ঢাকা-কলকাতা ট্রেন পরিষেবা, খ) একজন বিদেশী বিশিষ্ট ব্যক্তির সফর, গ) একটি জাতীয় ছুটির দিন উদযাপন, ঘ) বাংলার নবজাগরণ</v>
      </c>
      <c r="L120" s="10" t="str">
        <f>IFERROR(__xludf.DUMMYFUNCTION("GOOGLETRANSLATE(D120, ""en"", ""bn"")"),"গ) জাতীয় ছুটির দিন উদযাপন")</f>
        <v>গ) জাতীয় ছুটির দিন উদযাপন</v>
      </c>
      <c r="M120" s="10" t="str">
        <f>IFERROR(__xludf.DUMMYFUNCTION("GOOGLETRANSLATE(E120, ""en"", ""bn"")"),"জাতীয় ছুটির দিন এবং সাংস্কৃতিক উৎসবগুলিতে প্রায়শই সাংস্কৃতিক ঐতিহ্য উদযাপন এবং সংরক্ষণের উপায় হিসেবে দাড়িয়াবান্ধার মতো ঐতিহ্যবাহী খেলা অন্তর্ভুক্ত থাকে।")</f>
        <v>জাতীয় ছুটির দিন এবং সাংস্কৃতিক উৎসবগুলিতে প্রায়শই সাংস্কৃতিক ঐতিহ্য উদযাপন এবং সংরক্ষণের উপায় হিসেবে দাড়িয়াবান্ধার মতো ঐতিহ্যবাহী খেলা অন্তর্ভুক্ত থাকে।</v>
      </c>
    </row>
    <row r="121">
      <c r="A121" s="7">
        <v>120.0</v>
      </c>
      <c r="B121" s="7" t="s">
        <v>967</v>
      </c>
      <c r="C121" s="7" t="s">
        <v>968</v>
      </c>
      <c r="D121" s="7" t="s">
        <v>969</v>
      </c>
      <c r="E121" s="7" t="s">
        <v>970</v>
      </c>
      <c r="I121" s="10" t="str">
        <f>IFERROR(__xludf.DUMMYFUNCTION("GOOGLETRANSLATE(A121, ""en"", ""bn"")"),"১২০")</f>
        <v>১২০</v>
      </c>
      <c r="J121" s="10" t="str">
        <f>IFERROR(__xludf.DUMMYFUNCTION("GOOGLETRANSLATE(B121, ""en"", ""bn"")"),"আধুনিক পুনরুজ্জীবনে দরিয়াবান্ধার কোন ঐতিহাসিক দিকটি প্রতিফলিত হয়?")</f>
        <v>আধুনিক পুনরুজ্জীবনে দরিয়াবান্ধার কোন ঐতিহাসিক দিকটি প্রতিফলিত হয়?</v>
      </c>
      <c r="K121" s="10" t="str">
        <f>IFERROR(__xludf.DUMMYFUNCTION("GOOGLETRANSLATE(C121, ""en"", ""bn"")"),"ক) ঐতিহ্যের উপর এর দৃষ্টি নিবদ্ধকরণ, খ) এর প্রতিযোগিতামূলক প্রকৃতি, গ) বিপণনের হাতিয়ার হিসেবে এর ব্যবহার, ঘ) এর পেশাদারিত্ব")</f>
        <v>ক) ঐতিহ্যের উপর এর দৃষ্টি নিবদ্ধকরণ, খ) এর প্রতিযোগিতামূলক প্রকৃতি, গ) বিপণনের হাতিয়ার হিসেবে এর ব্যবহার, ঘ) এর পেশাদারিত্ব</v>
      </c>
      <c r="L121" s="10" t="str">
        <f>IFERROR(__xludf.DUMMYFUNCTION("GOOGLETRANSLATE(D121, ""en"", ""bn"")"),"ক) ঐতিহ্যের উপর এর দৃষ্টি নিবদ্ধ")</f>
        <v>ক) ঐতিহ্যের উপর এর দৃষ্টি নিবদ্ধ</v>
      </c>
      <c r="M121" s="10" t="str">
        <f>IFERROR(__xludf.DUMMYFUNCTION("GOOGLETRANSLATE(E121, ""en"", ""bn"")"),"খেলার আধুনিক পুনরুজ্জীবন এর ঐতিহাসিক এবং ঐতিহ্যবাহী শিকড়ের উপর দৃষ্টি নিবদ্ধ করে, এটিকে বাংলাদেশের সাংস্কৃতিক ঐতিহ্যের অংশ হিসেবে উদযাপন করে।")</f>
        <v>খেলার আধুনিক পুনরুজ্জীবন এর ঐতিহাসিক এবং ঐতিহ্যবাহী শিকড়ের উপর দৃষ্টি নিবদ্ধ করে, এটিকে বাংলাদেশের সাংস্কৃতিক ঐতিহ্যের অংশ হিসেবে উদযাপন করে।</v>
      </c>
    </row>
    <row r="122">
      <c r="A122" s="7">
        <v>121.0</v>
      </c>
      <c r="B122" s="7" t="s">
        <v>971</v>
      </c>
      <c r="C122" s="7" t="s">
        <v>972</v>
      </c>
      <c r="D122" s="7" t="s">
        <v>973</v>
      </c>
      <c r="E122" s="7" t="s">
        <v>974</v>
      </c>
      <c r="I122" s="10" t="str">
        <f>IFERROR(__xludf.DUMMYFUNCTION("GOOGLETRANSLATE(A122, ""en"", ""bn"")"),"১২১")</f>
        <v>১২১</v>
      </c>
      <c r="J122" s="10" t="str">
        <f>IFERROR(__xludf.DUMMYFUNCTION("GOOGLETRANSLATE(B122, ""en"", ""bn"")"),"ঐতিহাসিকভাবে, দাড়িয়াবান্ধার জন্য সবচেয়ে সাধারণ খেলার মাঠ কী ছিল?")</f>
        <v>ঐতিহাসিকভাবে, দাড়িয়াবান্ধার জন্য সবচেয়ে সাধারণ খেলার মাঠ কী ছিল?</v>
      </c>
      <c r="K122" s="10" t="str">
        <f>IFERROR(__xludf.DUMMYFUNCTION("GOOGLETRANSLATE(C122, ""en"", ""bn"")"),"ক) বিশেষভাবে নির্মিত স্টেডিয়াম, খ) পরিত্যক্ত জমি, গ) খোলা মাঠ বা গ্রামের চত্বর, ঘ) পাকা রাস্তা")</f>
        <v>ক) বিশেষভাবে নির্মিত স্টেডিয়াম, খ) পরিত্যক্ত জমি, গ) খোলা মাঠ বা গ্রামের চত্বর, ঘ) পাকা রাস্তা</v>
      </c>
      <c r="L122" s="10" t="str">
        <f>IFERROR(__xludf.DUMMYFUNCTION("GOOGLETRANSLATE(D122, ""en"", ""bn"")"),"গ) একটি খোলা মাঠ বা গ্রামের চত্বর")</f>
        <v>গ) একটি খোলা মাঠ বা গ্রামের চত্বর</v>
      </c>
      <c r="M122" s="10" t="str">
        <f>IFERROR(__xludf.DUMMYFUNCTION("GOOGLETRANSLATE(E122, ""en"", ""bn"")"),"ঐতিহাসিকভাবে খেলাটি যেকোনো উন্মুক্ত স্থানে, যেমন মাঠ বা গ্রামের চত্বরে খেলা হত, যা এর অনানুষ্ঠানিক প্রকৃতিকে প্রতিফলিত করে।")</f>
        <v>ঐতিহাসিকভাবে খেলাটি যেকোনো উন্মুক্ত স্থানে, যেমন মাঠ বা গ্রামের চত্বরে খেলা হত, যা এর অনানুষ্ঠানিক প্রকৃতিকে প্রতিফলিত করে।</v>
      </c>
    </row>
    <row r="123">
      <c r="A123" s="7">
        <v>122.0</v>
      </c>
      <c r="B123" s="7" t="s">
        <v>975</v>
      </c>
      <c r="C123" s="7" t="s">
        <v>976</v>
      </c>
      <c r="D123" s="7" t="s">
        <v>977</v>
      </c>
      <c r="E123" s="7" t="s">
        <v>978</v>
      </c>
      <c r="I123" s="10" t="str">
        <f>IFERROR(__xludf.DUMMYFUNCTION("GOOGLETRANSLATE(A123, ""en"", ""bn"")"),"১২২")</f>
        <v>১২২</v>
      </c>
      <c r="J123" s="10" t="str">
        <f>IFERROR(__xludf.DUMMYFUNCTION("GOOGLETRANSLATE(B123, ""en"", ""bn"")"),"গ্রামীণ সম্প্রদায়গুলিতে দাড়িবান্ধা কোন ঐতিহাসিক সামাজিক উদ্দেশ্যে কাজ করেছিল?")</f>
        <v>গ্রামীণ সম্প্রদায়গুলিতে দাড়িবান্ধা কোন ঐতিহাসিক সামাজিক উদ্দেশ্যে কাজ করেছিল?</v>
      </c>
      <c r="K123" s="10" t="str">
        <f>IFERROR(__xludf.DUMMYFUNCTION("GOOGLETRANSLATE(C123, ""en"", ""bn"")"),"ক) রাজনৈতিক প্রতিবাদের একটি মাধ্যম, খ) ধর্মীয় উপাসনার একটি রূপ, গ) ব্যক্তিগত ঋণ পরিশোধের একটি উপায়, ঘ) বিনোদন এবং সামাজিক সংহতির একটি রূপ")</f>
        <v>ক) রাজনৈতিক প্রতিবাদের একটি মাধ্যম, খ) ধর্মীয় উপাসনার একটি রূপ, গ) ব্যক্তিগত ঋণ পরিশোধের একটি উপায়, ঘ) বিনোদন এবং সামাজিক সংহতির একটি রূপ</v>
      </c>
      <c r="L123" s="10" t="str">
        <f>IFERROR(__xludf.DUMMYFUNCTION("GOOGLETRANSLATE(D123, ""en"", ""bn"")"),"ঘ) বিনোদন এবং সামাজিক সংহতির এক রূপ")</f>
        <v>ঘ) বিনোদন এবং সামাজিক সংহতির এক রূপ</v>
      </c>
      <c r="M123" s="10" t="str">
        <f>IFERROR(__xludf.DUMMYFUNCTION("GOOGLETRANSLATE(E123, ""en"", ""bn"")"),"এই খেলাটি গ্রামের সামাজিক জীবনের একটি গুরুত্বপূর্ণ অংশ ছিল, যা মানুষকে বিনোদনের জন্য একত্রিত করত এবং সম্প্রদায়ের একটি শক্তিশালী অনুভূতি গড়ে তুলত।")</f>
        <v>এই খেলাটি গ্রামের সামাজিক জীবনের একটি গুরুত্বপূর্ণ অংশ ছিল, যা মানুষকে বিনোদনের জন্য একত্রিত করত এবং সম্প্রদায়ের একটি শক্তিশালী অনুভূতি গড়ে তুলত।</v>
      </c>
    </row>
    <row r="124">
      <c r="A124" s="7">
        <v>123.0</v>
      </c>
      <c r="B124" s="7" t="s">
        <v>979</v>
      </c>
      <c r="C124" s="7" t="s">
        <v>980</v>
      </c>
      <c r="D124" s="7" t="s">
        <v>981</v>
      </c>
      <c r="E124" s="7" t="s">
        <v>982</v>
      </c>
      <c r="I124" s="10" t="str">
        <f>IFERROR(__xludf.DUMMYFUNCTION("GOOGLETRANSLATE(A124, ""en"", ""bn"")"),"১২৩")</f>
        <v>১২৩</v>
      </c>
      <c r="J124" s="10" t="str">
        <f>IFERROR(__xludf.DUMMYFUNCTION("GOOGLETRANSLATE(B124, ""en"", ""bn"")"),"দাড়িবান্ধা খেলার সময় জনতার গর্জনের ঐতিহাসিক তাৎপর্য কী ছিল?")</f>
        <v>দাড়িবান্ধা খেলার সময় জনতার গর্জনের ঐতিহাসিক তাৎপর্য কী ছিল?</v>
      </c>
      <c r="K124" s="10" t="str">
        <f>IFERROR(__xludf.DUMMYFUNCTION("GOOGLETRANSLATE(C124, ""en"", ""bn"")"),"ক) এটি ছিল অন্য দলকে অপমান করার একটি উপায়, খ) এটি ছিল খেলোয়াড়দের প্রতি শ্রদ্ধা প্রদর্শনের একটি উপায়, গ) এটি ছিল তাদের সমর্থন প্রদর্শন এবং তাদের দলের মনোবল বাড়ানোর একটি উপায়, ঘ) এটি ছিল খেলার সমাপ্তির ইঙ্গিত দেওয়ার একটি উপায়")</f>
        <v>ক) এটি ছিল অন্য দলকে অপমান করার একটি উপায়, খ) এটি ছিল খেলোয়াড়দের প্রতি শ্রদ্ধা প্রদর্শনের একটি উপায়, গ) এটি ছিল তাদের সমর্থন প্রদর্শন এবং তাদের দলের মনোবল বাড়ানোর একটি উপায়, ঘ) এটি ছিল খেলার সমাপ্তির ইঙ্গিত দেওয়ার একটি উপায়</v>
      </c>
      <c r="L124" s="10" t="str">
        <f>IFERROR(__xludf.DUMMYFUNCTION("GOOGLETRANSLATE(D124, ""en"", ""bn"")"),"গ) এটি ছিল তাদের সমর্থন দেখানোর এবং তাদের দলের মনোবল বাড়ানোর একটি উপায়।")</f>
        <v>গ) এটি ছিল তাদের সমর্থন দেখানোর এবং তাদের দলের মনোবল বাড়ানোর একটি উপায়।</v>
      </c>
      <c r="M124" s="10" t="str">
        <f>IFERROR(__xludf.DUMMYFUNCTION("GOOGLETRANSLATE(E124, ""en"", ""bn"")"),"উল্লাসিত জনতার গর্জন খেলার একটি ঐতিহাসিক অংশ ছিল, যা তাদের দলের খেলোয়াড়দের এক শক্তিশালী মানসিক উদ্দীপনা জোগায়।")</f>
        <v>উল্লাসিত জনতার গর্জন খেলার একটি ঐতিহাসিক অংশ ছিল, যা তাদের দলের খেলোয়াড়দের এক শক্তিশালী মানসিক উদ্দীপনা জোগায়।</v>
      </c>
    </row>
    <row r="125">
      <c r="A125" s="7">
        <v>124.0</v>
      </c>
      <c r="B125" s="7" t="s">
        <v>983</v>
      </c>
      <c r="C125" s="7" t="s">
        <v>984</v>
      </c>
      <c r="D125" s="7" t="s">
        <v>985</v>
      </c>
      <c r="E125" s="7" t="s">
        <v>986</v>
      </c>
      <c r="I125" s="10" t="str">
        <f>IFERROR(__xludf.DUMMYFUNCTION("GOOGLETRANSLATE(A125, ""en"", ""bn"")"),"১২৪")</f>
        <v>১২৪</v>
      </c>
      <c r="J125" s="10" t="str">
        <f>IFERROR(__xludf.DUMMYFUNCTION("GOOGLETRANSLATE(B125, ""en"", ""bn"")"),"ব্রিটিশ ঔপনিবেশিক আমল কীভাবে পরোক্ষভাবে দাড়িবান্ধা খেলার উপর প্রভাব ফেলেছিল?")</f>
        <v>ব্রিটিশ ঔপনিবেশিক আমল কীভাবে পরোক্ষভাবে দাড়িবান্ধা খেলার উপর প্রভাব ফেলেছিল?</v>
      </c>
      <c r="K125" s="10" t="str">
        <f>IFERROR(__xludf.DUMMYFUNCTION("GOOGLETRANSLATE(C125, ""en"", ""bn"")"),"ক) নতুন নিয়ম চালু করে, খ) ঐতিহ্যবাহী খেলার সাথে প্রতিযোগিতা করে এমন পশ্চিমা খেলাধুলা প্রচার করে, গ) পাটের ব্যবহার নিষিদ্ধ করে, ঘ) খেলাটির জন্য অর্থায়ন করে")</f>
        <v>ক) নতুন নিয়ম চালু করে, খ) ঐতিহ্যবাহী খেলার সাথে প্রতিযোগিতা করে এমন পশ্চিমা খেলাধুলা প্রচার করে, গ) পাটের ব্যবহার নিষিদ্ধ করে, ঘ) খেলাটির জন্য অর্থায়ন করে</v>
      </c>
      <c r="L125" s="10" t="str">
        <f>IFERROR(__xludf.DUMMYFUNCTION("GOOGLETRANSLATE(D125, ""en"", ""bn"")"),"খ) ঐতিহ্যবাহী খেলার সাথে প্রতিযোগিতামূলক পশ্চিমা খেলাধুলা প্রচারের মাধ্যমে")</f>
        <v>খ) ঐতিহ্যবাহী খেলার সাথে প্রতিযোগিতামূলক পশ্চিমা খেলাধুলা প্রচারের মাধ্যমে</v>
      </c>
      <c r="M125" s="10" t="str">
        <f>IFERROR(__xludf.DUMMYFUNCTION("GOOGLETRANSLATE(E125, ""en"", ""bn"")"),"ব্রিটিশদের দ্বারা ক্রিকেট এবং ফুটবলের মতো খেলাধুলার প্রবর্তনের ফলে বিনোদনের নতুন ধরণ তৈরি হয় যা ধীরে ধীরে কিছু অঞ্চলে ঐতিহ্যবাহী খেলাগুলিকে প্রতিস্থাপন করে।")</f>
        <v>ব্রিটিশদের দ্বারা ক্রিকেট এবং ফুটবলের মতো খেলাধুলার প্রবর্তনের ফলে বিনোদনের নতুন ধরণ তৈরি হয় যা ধীরে ধীরে কিছু অঞ্চলে ঐতিহ্যবাহী খেলাগুলিকে প্রতিস্থাপন করে।</v>
      </c>
    </row>
    <row r="126">
      <c r="A126" s="7">
        <v>125.0</v>
      </c>
      <c r="B126" s="7" t="s">
        <v>987</v>
      </c>
      <c r="C126" s="7" t="s">
        <v>988</v>
      </c>
      <c r="D126" s="7" t="s">
        <v>989</v>
      </c>
      <c r="E126" s="7" t="s">
        <v>990</v>
      </c>
      <c r="I126" s="10" t="str">
        <f>IFERROR(__xludf.DUMMYFUNCTION("GOOGLETRANSLATE(A126, ""en"", ""bn"")"),"১২৫")</f>
        <v>১২৫</v>
      </c>
      <c r="J126" s="10" t="str">
        <f>IFERROR(__xludf.DUMMYFUNCTION("GOOGLETRANSLATE(B126, ""en"", ""bn"")"),"ঐতিহাসিক প্রেক্ষাপটে, দাড়িবান্ধা ম্যাচের সবচেয়ে গুরুত্বপূর্ণ দিকটি কী ছিল?")</f>
        <v>ঐতিহাসিক প্রেক্ষাপটে, দাড়িবান্ধা ম্যাচের সবচেয়ে গুরুত্বপূর্ণ দিকটি কী ছিল?</v>
      </c>
      <c r="K126" s="10" t="str">
        <f>IFERROR(__xludf.DUMMYFUNCTION("GOOGLETRANSLATE(C126, ""en"", ""bn"")"),"ক) চূড়ান্ত স্কোর, খ) খেলোয়াড়দের শক্তি, গ) সম্প্রদায় এবং অংশগ্রহণের অনুভূতি, ঘ) খেলার দৈর্ঘ্য")</f>
        <v>ক) চূড়ান্ত স্কোর, খ) খেলোয়াড়দের শক্তি, গ) সম্প্রদায় এবং অংশগ্রহণের অনুভূতি, ঘ) খেলার দৈর্ঘ্য</v>
      </c>
      <c r="L126" s="10" t="str">
        <f>IFERROR(__xludf.DUMMYFUNCTION("GOOGLETRANSLATE(D126, ""en"", ""bn"")"),"গ) সম্প্রদায় এবং অংশগ্রহণের অনুভূতি")</f>
        <v>গ) সম্প্রদায় এবং অংশগ্রহণের অনুভূতি</v>
      </c>
      <c r="M126" s="10" t="str">
        <f>IFERROR(__xludf.DUMMYFUNCTION("GOOGLETRANSLATE(E126, ""en"", ""bn"")"),"ঐতিহাসিকভাবে, খেলার সবচেয়ে গুরুত্বপূর্ণ দিকটি ছিল জয় নয় বরং ভাগ করা অভিজ্ঞতা, সম্প্রদায়ের অংশগ্রহণ এবং এর দ্বারা উদ্ভূত ঐক্যের অনুভূতি।")</f>
        <v>ঐতিহাসিকভাবে, খেলার সবচেয়ে গুরুত্বপূর্ণ দিকটি ছিল জয় নয় বরং ভাগ করা অভিজ্ঞতা, সম্প্রদায়ের অংশগ্রহণ এবং এর দ্বারা উদ্ভূত ঐক্যের অনুভূতি।</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5" width="37.63"/>
    <col customWidth="1" min="11" max="12" width="37.63"/>
    <col customWidth="1" min="13" max="13" width="29.38"/>
    <col customWidth="1" min="14" max="14" width="37.63"/>
  </cols>
  <sheetData>
    <row r="1">
      <c r="A1" s="1" t="s">
        <v>0</v>
      </c>
      <c r="B1" s="1" t="s">
        <v>1</v>
      </c>
      <c r="C1" s="1" t="s">
        <v>2</v>
      </c>
      <c r="D1" s="1" t="s">
        <v>3</v>
      </c>
      <c r="E1" s="1" t="s">
        <v>4</v>
      </c>
      <c r="J1" s="9" t="s">
        <v>5</v>
      </c>
      <c r="K1" s="9" t="s">
        <v>6</v>
      </c>
      <c r="L1" s="9" t="s">
        <v>7</v>
      </c>
      <c r="M1" s="9" t="s">
        <v>8</v>
      </c>
      <c r="N1" s="9" t="s">
        <v>9</v>
      </c>
    </row>
    <row r="2">
      <c r="A2" s="4">
        <v>1.0</v>
      </c>
      <c r="B2" s="4" t="s">
        <v>991</v>
      </c>
      <c r="C2" s="4" t="s">
        <v>503</v>
      </c>
      <c r="D2" s="4" t="s">
        <v>12</v>
      </c>
      <c r="E2" s="4" t="s">
        <v>992</v>
      </c>
      <c r="J2" s="10" t="str">
        <f>IFERROR(__xludf.DUMMYFUNCTION("GOOGLETRANSLATE(A2, ""en"", ""bn"")"),"১")</f>
        <v>১</v>
      </c>
      <c r="K2" s="10" t="str">
        <f>IFERROR(__xludf.DUMMYFUNCTION("GOOGLETRANSLATE(B2, ""en"", ""bn"")"),"গোল্লা চুট খেলার উৎপত্তি কোথায়?")</f>
        <v>গোল্লা চুট খেলার উৎপত্তি কোথায়?</v>
      </c>
      <c r="L2" s="10" t="str">
        <f>IFERROR(__xludf.DUMMYFUNCTION("GOOGLETRANSLATE(C2, ""en"", ""bn"")"),"ক) ভারত, খ) বাংলাদেশ, গ) নেপাল, ঘ) পাকিস্তান")</f>
        <v>ক) ভারত, খ) বাংলাদেশ, গ) নেপাল, ঘ) পাকিস্তান</v>
      </c>
      <c r="M2" s="10" t="str">
        <f>IFERROR(__xludf.DUMMYFUNCTION("GOOGLETRANSLATE(D2, ""en"", ""bn"")"),"খ) বাংলাদেশ")</f>
        <v>খ) বাংলাদেশ</v>
      </c>
      <c r="N2" s="10" t="str">
        <f>IFERROR(__xludf.DUMMYFUNCTION("GOOGLETRANSLATE(E2, ""en"", ""bn"")"),"গোল্লা চুট বাংলাদেশের একটি ঐতিহ্যবাহী খেলা যার গভীর সাংস্কৃতিক শেকড় রয়েছে।")</f>
        <v>গোল্লা চুট বাংলাদেশের একটি ঐতিহ্যবাহী খেলা যার গভীর সাংস্কৃতিক শেকড় রয়েছে।</v>
      </c>
    </row>
    <row r="3">
      <c r="A3" s="4">
        <v>2.0</v>
      </c>
      <c r="B3" s="4" t="s">
        <v>993</v>
      </c>
      <c r="C3" s="4" t="s">
        <v>994</v>
      </c>
      <c r="D3" s="4" t="s">
        <v>995</v>
      </c>
      <c r="E3" s="4" t="s">
        <v>996</v>
      </c>
      <c r="J3" s="10" t="str">
        <f>IFERROR(__xludf.DUMMYFUNCTION("GOOGLETRANSLATE(A3, ""en"", ""bn"")"),"২")</f>
        <v>২</v>
      </c>
      <c r="K3" s="10" t="str">
        <f>IFERROR(__xludf.DUMMYFUNCTION("GOOGLETRANSLATE(B3, ""en"", ""bn"")"),"গোল্লা চুটে, দুটি দলের লক্ষ্য কী অর্জন করা?")</f>
        <v>গোল্লা চুটে, দুটি দলের লক্ষ্য কী অর্জন করা?</v>
      </c>
      <c r="L3" s="10" t="str">
        <f>IFERROR(__xludf.DUMMYFUNCTION("GOOGLETRANSLATE(C3, ""en"", ""bn"")"),"ক) সর্বোচ্চ গোল করা, খ) ট্যাগ এড়ানো, গ) লক্ষ্যবস্তুকে ছিটকে ফেলা, ঘ) প্রতিপক্ষের পতাকা ধরা")</f>
        <v>ক) সর্বোচ্চ গোল করা, খ) ট্যাগ এড়ানো, গ) লক্ষ্যবস্তুকে ছিটকে ফেলা, ঘ) প্রতিপক্ষের পতাকা ধরা</v>
      </c>
      <c r="M3" s="10" t="str">
        <f>IFERROR(__xludf.DUMMYFUNCTION("GOOGLETRANSLATE(D3, ""en"", ""bn"")"),"গ) লক্ষ্যবস্তুকে আঘাত করা")</f>
        <v>গ) লক্ষ্যবস্তুকে আঘাত করা</v>
      </c>
      <c r="N3" s="10" t="str">
        <f>IFERROR(__xludf.DUMMYFUNCTION("GOOGLETRANSLATE(E3, ""en"", ""bn"")"),"গোল্লা চুটে প্রাথমিক লক্ষ্য হলো এক দল লক্ষ্যবস্তুকে আঘাত করা এবং অন্য দলটি তা রক্ষা করে।")</f>
        <v>গোল্লা চুটে প্রাথমিক লক্ষ্য হলো এক দল লক্ষ্যবস্তুকে আঘাত করা এবং অন্য দলটি তা রক্ষা করে।</v>
      </c>
    </row>
    <row r="4">
      <c r="A4" s="4">
        <v>3.0</v>
      </c>
      <c r="B4" s="4" t="s">
        <v>997</v>
      </c>
      <c r="C4" s="4" t="s">
        <v>998</v>
      </c>
      <c r="D4" s="4" t="s">
        <v>999</v>
      </c>
      <c r="E4" s="4" t="s">
        <v>1000</v>
      </c>
      <c r="J4" s="10" t="str">
        <f>IFERROR(__xludf.DUMMYFUNCTION("GOOGLETRANSLATE(A4, ""en"", ""bn"")"),"৩")</f>
        <v>৩</v>
      </c>
      <c r="K4" s="10" t="str">
        <f>IFERROR(__xludf.DUMMYFUNCTION("GOOGLETRANSLATE(B4, ""en"", ""bn"")"),"গোল্লা চুটে ব্যবহৃত লক্ষ্য বস্তুর নাম কী?")</f>
        <v>গোল্লা চুটে ব্যবহৃত লক্ষ্য বস্তুর নাম কী?</v>
      </c>
      <c r="L4" s="10" t="str">
        <f>IFERROR(__xludf.DUMMYFUNCTION("GOOGLETRANSLATE(C4, ""en"", ""bn"")"),"ক) গোল্লা, খ) ছুট, গ) বল, ঘ) খুঁটি")</f>
        <v>ক) গোল্লা, খ) ছুট, গ) বল, ঘ) খুঁটি</v>
      </c>
      <c r="M4" s="10" t="str">
        <f>IFERROR(__xludf.DUMMYFUNCTION("GOOGLETRANSLATE(D4, ""en"", ""bn"")"),"ক) গোল্লা")</f>
        <v>ক) গোল্লা</v>
      </c>
      <c r="N4" s="10" t="str">
        <f>IFERROR(__xludf.DUMMYFUNCTION("GOOGLETRANSLATE(E4, ""en"", ""bn"")"),"এই খেলায় 'গোল্লা' নামক একটি লক্ষ্য জড়িত, যা দলগুলি ভেঙে ফেলার লক্ষ্য রাখে।")</f>
        <v>এই খেলায় 'গোল্লা' নামক একটি লক্ষ্য জড়িত, যা দলগুলি ভেঙে ফেলার লক্ষ্য রাখে।</v>
      </c>
    </row>
    <row r="5">
      <c r="A5" s="4">
        <v>4.0</v>
      </c>
      <c r="B5" s="4" t="s">
        <v>1001</v>
      </c>
      <c r="C5" s="4" t="s">
        <v>1002</v>
      </c>
      <c r="D5" s="4" t="s">
        <v>1003</v>
      </c>
      <c r="E5" s="4" t="s">
        <v>1004</v>
      </c>
      <c r="J5" s="10" t="str">
        <f>IFERROR(__xludf.DUMMYFUNCTION("GOOGLETRANSLATE(A5, ""en"", ""bn"")"),"৪")</f>
        <v>৪</v>
      </c>
      <c r="K5" s="10" t="str">
        <f>IFERROR(__xludf.DUMMYFUNCTION("GOOGLETRANSLATE(B5, ""en"", ""bn"")"),"গোল্লা চুট খেলায় সাধারণত কতজন খেলোয়াড় জড়িত থাকে?")</f>
        <v>গোল্লা চুট খেলায় সাধারণত কতজন খেলোয়াড় জড়িত থাকে?</v>
      </c>
      <c r="L5" s="10" t="str">
        <f>IFERROR(__xludf.DUMMYFUNCTION("GOOGLETRANSLATE(C5, ""en"", ""bn"")"),"ক) ৬, খ) ১০, গ) ১২, ঘ) ১৪")</f>
        <v>ক) ৬, খ) ১০, গ) ১২, ঘ) ১৪</v>
      </c>
      <c r="M5" s="10" t="str">
        <f>IFERROR(__xludf.DUMMYFUNCTION("GOOGLETRANSLATE(D5, ""en"", ""bn"")"),"গ) ১২")</f>
        <v>গ) ১২</v>
      </c>
      <c r="N5" s="10" t="str">
        <f>IFERROR(__xludf.DUMMYFUNCTION("GOOGLETRANSLATE(E5, ""en"", ""bn"")"),"একটি সাধারণ গোল্লা চুট খেলায় ১২ জন খেলোয়াড় থাকে, যাদের দুটি দলে ভাগ করা হয়।")</f>
        <v>একটি সাধারণ গোল্লা চুট খেলায় ১২ জন খেলোয়াড় থাকে, যাদের দুটি দলে ভাগ করা হয়।</v>
      </c>
    </row>
    <row r="6">
      <c r="A6" s="4">
        <v>5.0</v>
      </c>
      <c r="B6" s="4" t="s">
        <v>1005</v>
      </c>
      <c r="C6" s="4" t="s">
        <v>1006</v>
      </c>
      <c r="D6" s="4" t="s">
        <v>226</v>
      </c>
      <c r="E6" s="4" t="s">
        <v>1007</v>
      </c>
      <c r="J6" s="10" t="str">
        <f>IFERROR(__xludf.DUMMYFUNCTION("GOOGLETRANSLATE(A6, ""en"", ""bn"")"),"৫")</f>
        <v>৫</v>
      </c>
      <c r="K6" s="10" t="str">
        <f>IFERROR(__xludf.DUMMYFUNCTION("GOOGLETRANSLATE(B6, ""en"", ""bn"")"),"বাংলাদেশের কোন অঞ্চলে গোল্লা চুট সবচেয়ে বেশি জনপ্রিয়?")</f>
        <v>বাংলাদেশের কোন অঞ্চলে গোল্লা চুট সবচেয়ে বেশি জনপ্রিয়?</v>
      </c>
      <c r="L6" s="10" t="str">
        <f>IFERROR(__xludf.DUMMYFUNCTION("GOOGLETRANSLATE(C6, ""en"", ""bn"")"),"ক) চট্টগ্রাম, খ) খুলনা, গ) ঢাকা, ঘ) রাজশাহী")</f>
        <v>ক) চট্টগ্রাম, খ) খুলনা, গ) ঢাকা, ঘ) রাজশাহী</v>
      </c>
      <c r="M6" s="10" t="str">
        <f>IFERROR(__xludf.DUMMYFUNCTION("GOOGLETRANSLATE(D6, ""en"", ""bn"")"),"ক) চট্টগ্রাম")</f>
        <v>ক) চট্টগ্রাম</v>
      </c>
      <c r="N6" s="10" t="str">
        <f>IFERROR(__xludf.DUMMYFUNCTION("GOOGLETRANSLATE(E6, ""en"", ""bn"")"),"বাংলাদেশের চট্টগ্রাম অঞ্চলে গোল্লা চাট বিশেষভাবে জনপ্রিয়।")</f>
        <v>বাংলাদেশের চট্টগ্রাম অঞ্চলে গোল্লা চাট বিশেষভাবে জনপ্রিয়।</v>
      </c>
    </row>
    <row r="7">
      <c r="A7" s="4">
        <v>6.0</v>
      </c>
      <c r="B7" s="4" t="s">
        <v>1008</v>
      </c>
      <c r="C7" s="4" t="s">
        <v>1009</v>
      </c>
      <c r="D7" s="4" t="s">
        <v>134</v>
      </c>
      <c r="E7" s="4" t="s">
        <v>1010</v>
      </c>
      <c r="J7" s="10" t="str">
        <f>IFERROR(__xludf.DUMMYFUNCTION("GOOGLETRANSLATE(A7, ""en"", ""bn"")"),"৬")</f>
        <v>৬</v>
      </c>
      <c r="K7" s="10" t="str">
        <f>IFERROR(__xludf.DUMMYFUNCTION("GOOGLETRANSLATE(B7, ""en"", ""bn"")"),"গোল্লা চুট খেলার জন্য কোন ধরণের মাঠ ব্যবহার করা হয়?")</f>
        <v>গোল্লা চুট খেলার জন্য কোন ধরণের মাঠ ব্যবহার করা হয়?</v>
      </c>
      <c r="L7" s="10" t="str">
        <f>IFERROR(__xludf.DUMMYFUNCTION("GOOGLETRANSLATE(C7, ""en"", ""bn"")"),"ক) ঘাস, খ) কাদা, গ) কংক্রিট, ঘ) বালি")</f>
        <v>ক) ঘাস, খ) কাদা, গ) কংক্রিট, ঘ) বালি</v>
      </c>
      <c r="M7" s="10" t="str">
        <f>IFERROR(__xludf.DUMMYFUNCTION("GOOGLETRANSLATE(D7, ""en"", ""bn"")"),"খ) কাদা")</f>
        <v>খ) কাদা</v>
      </c>
      <c r="N7" s="10" t="str">
        <f>IFERROR(__xludf.DUMMYFUNCTION("GOOGLETRANSLATE(E7, ""en"", ""bn"")"),"খেলাটি ঐতিহ্যগতভাবে মাটির মাঠে খেলা হয়, যা এর গ্রাম্য সৌন্দর্যকে আরও বাড়িয়ে তোলে।")</f>
        <v>খেলাটি ঐতিহ্যগতভাবে মাটির মাঠে খেলা হয়, যা এর গ্রাম্য সৌন্দর্যকে আরও বাড়িয়ে তোলে।</v>
      </c>
    </row>
    <row r="8">
      <c r="A8" s="4">
        <v>7.0</v>
      </c>
      <c r="B8" s="4" t="s">
        <v>1011</v>
      </c>
      <c r="C8" s="4" t="s">
        <v>1012</v>
      </c>
      <c r="D8" s="4" t="s">
        <v>1013</v>
      </c>
      <c r="E8" s="4" t="s">
        <v>1014</v>
      </c>
      <c r="J8" s="10" t="str">
        <f>IFERROR(__xludf.DUMMYFUNCTION("GOOGLETRANSLATE(A8, ""en"", ""bn"")"),"৭")</f>
        <v>৭</v>
      </c>
      <c r="K8" s="10" t="str">
        <f>IFERROR(__xludf.DUMMYFUNCTION("GOOGLETRANSLATE(B8, ""en"", ""bn"")"),"বাংলাদেশ সরকার কখন গোল্লা চুটকে আনুষ্ঠানিকভাবে স্বীকৃতি দেয়?")</f>
        <v>বাংলাদেশ সরকার কখন গোল্লা চুটকে আনুষ্ঠানিকভাবে স্বীকৃতি দেয়?</v>
      </c>
      <c r="L8" s="10" t="str">
        <f>IFERROR(__xludf.DUMMYFUNCTION("GOOGLETRANSLATE(C8, ""en"", ""bn"")"),"ক) ১৯৭০, খ) ১৯৮০, গ) ১৯৯০, ঘ) ২০০০")</f>
        <v>ক) ১৯৭০, খ) ১৯৮০, গ) ১৯৯০, ঘ) ২০০০</v>
      </c>
      <c r="M8" s="10" t="str">
        <f>IFERROR(__xludf.DUMMYFUNCTION("GOOGLETRANSLATE(D8, ""en"", ""bn"")"),"ঘ) ২০০০")</f>
        <v>ঘ) ২০০০</v>
      </c>
      <c r="N8" s="10" t="str">
        <f>IFERROR(__xludf.DUMMYFUNCTION("GOOGLETRANSLATE(E8, ""en"", ""bn"")"),"২০০০ সালে বাংলাদেশ সরকার আনুষ্ঠানিকভাবে গোল্লা চুটকে একটি ঐতিহ্যবাহী খেলা হিসেবে স্বীকৃতি দেয়।")</f>
        <v>২০০০ সালে বাংলাদেশ সরকার আনুষ্ঠানিকভাবে গোল্লা চুটকে একটি ঐতিহ্যবাহী খেলা হিসেবে স্বীকৃতি দেয়।</v>
      </c>
    </row>
    <row r="9">
      <c r="A9" s="4">
        <v>8.0</v>
      </c>
      <c r="B9" s="4" t="s">
        <v>1015</v>
      </c>
      <c r="C9" s="4" t="s">
        <v>1016</v>
      </c>
      <c r="D9" s="4" t="s">
        <v>1017</v>
      </c>
      <c r="E9" s="4" t="s">
        <v>1018</v>
      </c>
      <c r="J9" s="10" t="str">
        <f>IFERROR(__xludf.DUMMYFUNCTION("GOOGLETRANSLATE(A9, ""en"", ""bn"")"),"৮")</f>
        <v>৮</v>
      </c>
      <c r="K9" s="10" t="str">
        <f>IFERROR(__xludf.DUMMYFUNCTION("GOOGLETRANSLATE(B9, ""en"", ""bn"")"),"নিচের কোনটি গোল্লা চুটের একটি গুরুত্বপূর্ণ সাংস্কৃতিক দিক?")</f>
        <v>নিচের কোনটি গোল্লা চুটের একটি গুরুত্বপূর্ণ সাংস্কৃতিক দিক?</v>
      </c>
      <c r="L9" s="10" t="str">
        <f>IFERROR(__xludf.DUMMYFUNCTION("GOOGLETRANSLATE(C9, ""en"", ""bn"")"),"ক) দলগত কাজ, খ) ব্যক্তিগত গৌরব, গ) গতি, ঘ) তৎপরতা")</f>
        <v>ক) দলগত কাজ, খ) ব্যক্তিগত গৌরব, গ) গতি, ঘ) তৎপরতা</v>
      </c>
      <c r="M9" s="10" t="str">
        <f>IFERROR(__xludf.DUMMYFUNCTION("GOOGLETRANSLATE(D9, ""en"", ""bn"")"),"ক) দলবদ্ধভাবে কাজ করা")</f>
        <v>ক) দলবদ্ধভাবে কাজ করা</v>
      </c>
      <c r="N9" s="10" t="str">
        <f>IFERROR(__xludf.DUMMYFUNCTION("GOOGLETRANSLATE(E9, ""en"", ""bn"")"),"গোল্লা চুটের একটি গুরুত্বপূর্ণ সাংস্কৃতিক দিক হলো দলগত কাজ, কারণ এই খেলায় একটি শক্তিশালী সম্মিলিত প্রচেষ্টা জড়িত।")</f>
        <v>গোল্লা চুটের একটি গুরুত্বপূর্ণ সাংস্কৃতিক দিক হলো দলগত কাজ, কারণ এই খেলায় একটি শক্তিশালী সম্মিলিত প্রচেষ্টা জড়িত।</v>
      </c>
    </row>
    <row r="10">
      <c r="A10" s="4">
        <v>9.0</v>
      </c>
      <c r="B10" s="4" t="s">
        <v>1019</v>
      </c>
      <c r="C10" s="4" t="s">
        <v>1020</v>
      </c>
      <c r="D10" s="4" t="s">
        <v>1021</v>
      </c>
      <c r="E10" s="4" t="s">
        <v>1022</v>
      </c>
      <c r="J10" s="10" t="str">
        <f>IFERROR(__xludf.DUMMYFUNCTION("GOOGLETRANSLATE(A10, ""en"", ""bn"")"),"৯")</f>
        <v>৯</v>
      </c>
      <c r="K10" s="10" t="str">
        <f>IFERROR(__xludf.DUMMYFUNCTION("GOOGLETRANSLATE(B10, ""en"", ""bn"")"),"গোল্লা চুতের প্রসঙ্গে 'ছুট' শব্দের অর্থ কী?")</f>
        <v>গোল্লা চুতের প্রসঙ্গে 'ছুট' শব্দের অর্থ কী?</v>
      </c>
      <c r="L10" s="10" t="str">
        <f>IFERROR(__xludf.DUMMYFUNCTION("GOOGLETRANSLATE(C10, ""en"", ""bn"")"),"ক) খেলা, খ) নিক্ষেপ, গ) লক্ষ্য, ঘ) নিয়ম")</f>
        <v>ক) খেলা, খ) নিক্ষেপ, গ) লক্ষ্য, ঘ) নিয়ম</v>
      </c>
      <c r="M10" s="10" t="str">
        <f>IFERROR(__xludf.DUMMYFUNCTION("GOOGLETRANSLATE(D10, ""en"", ""bn"")"),"খ) নিক্ষেপ")</f>
        <v>খ) নিক্ষেপ</v>
      </c>
      <c r="N10" s="10" t="str">
        <f>IFERROR(__xludf.DUMMYFUNCTION("GOOGLETRANSLATE(E10, ""en"", ""bn"")"),"গোল্লা চুতে, 'ছুট' বলতে খেলার কেন্দ্রবিন্দুতে নিক্ষেপের ক্রিয়াকে বোঝায়।")</f>
        <v>গোল্লা চুতে, 'ছুট' বলতে খেলার কেন্দ্রবিন্দুতে নিক্ষেপের ক্রিয়াকে বোঝায়।</v>
      </c>
    </row>
    <row r="11">
      <c r="A11" s="4">
        <v>10.0</v>
      </c>
      <c r="B11" s="4" t="s">
        <v>1023</v>
      </c>
      <c r="C11" s="4" t="s">
        <v>1024</v>
      </c>
      <c r="D11" s="4" t="s">
        <v>1025</v>
      </c>
      <c r="E11" s="4" t="s">
        <v>1026</v>
      </c>
      <c r="J11" s="10" t="str">
        <f>IFERROR(__xludf.DUMMYFUNCTION("GOOGLETRANSLATE(A11, ""en"", ""bn"")"),"১০")</f>
        <v>১০</v>
      </c>
      <c r="K11" s="10" t="str">
        <f>IFERROR(__xludf.DUMMYFUNCTION("GOOGLETRANSLATE(B11, ""en"", ""bn"")"),"একটি সাধারণ গোল্লা চাট খেলা কতক্ষণ স্থায়ী হয়?")</f>
        <v>একটি সাধারণ গোল্লা চাট খেলা কতক্ষণ স্থায়ী হয়?</v>
      </c>
      <c r="L11" s="10" t="str">
        <f>IFERROR(__xludf.DUMMYFUNCTION("GOOGLETRANSLATE(C11, ""en"", ""bn"")"),"ক) ৩০ মিনিট, খ) ৪৫ মিনিট, গ) ১ ঘন্টা, ঘ) ২ ঘন্টা")</f>
        <v>ক) ৩০ মিনিট, খ) ৪৫ মিনিট, গ) ১ ঘন্টা, ঘ) ২ ঘন্টা</v>
      </c>
      <c r="M11" s="10" t="str">
        <f>IFERROR(__xludf.DUMMYFUNCTION("GOOGLETRANSLATE(D11, ""en"", ""bn"")"),"খ) ৪৫ মিনিট")</f>
        <v>খ) ৪৫ মিনিট</v>
      </c>
      <c r="N11" s="10" t="str">
        <f>IFERROR(__xludf.DUMMYFUNCTION("GOOGLETRANSLATE(E11, ""en"", ""bn"")"),"গোল্লা চাট খেলার একটি সাধারণ খেলা প্রায় ৪৫ মিনিট স্থায়ী হয়।")</f>
        <v>গোল্লা চাট খেলার একটি সাধারণ খেলা প্রায় ৪৫ মিনিট স্থায়ী হয়।</v>
      </c>
    </row>
    <row r="12">
      <c r="A12" s="4">
        <v>11.0</v>
      </c>
      <c r="B12" s="4" t="s">
        <v>1027</v>
      </c>
      <c r="C12" s="4" t="s">
        <v>1028</v>
      </c>
      <c r="D12" s="4" t="s">
        <v>1029</v>
      </c>
      <c r="E12" s="4" t="s">
        <v>1030</v>
      </c>
      <c r="J12" s="10" t="str">
        <f>IFERROR(__xludf.DUMMYFUNCTION("GOOGLETRANSLATE(A12, ""en"", ""bn"")"),"১১")</f>
        <v>১১</v>
      </c>
      <c r="K12" s="10" t="str">
        <f>IFERROR(__xludf.DUMMYFUNCTION("GOOGLETRANSLATE(B12, ""en"", ""bn"")"),"গোল্লা চুটে দক্ষতা অর্জনের জন্য প্রধান দক্ষতা কী?")</f>
        <v>গোল্লা চুটে দক্ষতা অর্জনের জন্য প্রধান দক্ষতা কী?</v>
      </c>
      <c r="L12" s="10" t="str">
        <f>IFERROR(__xludf.DUMMYFUNCTION("GOOGLETRANSLATE(C12, ""en"", ""bn"")"),"ক) কৌশল, খ) শক্তি, গ) গতি, ঘ) সহনশীলতা")</f>
        <v>ক) কৌশল, খ) শক্তি, গ) গতি, ঘ) সহনশীলতা</v>
      </c>
      <c r="M12" s="10" t="str">
        <f>IFERROR(__xludf.DUMMYFUNCTION("GOOGLETRANSLATE(D12, ""en"", ""bn"")"),"ক) কৌশল")</f>
        <v>ক) কৌশল</v>
      </c>
      <c r="N12" s="10" t="str">
        <f>IFERROR(__xludf.DUMMYFUNCTION("GOOGLETRANSLATE(E12, ""en"", ""bn"")"),"গোল্লা চুটে সাফল্য মূলত কৌশলগত চিন্তাভাবনা এবং পরিকল্পনার উপর নির্ভর করে।")</f>
        <v>গোল্লা চুটে সাফল্য মূলত কৌশলগত চিন্তাভাবনা এবং পরিকল্পনার উপর নির্ভর করে।</v>
      </c>
    </row>
    <row r="13">
      <c r="A13" s="4">
        <v>12.0</v>
      </c>
      <c r="B13" s="4" t="s">
        <v>1031</v>
      </c>
      <c r="C13" s="4" t="s">
        <v>1032</v>
      </c>
      <c r="D13" s="4" t="s">
        <v>1033</v>
      </c>
      <c r="E13" s="4" t="s">
        <v>1034</v>
      </c>
      <c r="J13" s="10" t="str">
        <f>IFERROR(__xludf.DUMMYFUNCTION("GOOGLETRANSLATE(A13, ""en"", ""bn"")"),"১২")</f>
        <v>১২</v>
      </c>
      <c r="K13" s="10" t="str">
        <f>IFERROR(__xludf.DUMMYFUNCTION("GOOGLETRANSLATE(B13, ""en"", ""bn"")"),"গোল্লা চুটে, প্রতিটি দলের কতজন খেলোয়াড় লক্ষ্যবস্তুতে আক্রমণ করে?")</f>
        <v>গোল্লা চুটে, প্রতিটি দলের কতজন খেলোয়াড় লক্ষ্যবস্তুতে আক্রমণ করে?</v>
      </c>
      <c r="L13" s="10" t="str">
        <f>IFERROR(__xludf.DUMMYFUNCTION("GOOGLETRANSLATE(C13, ""en"", ""bn"")"),"ক) ১, খ) ২, গ) ৩, ঘ) ৪")</f>
        <v>ক) ১, খ) ২, গ) ৩, ঘ) ৪</v>
      </c>
      <c r="M13" s="10" t="str">
        <f>IFERROR(__xludf.DUMMYFUNCTION("GOOGLETRANSLATE(D13, ""en"", ""bn"")"),"গ) ৩")</f>
        <v>গ) ৩</v>
      </c>
      <c r="N13" s="10" t="str">
        <f>IFERROR(__xludf.DUMMYFUNCTION("GOOGLETRANSLATE(E13, ""en"", ""bn"")"),"সাধারণত, গোল্লা চুটে প্রতিটি দল থেকে ৩ জন খেলোয়াড়কে লক্ষ্যবস্তুতে আক্রমণ করার দায়িত্ব দেওয়া হয়।")</f>
        <v>সাধারণত, গোল্লা চুটে প্রতিটি দল থেকে ৩ জন খেলোয়াড়কে লক্ষ্যবস্তুতে আক্রমণ করার দায়িত্ব দেওয়া হয়।</v>
      </c>
    </row>
    <row r="14">
      <c r="A14" s="4">
        <v>13.0</v>
      </c>
      <c r="B14" s="4" t="s">
        <v>1035</v>
      </c>
      <c r="C14" s="4" t="s">
        <v>1036</v>
      </c>
      <c r="D14" s="4" t="s">
        <v>1037</v>
      </c>
      <c r="E14" s="4" t="s">
        <v>1038</v>
      </c>
      <c r="J14" s="10" t="str">
        <f>IFERROR(__xludf.DUMMYFUNCTION("GOOGLETRANSLATE(A14, ""en"", ""bn"")"),"১৩")</f>
        <v>১৩</v>
      </c>
      <c r="K14" s="10" t="str">
        <f>IFERROR(__xludf.DUMMYFUNCTION("GOOGLETRANSLATE(B14, ""en"", ""bn"")"),"গোল্লা চুটে নিচের কোনটি নিয়ম নয়?")</f>
        <v>গোল্লা চুটে নিচের কোনটি নিয়ম নয়?</v>
      </c>
      <c r="L14" s="10" t="str">
        <f>IFERROR(__xludf.DUMMYFUNCTION("GOOGLETRANSLATE(C14, ""en"", ""bn"")"),"ক) কোন শারীরিক সংস্পর্শ নেই, খ) দলের সদস্যদের তাদের নির্ধারিত স্থানে থাকতে হবে, গ) লক্ষ্যবস্তুকে ১০ মিনিটের মধ্যে ধ্বংস করতে হবে, ঘ) খেলাটি ঘরের ভিতরে খেলা যাবে।")</f>
        <v>ক) কোন শারীরিক সংস্পর্শ নেই, খ) দলের সদস্যদের তাদের নির্ধারিত স্থানে থাকতে হবে, গ) লক্ষ্যবস্তুকে ১০ মিনিটের মধ্যে ধ্বংস করতে হবে, ঘ) খেলাটি ঘরের ভিতরে খেলা যাবে।</v>
      </c>
      <c r="M14" s="10" t="str">
        <f>IFERROR(__xludf.DUMMYFUNCTION("GOOGLETRANSLATE(D14, ""en"", ""bn"")"),"ঘ) খেলাটি ঘরের ভিতরে খেলা যাবে")</f>
        <v>ঘ) খেলাটি ঘরের ভিতরে খেলা যাবে</v>
      </c>
      <c r="N14" s="10" t="str">
        <f>IFERROR(__xludf.DUMMYFUNCTION("GOOGLETRANSLATE(E14, ""en"", ""bn"")"),"গোল্লা চুট ঐতিহ্যগতভাবে একটি বহিরঙ্গন খেলা এবং সাধারণত ঘরের ভিতরে খেলা হয় না।")</f>
        <v>গোল্লা চুট ঐতিহ্যগতভাবে একটি বহিরঙ্গন খেলা এবং সাধারণত ঘরের ভিতরে খেলা হয় না।</v>
      </c>
    </row>
    <row r="15">
      <c r="A15" s="4">
        <v>14.0</v>
      </c>
      <c r="B15" s="4" t="s">
        <v>1039</v>
      </c>
      <c r="C15" s="4" t="s">
        <v>1040</v>
      </c>
      <c r="D15" s="4" t="s">
        <v>1041</v>
      </c>
      <c r="E15" s="4" t="s">
        <v>1042</v>
      </c>
      <c r="J15" s="10" t="str">
        <f>IFERROR(__xludf.DUMMYFUNCTION("GOOGLETRANSLATE(A15, ""en"", ""bn"")"),"১৪")</f>
        <v>১৪</v>
      </c>
      <c r="K15" s="10" t="str">
        <f>IFERROR(__xludf.DUMMYFUNCTION("GOOGLETRANSLATE(B15, ""en"", ""bn"")"),"বাংলাদেশে গোল্লা চুট গঠনে কোন দেশ প্রভাব ফেলেছিল?")</f>
        <v>বাংলাদেশে গোল্লা চুট গঠনে কোন দেশ প্রভাব ফেলেছিল?</v>
      </c>
      <c r="L15" s="10" t="str">
        <f>IFERROR(__xludf.DUMMYFUNCTION("GOOGLETRANSLATE(C15, ""en"", ""bn"")"),"ক) ভারত, খ) পাকিস্তান, গ) মায়ানমার, ঘ) নেপাল")</f>
        <v>ক) ভারত, খ) পাকিস্তান, গ) মায়ানমার, ঘ) নেপাল</v>
      </c>
      <c r="M15" s="10" t="str">
        <f>IFERROR(__xludf.DUMMYFUNCTION("GOOGLETRANSLATE(D15, ""en"", ""bn"")"),"ক) ভারত")</f>
        <v>ক) ভারত</v>
      </c>
      <c r="N15" s="10" t="str">
        <f>IFERROR(__xludf.DUMMYFUNCTION("GOOGLETRANSLATE(E15, ""en"", ""bn"")"),"গোল্লা চুটের সাথে ঐতিহ্যবাহী ভারতীয় খেলাধুলার মিল রয়েছে এবং এর শিকড় ভারতীয় খেলাধুলার দ্বারা প্রভাবিত।")</f>
        <v>গোল্লা চুটের সাথে ঐতিহ্যবাহী ভারতীয় খেলাধুলার মিল রয়েছে এবং এর শিকড় ভারতীয় খেলাধুলার দ্বারা প্রভাবিত।</v>
      </c>
    </row>
    <row r="16">
      <c r="A16" s="4">
        <v>15.0</v>
      </c>
      <c r="B16" s="4" t="s">
        <v>1043</v>
      </c>
      <c r="C16" s="4" t="s">
        <v>1044</v>
      </c>
      <c r="D16" s="4" t="s">
        <v>1045</v>
      </c>
      <c r="E16" s="4" t="s">
        <v>1046</v>
      </c>
      <c r="J16" s="10" t="str">
        <f>IFERROR(__xludf.DUMMYFUNCTION("GOOGLETRANSLATE(A16, ""en"", ""bn"")"),"১৫")</f>
        <v>১৫</v>
      </c>
      <c r="K16" s="10" t="str">
        <f>IFERROR(__xludf.DUMMYFUNCTION("GOOGLETRANSLATE(B16, ""en"", ""bn"")"),"গোল্লা চুট প্রতিযোগিতায় কোন উপাদানটির উপর সবচেয়ে বেশি জোর দেওয়া হয়?")</f>
        <v>গোল্লা চুট প্রতিযোগিতায় কোন উপাদানটির উপর সবচেয়ে বেশি জোর দেওয়া হয়?</v>
      </c>
      <c r="L16" s="10" t="str">
        <f>IFERROR(__xludf.DUMMYFUNCTION("GOOGLETRANSLATE(C16, ""en"", ""bn"")"),"ক) তত্পরতা, খ) শক্তি, গ) গতি, ঘ) সমন্বয়")</f>
        <v>ক) তত্পরতা, খ) শক্তি, গ) গতি, ঘ) সমন্বয়</v>
      </c>
      <c r="M16" s="10" t="str">
        <f>IFERROR(__xludf.DUMMYFUNCTION("GOOGLETRANSLATE(D16, ""en"", ""bn"")"),"ঘ) সমন্বয়")</f>
        <v>ঘ) সমন্বয়</v>
      </c>
      <c r="N16" s="10" t="str">
        <f>IFERROR(__xludf.DUMMYFUNCTION("GOOGLETRANSLATE(E16, ""en"", ""bn"")"),"গোল্লা চুটে সাফল্যের জন্য দলের সদস্যদের মধ্যে সমন্বয় একটি গুরুত্বপূর্ণ উপাদান।")</f>
        <v>গোল্লা চুটে সাফল্যের জন্য দলের সদস্যদের মধ্যে সমন্বয় একটি গুরুত্বপূর্ণ উপাদান।</v>
      </c>
    </row>
    <row r="17">
      <c r="A17" s="4">
        <v>16.0</v>
      </c>
      <c r="B17" s="4" t="s">
        <v>1047</v>
      </c>
      <c r="C17" s="4" t="s">
        <v>1048</v>
      </c>
      <c r="D17" s="4" t="s">
        <v>1049</v>
      </c>
      <c r="E17" s="4" t="s">
        <v>1050</v>
      </c>
      <c r="J17" s="10" t="str">
        <f>IFERROR(__xludf.DUMMYFUNCTION("GOOGLETRANSLATE(A17, ""en"", ""bn"")"),"১৬")</f>
        <v>১৬</v>
      </c>
      <c r="K17" s="10" t="str">
        <f>IFERROR(__xludf.DUMMYFUNCTION("GOOGLETRANSLATE(B17, ""en"", ""bn"")"),"গোল্লা চুটে ডিফেন্ডারদের প্রধান চ্যালেঞ্জ কী?")</f>
        <v>গোল্লা চুটে ডিফেন্ডারদের প্রধান চ্যালেঞ্জ কী?</v>
      </c>
      <c r="L17" s="10" t="str">
        <f>IFERROR(__xludf.DUMMYFUNCTION("GOOGLETRANSLATE(C17, ""en"", ""bn"")"),"ক) আঘাত এড়ানো, খ) লক্ষ্যবস্তুকে আঘাত করা থেকে বিরত রাখা, গ) প্রতিপক্ষ দলকে ধরা, ঘ) ধৈর্য ধরে রাখা")</f>
        <v>ক) আঘাত এড়ানো, খ) লক্ষ্যবস্তুকে আঘাত করা থেকে বিরত রাখা, গ) প্রতিপক্ষ দলকে ধরা, ঘ) ধৈর্য ধরে রাখা</v>
      </c>
      <c r="M17" s="10" t="str">
        <f>IFERROR(__xludf.DUMMYFUNCTION("GOOGLETRANSLATE(D17, ""en"", ""bn"")"),"খ) লক্ষ্যবস্তুকে ছিটকে পড়া থেকে রক্ষা করা")</f>
        <v>খ) লক্ষ্যবস্তুকে ছিটকে পড়া থেকে রক্ষা করা</v>
      </c>
      <c r="N17" s="10" t="str">
        <f>IFERROR(__xludf.DUMMYFUNCTION("GOOGLETRANSLATE(E17, ""en"", ""bn"")"),"গোল্লা চুটে ডিফেন্ডারদের অবশ্যই প্রতিপক্ষ দলকে লক্ষ্যবস্তুতে আঘাত করা থেকে বিরত রাখতে হবে।")</f>
        <v>গোল্লা চুটে ডিফেন্ডারদের অবশ্যই প্রতিপক্ষ দলকে লক্ষ্যবস্তুতে আঘাত করা থেকে বিরত রাখতে হবে।</v>
      </c>
    </row>
    <row r="18">
      <c r="A18" s="4">
        <v>17.0</v>
      </c>
      <c r="B18" s="4" t="s">
        <v>1051</v>
      </c>
      <c r="C18" s="4" t="s">
        <v>1052</v>
      </c>
      <c r="D18" s="4" t="s">
        <v>1053</v>
      </c>
      <c r="E18" s="4" t="s">
        <v>1054</v>
      </c>
      <c r="J18" s="10" t="str">
        <f>IFERROR(__xludf.DUMMYFUNCTION("GOOGLETRANSLATE(A18, ""en"", ""bn"")"),"১৭")</f>
        <v>১৭</v>
      </c>
      <c r="K18" s="10" t="str">
        <f>IFERROR(__xludf.DUMMYFUNCTION("GOOGLETRANSLATE(B18, ""en"", ""bn"")"),"বাংলাদেশে সাধারণত কে গোল্লা চুট প্রতিযোগিতার আয়োজন করে?")</f>
        <v>বাংলাদেশে সাধারণত কে গোল্লা চুট প্রতিযোগিতার আয়োজন করে?</v>
      </c>
      <c r="L18" s="10" t="str">
        <f>IFERROR(__xludf.DUMMYFUNCTION("GOOGLETRANSLATE(C18, ""en"", ""bn"")"),"ক) স্থানীয় সম্প্রদায়, খ) সরকারি সংস্থা, গ) বেসরকারি কোম্পানি, ঘ) আন্তর্জাতিক সংস্থা")</f>
        <v>ক) স্থানীয় সম্প্রদায়, খ) সরকারি সংস্থা, গ) বেসরকারি কোম্পানি, ঘ) আন্তর্জাতিক সংস্থা</v>
      </c>
      <c r="M18" s="10" t="str">
        <f>IFERROR(__xludf.DUMMYFUNCTION("GOOGLETRANSLATE(D18, ""en"", ""bn"")"),"ক) স্থানীয় সম্প্রদায়")</f>
        <v>ক) স্থানীয় সম্প্রদায়</v>
      </c>
      <c r="N18" s="10" t="str">
        <f>IFERROR(__xludf.DUMMYFUNCTION("GOOGLETRANSLATE(E18, ""en"", ""bn"")"),"গোল্লা চুট প্রতিযোগিতা মূলত স্থানীয় সম্প্রদায় এবং সাংস্কৃতিক গোষ্ঠী দ্বারা আয়োজিত হয়।")</f>
        <v>গোল্লা চুট প্রতিযোগিতা মূলত স্থানীয় সম্প্রদায় এবং সাংস্কৃতিক গোষ্ঠী দ্বারা আয়োজিত হয়।</v>
      </c>
    </row>
    <row r="19">
      <c r="A19" s="4">
        <v>18.0</v>
      </c>
      <c r="B19" s="4" t="s">
        <v>1055</v>
      </c>
      <c r="C19" s="4" t="s">
        <v>1056</v>
      </c>
      <c r="D19" s="4" t="s">
        <v>178</v>
      </c>
      <c r="E19" s="4" t="s">
        <v>1057</v>
      </c>
      <c r="J19" s="10" t="str">
        <f>IFERROR(__xludf.DUMMYFUNCTION("GOOGLETRANSLATE(A19, ""en"", ""bn"")"),"১৮")</f>
        <v>১৮</v>
      </c>
      <c r="K19" s="10" t="str">
        <f>IFERROR(__xludf.DUMMYFUNCTION("GOOGLETRANSLATE(B19, ""en"", ""bn"")"),"গোল্লা চুটের খেলোয়াড়দের জন্য কোন ধরণের প্রশিক্ষণ অপরিহার্য?")</f>
        <v>গোল্লা চুটের খেলোয়াড়দের জন্য কোন ধরণের প্রশিক্ষণ অপরিহার্য?</v>
      </c>
      <c r="L19" s="10" t="str">
        <f>IFERROR(__xludf.DUMMYFUNCTION("GOOGLETRANSLATE(C19, ""en"", ""bn"")"),"ক) কারিগরি প্রশিক্ষণ, খ) শারীরিক সুস্থতা, গ) মানসিক দৃঢ়তা, ঘ) উপরের সবগুলো")</f>
        <v>ক) কারিগরি প্রশিক্ষণ, খ) শারীরিক সুস্থতা, গ) মানসিক দৃঢ়তা, ঘ) উপরের সবগুলো</v>
      </c>
      <c r="M19" s="10" t="str">
        <f>IFERROR(__xludf.DUMMYFUNCTION("GOOGLETRANSLATE(D19, ""en"", ""bn"")"),"ঘ) উপরের সবগুলো")</f>
        <v>ঘ) উপরের সবগুলো</v>
      </c>
      <c r="N19" s="10" t="str">
        <f>IFERROR(__xludf.DUMMYFUNCTION("GOOGLETRANSLATE(E19, ""en"", ""bn"")"),"গোল্লা চুটে দক্ষতা অর্জনের জন্য খেলোয়াড়দের কারিগরি দক্ষতা, শারীরিক সুস্থতা এবং মানসিক দৃঢ়তার সমন্বয় প্রয়োজন।")</f>
        <v>গোল্লা চুটে দক্ষতা অর্জনের জন্য খেলোয়াড়দের কারিগরি দক্ষতা, শারীরিক সুস্থতা এবং মানসিক দৃঢ়তার সমন্বয় প্রয়োজন।</v>
      </c>
    </row>
    <row r="20">
      <c r="A20" s="4">
        <v>19.0</v>
      </c>
      <c r="B20" s="4" t="s">
        <v>1058</v>
      </c>
      <c r="C20" s="4" t="s">
        <v>1059</v>
      </c>
      <c r="D20" s="4" t="s">
        <v>1060</v>
      </c>
      <c r="E20" s="4" t="s">
        <v>1061</v>
      </c>
      <c r="J20" s="10" t="str">
        <f>IFERROR(__xludf.DUMMYFUNCTION("GOOGLETRANSLATE(A20, ""en"", ""bn"")"),"১৯")</f>
        <v>১৯</v>
      </c>
      <c r="K20" s="10" t="str">
        <f>IFERROR(__xludf.DUMMYFUNCTION("GOOGLETRANSLATE(B20, ""en"", ""bn"")"),"গোল্লা চুটের খেলোয়াড়দের ঐতিহ্যবাহী পোশাক কী?")</f>
        <v>গোল্লা চুটের খেলোয়াড়দের ঐতিহ্যবাহী পোশাক কী?</v>
      </c>
      <c r="L20" s="10" t="str">
        <f>IFERROR(__xludf.DUMMYFUNCTION("GOOGLETRANSLATE(C20, ""en"", ""bn"")"),"ক) ইউনিফর্ম, খ) ঐতিহ্যবাহী পোশাক, গ) খেলাধুলার পোশাক, ঘ) নৈমিত্তিক পোশাক")</f>
        <v>ক) ইউনিফর্ম, খ) ঐতিহ্যবাহী পোশাক, গ) খেলাধুলার পোশাক, ঘ) নৈমিত্তিক পোশাক</v>
      </c>
      <c r="M20" s="10" t="str">
        <f>IFERROR(__xludf.DUMMYFUNCTION("GOOGLETRANSLATE(D20, ""en"", ""bn"")"),"খ) ঐতিহ্যবাহী পোশাক")</f>
        <v>খ) ঐতিহ্যবাহী পোশাক</v>
      </c>
      <c r="N20" s="10" t="str">
        <f>IFERROR(__xludf.DUMMYFUNCTION("GOOGLETRANSLATE(E20, ""en"", ""bn"")"),"গোল্লা চুটের খেলোয়াড়রা ঐতিহ্যগতভাবে খেলার সময় সাংস্কৃতিক পোশাক পরে।")</f>
        <v>গোল্লা চুটের খেলোয়াড়রা ঐতিহ্যগতভাবে খেলার সময় সাংস্কৃতিক পোশাক পরে।</v>
      </c>
    </row>
    <row r="21">
      <c r="A21" s="4">
        <v>20.0</v>
      </c>
      <c r="B21" s="4" t="s">
        <v>1062</v>
      </c>
      <c r="C21" s="4" t="s">
        <v>1063</v>
      </c>
      <c r="D21" s="4" t="s">
        <v>1064</v>
      </c>
      <c r="E21" s="4" t="s">
        <v>1065</v>
      </c>
      <c r="J21" s="10" t="str">
        <f>IFERROR(__xludf.DUMMYFUNCTION("GOOGLETRANSLATE(A21, ""en"", ""bn"")"),"২০")</f>
        <v>২০</v>
      </c>
      <c r="K21" s="10" t="str">
        <f>IFERROR(__xludf.DUMMYFUNCTION("GOOGLETRANSLATE(B21, ""en"", ""bn"")"),"গোল্লা চুট খেলায় 'গোল্লা' কী ভূমিকা পালন করে?")</f>
        <v>গোল্লা চুট খেলায় 'গোল্লা' কী ভূমিকা পালন করে?</v>
      </c>
      <c r="L21" s="10" t="str">
        <f>IFERROR(__xludf.DUMMYFUNCTION("GOOGLETRANSLATE(C21, ""en"", ""bn"")"),"ক) লক্ষ্য, খ) অস্ত্র, গ) লক্ষ্য, ঘ) টাইমার")</f>
        <v>ক) লক্ষ্য, খ) অস্ত্র, গ) লক্ষ্য, ঘ) টাইমার</v>
      </c>
      <c r="M21" s="10" t="str">
        <f>IFERROR(__xludf.DUMMYFUNCTION("GOOGLETRANSLATE(D21, ""en"", ""bn"")"),"গ) লক্ষ্য")</f>
        <v>গ) লক্ষ্য</v>
      </c>
      <c r="N21" s="10" t="str">
        <f>IFERROR(__xludf.DUMMYFUNCTION("GOOGLETRANSLATE(E21, ""en"", ""bn"")"),"'গোল্লা' হল সেই বস্তু যা দলগুলি ছিটকে ফেলার চেষ্টা করে, যা খেলার কেন্দ্রীয় লক্ষ্য হিসেবে কাজ করে।")</f>
        <v>'গোল্লা' হল সেই বস্তু যা দলগুলি ছিটকে ফেলার চেষ্টা করে, যা খেলার কেন্দ্রীয় লক্ষ্য হিসেবে কাজ করে।</v>
      </c>
    </row>
    <row r="22">
      <c r="A22" s="4">
        <v>21.0</v>
      </c>
      <c r="B22" s="4" t="s">
        <v>1066</v>
      </c>
      <c r="C22" s="4" t="s">
        <v>1067</v>
      </c>
      <c r="D22" s="4" t="s">
        <v>1068</v>
      </c>
      <c r="E22" s="4" t="s">
        <v>1069</v>
      </c>
      <c r="J22" s="10" t="str">
        <f>IFERROR(__xludf.DUMMYFUNCTION("GOOGLETRANSLATE(A22, ""en"", ""bn"")"),"২১")</f>
        <v>২১</v>
      </c>
      <c r="K22" s="10" t="str">
        <f>IFERROR(__xludf.DUMMYFUNCTION("GOOGLETRANSLATE(B22, ""en"", ""bn"")"),"গোল্লা চুটে আক্রমণাত্মক দলের প্রধান লক্ষ্য নিচের কোনটি?")</f>
        <v>গোল্লা চুটে আক্রমণাত্মক দলের প্রধান লক্ষ্য নিচের কোনটি?</v>
      </c>
      <c r="L22" s="10" t="str">
        <f>IFERROR(__xludf.DUMMYFUNCTION("GOOGLETRANSLATE(C22, ""en"", ""bn"")"),"ক) ট্যাগ এড়াতে, খ) লক্ষ্যবস্তু রক্ষা করতে, গ) লক্ষ্যবস্তুকে ছিটকে দিতে, ঘ) প্রতিপক্ষের পতাকা দখল করতে")</f>
        <v>ক) ট্যাগ এড়াতে, খ) লক্ষ্যবস্তু রক্ষা করতে, গ) লক্ষ্যবস্তুকে ছিটকে দিতে, ঘ) প্রতিপক্ষের পতাকা দখল করতে</v>
      </c>
      <c r="M22" s="10" t="str">
        <f>IFERROR(__xludf.DUMMYFUNCTION("GOOGLETRANSLATE(D22, ""en"", ""bn"")"),"গ) লক্ষ্যবস্তু ধ্বংস করা")</f>
        <v>গ) লক্ষ্যবস্তু ধ্বংস করা</v>
      </c>
      <c r="N22" s="10" t="str">
        <f>IFERROR(__xludf.DUMMYFUNCTION("GOOGLETRANSLATE(E22, ""en"", ""bn"")"),"আক্রমণাত্মক দলের মূল লক্ষ্য হলো 'গোল্লা' লক্ষ্যবস্তুকে ধ্বংস করা।")</f>
        <v>আক্রমণাত্মক দলের মূল লক্ষ্য হলো 'গোল্লা' লক্ষ্যবস্তুকে ধ্বংস করা।</v>
      </c>
    </row>
    <row r="23">
      <c r="A23" s="4">
        <v>22.0</v>
      </c>
      <c r="B23" s="4" t="s">
        <v>1070</v>
      </c>
      <c r="C23" s="4" t="s">
        <v>1071</v>
      </c>
      <c r="D23" s="4" t="s">
        <v>1072</v>
      </c>
      <c r="E23" s="4" t="s">
        <v>1073</v>
      </c>
      <c r="J23" s="10" t="str">
        <f>IFERROR(__xludf.DUMMYFUNCTION("GOOGLETRANSLATE(A23, ""en"", ""bn"")"),"২২")</f>
        <v>২২</v>
      </c>
      <c r="K23" s="10" t="str">
        <f>IFERROR(__xludf.DUMMYFUNCTION("GOOGLETRANSLATE(B23, ""en"", ""bn"")"),"গোল্লা চুটে খেলার মাঠের আনুমানিক আকার কত?")</f>
        <v>গোল্লা চুটে খেলার মাঠের আনুমানিক আকার কত?</v>
      </c>
      <c r="L23" s="10" t="str">
        <f>IFERROR(__xludf.DUMMYFUNCTION("GOOGLETRANSLATE(C23, ""en"", ""bn"")"),"ক) ১০ মিটার বাই ২০ মিটার, খ) ২০ মিটার বাই ৩০ মিটার, গ) ৫০ মিটার বাই ৫০ মিটার, ঘ) ১০০ মিটার বাই ১০০ মিটার")</f>
        <v>ক) ১০ মিটার বাই ২০ মিটার, খ) ২০ মিটার বাই ৩০ মিটার, গ) ৫০ মিটার বাই ৫০ মিটার, ঘ) ১০০ মিটার বাই ১০০ মিটার</v>
      </c>
      <c r="M23" s="10" t="str">
        <f>IFERROR(__xludf.DUMMYFUNCTION("GOOGLETRANSLATE(D23, ""en"", ""bn"")"),"খ) ২০ মিটার বাই ৩০ মিটার")</f>
        <v>খ) ২০ মিটার বাই ৩০ মিটার</v>
      </c>
      <c r="N23" s="10" t="str">
        <f>IFERROR(__xludf.DUMMYFUNCTION("GOOGLETRANSLATE(E23, ""en"", ""bn"")"),"গোল্লা চুটের খেলার মাঠ সাধারণত ২০ মিটার বাই ৩০ মিটারের মতো হয়।")</f>
        <v>গোল্লা চুটের খেলার মাঠ সাধারণত ২০ মিটার বাই ৩০ মিটারের মতো হয়।</v>
      </c>
    </row>
    <row r="24">
      <c r="A24" s="4">
        <v>23.0</v>
      </c>
      <c r="B24" s="4" t="s">
        <v>1074</v>
      </c>
      <c r="C24" s="4" t="s">
        <v>1075</v>
      </c>
      <c r="D24" s="4" t="s">
        <v>1076</v>
      </c>
      <c r="E24" s="4" t="s">
        <v>1077</v>
      </c>
      <c r="J24" s="10" t="str">
        <f>IFERROR(__xludf.DUMMYFUNCTION("GOOGLETRANSLATE(A24, ""en"", ""bn"")"),"২৩")</f>
        <v>২৩</v>
      </c>
      <c r="K24" s="10" t="str">
        <f>IFERROR(__xludf.DUMMYFUNCTION("GOOGLETRANSLATE(B24, ""en"", ""bn"")"),"গোল্লা চুট ম্যাচে সাধারণত কোন ধরণের দর্শক উপস্থিত হন?")</f>
        <v>গোল্লা চুট ম্যাচে সাধারণত কোন ধরণের দর্শক উপস্থিত হন?</v>
      </c>
      <c r="L24" s="10" t="str">
        <f>IFERROR(__xludf.DUMMYFUNCTION("GOOGLETRANSLATE(C24, ""en"", ""bn"")"),"ক) স্থানীয় গ্রামবাসী, খ) জাতীয় ক্রীড়া অনুরাগী, গ) আন্তর্জাতিক পর্যটক, ঘ) কর্পোরেট পৃষ্ঠপোষক")</f>
        <v>ক) স্থানীয় গ্রামবাসী, খ) জাতীয় ক্রীড়া অনুরাগী, গ) আন্তর্জাতিক পর্যটক, ঘ) কর্পোরেট পৃষ্ঠপোষক</v>
      </c>
      <c r="M24" s="10" t="str">
        <f>IFERROR(__xludf.DUMMYFUNCTION("GOOGLETRANSLATE(D24, ""en"", ""bn"")"),"ক) স্থানীয় গ্রামবাসী")</f>
        <v>ক) স্থানীয় গ্রামবাসী</v>
      </c>
      <c r="N24" s="10" t="str">
        <f>IFERROR(__xludf.DUMMYFUNCTION("GOOGLETRANSLATE(E24, ""en"", ""bn"")"),"গোল্লা চুট ম্যাচগুলিতে সাধারণত স্থানীয় গ্রামবাসীরা অংশগ্রহণ করে, যা একটি সম্প্রদায়-কেন্দ্রিক পরিবেশ তৈরি করে।")</f>
        <v>গোল্লা চুট ম্যাচগুলিতে সাধারণত স্থানীয় গ্রামবাসীরা অংশগ্রহণ করে, যা একটি সম্প্রদায়-কেন্দ্রিক পরিবেশ তৈরি করে।</v>
      </c>
    </row>
    <row r="25">
      <c r="A25" s="4">
        <v>24.0</v>
      </c>
      <c r="B25" s="4" t="s">
        <v>1078</v>
      </c>
      <c r="C25" s="4" t="s">
        <v>1079</v>
      </c>
      <c r="D25" s="4" t="s">
        <v>178</v>
      </c>
      <c r="E25" s="4" t="s">
        <v>1080</v>
      </c>
      <c r="J25" s="10" t="str">
        <f>IFERROR(__xludf.DUMMYFUNCTION("GOOGLETRANSLATE(A25, ""en"", ""bn"")"),"২৪")</f>
        <v>২৪</v>
      </c>
      <c r="K25" s="10" t="str">
        <f>IFERROR(__xludf.DUMMYFUNCTION("GOOGLETRANSLATE(B25, ""en"", ""bn"")"),"বাংলাদেশের গ্রামাঞ্চলে গোল্লা চুট কেন একটি জনপ্রিয় খেলা?")</f>
        <v>বাংলাদেশের গ্রামাঞ্চলে গোল্লা চুট কেন একটি জনপ্রিয় খেলা?</v>
      </c>
      <c r="L25" s="10" t="str">
        <f>IFERROR(__xludf.DUMMYFUNCTION("GOOGLETRANSLATE(C25, ""en"", ""bn"")"),"ক) নিয়মের সরলতা, খ) সাংস্কৃতিক তাৎপর্য, গ) সম্পদের সহজলভ্যতা, ঘ) উপরের সবগুলো")</f>
        <v>ক) নিয়মের সরলতা, খ) সাংস্কৃতিক তাৎপর্য, গ) সম্পদের সহজলভ্যতা, ঘ) উপরের সবগুলো</v>
      </c>
      <c r="M25" s="10" t="str">
        <f>IFERROR(__xludf.DUMMYFUNCTION("GOOGLETRANSLATE(D25, ""en"", ""bn"")"),"ঘ) উপরের সবগুলো")</f>
        <v>ঘ) উপরের সবগুলো</v>
      </c>
      <c r="N25" s="10" t="str">
        <f>IFERROR(__xludf.DUMMYFUNCTION("GOOGLETRANSLATE(E25, ""en"", ""bn"")"),"সহজ নিয়ম, সাংস্কৃতিক গুরুত্ব এবং ন্যূনতম সম্পদের প্রয়োজনীয়তার কারণে গোল্লা চুট গ্রামীণ এলাকায় জনপ্রিয়।")</f>
        <v>সহজ নিয়ম, সাংস্কৃতিক গুরুত্ব এবং ন্যূনতম সম্পদের প্রয়োজনীয়তার কারণে গোল্লা চুট গ্রামীণ এলাকায় জনপ্রিয়।</v>
      </c>
    </row>
    <row r="26">
      <c r="A26" s="4">
        <v>25.0</v>
      </c>
      <c r="B26" s="4" t="s">
        <v>1081</v>
      </c>
      <c r="C26" s="4" t="s">
        <v>1082</v>
      </c>
      <c r="D26" s="4" t="s">
        <v>1083</v>
      </c>
      <c r="E26" s="4" t="s">
        <v>1084</v>
      </c>
      <c r="J26" s="10" t="str">
        <f>IFERROR(__xludf.DUMMYFUNCTION("GOOGLETRANSLATE(A26, ""en"", ""bn"")"),"২৫")</f>
        <v>২৫</v>
      </c>
      <c r="K26" s="10" t="str">
        <f>IFERROR(__xludf.DUMMYFUNCTION("GOOGLETRANSLATE(B26, ""en"", ""bn"")"),"নিচের কোনটি গোল্লা চুটের গেমপ্লের অংশ নয়?")</f>
        <v>নিচের কোনটি গোল্লা চুটের গেমপ্লের অংশ নয়?</v>
      </c>
      <c r="L26" s="10" t="str">
        <f>IFERROR(__xludf.DUMMYFUNCTION("GOOGLETRANSLATE(C26, ""en"", ""bn"")"),"ক) ড্রিবলিং, খ) আক্রমণ, গ) রক্ষণ, ঘ) লক্ষ্য ছুঁড়ে মারা")</f>
        <v>ক) ড্রিবলিং, খ) আক্রমণ, গ) রক্ষণ, ঘ) লক্ষ্য ছুঁড়ে মারা</v>
      </c>
      <c r="M26" s="10" t="str">
        <f>IFERROR(__xludf.DUMMYFUNCTION("GOOGLETRANSLATE(D26, ""en"", ""bn"")"),"ক) ড্রিবলিং")</f>
        <v>ক) ড্রিবলিং</v>
      </c>
      <c r="N26" s="10" t="str">
        <f>IFERROR(__xludf.DUMMYFUNCTION("GOOGLETRANSLATE(E26, ""en"", ""bn"")"),"অন্যান্য কিছু খেলার মতো, গোল্লা চুটে ড্রিবলিং করা হয় না, বরং আক্রমণ এবং রক্ষণের উপর মনোযোগ দেওয়া হয়।")</f>
        <v>অন্যান্য কিছু খেলার মতো, গোল্লা চুটে ড্রিবলিং করা হয় না, বরং আক্রমণ এবং রক্ষণের উপর মনোযোগ দেওয়া হয়।</v>
      </c>
    </row>
    <row r="27">
      <c r="A27" s="4">
        <v>26.0</v>
      </c>
      <c r="B27" s="4" t="s">
        <v>1085</v>
      </c>
      <c r="C27" s="4" t="s">
        <v>1086</v>
      </c>
      <c r="D27" s="4" t="s">
        <v>1087</v>
      </c>
      <c r="E27" s="11" t="s">
        <v>1088</v>
      </c>
      <c r="J27" s="10" t="str">
        <f>IFERROR(__xludf.DUMMYFUNCTION("GOOGLETRANSLATE(A27, ""en"", ""bn"")"),"২৬")</f>
        <v>২৬</v>
      </c>
      <c r="K27" s="10" t="str">
        <f>IFERROR(__xludf.DUMMYFUNCTION("GOOGLETRANSLATE(B27, ""en"", ""bn"")"),"বাংলা সংস্কৃতিতে 'গোল্লা' শব্দটির অর্থ কী?")</f>
        <v>বাংলা সংস্কৃতিতে 'গোল্লা' শব্দটির অর্থ কী?</v>
      </c>
      <c r="L27" s="10" t="str">
        <f>IFERROR(__xludf.DUMMYFUNCTION("GOOGLETRANSLATE(C27, ""en"", ""bn"")"),"ক) শক্তি, খ) ঐক্য, গ) লক্ষ্য, ঘ) গতি")</f>
        <v>ক) শক্তি, খ) ঐক্য, গ) লক্ষ্য, ঘ) গতি</v>
      </c>
      <c r="M27" s="10" t="str">
        <f>IFERROR(__xludf.DUMMYFUNCTION("GOOGLETRANSLATE(D27, ""en"", ""bn"")"),"গ) লক্ষ্য")</f>
        <v>গ) লক্ষ্য</v>
      </c>
      <c r="N27" s="10" t="str">
        <f>IFERROR(__xludf.DUMMYFUNCTION("GOOGLETRANSLATE(E27, ""en"", ""bn"")"),"খেলাধুলায় 'গোল্লা' লক্ষ্যবস্তুকে বোঝায় এবং খেলার কেন্দ্রবিন্দুকে প্রতীকী করে।")</f>
        <v>খেলাধুলায় 'গোল্লা' লক্ষ্যবস্তুকে বোঝায় এবং খেলার কেন্দ্রবিন্দুকে প্রতীকী করে।</v>
      </c>
    </row>
    <row r="28">
      <c r="A28" s="4">
        <v>27.0</v>
      </c>
      <c r="B28" s="4" t="s">
        <v>1089</v>
      </c>
      <c r="C28" s="4" t="s">
        <v>1090</v>
      </c>
      <c r="D28" s="4" t="s">
        <v>1091</v>
      </c>
      <c r="E28" s="4" t="s">
        <v>1092</v>
      </c>
      <c r="J28" s="10" t="str">
        <f>IFERROR(__xludf.DUMMYFUNCTION("GOOGLETRANSLATE(A28, ""en"", ""bn"")"),"২৭")</f>
        <v>২৭</v>
      </c>
      <c r="K28" s="10" t="str">
        <f>IFERROR(__xludf.DUMMYFUNCTION("GOOGLETRANSLATE(B28, ""en"", ""bn"")"),"কোন ঋতুতে গোল্লা চুট খেলা হয়?")</f>
        <v>কোন ঋতুতে গোল্লা চুট খেলা হয়?</v>
      </c>
      <c r="L28" s="10" t="str">
        <f>IFERROR(__xludf.DUMMYFUNCTION("GOOGLETRANSLATE(C28, ""en"", ""bn"")"),"ক) শীতকাল, খ) গ্রীষ্মকাল, গ) বর্ষাকাল, ঘ) সকল ঋতু")</f>
        <v>ক) শীতকাল, খ) গ্রীষ্মকাল, গ) বর্ষাকাল, ঘ) সকল ঋতু</v>
      </c>
      <c r="M28" s="10" t="str">
        <f>IFERROR(__xludf.DUMMYFUNCTION("GOOGLETRANSLATE(D28, ""en"", ""bn"")"),"ক) শীতকাল")</f>
        <v>ক) শীতকাল</v>
      </c>
      <c r="N28" s="10" t="str">
        <f>IFERROR(__xludf.DUMMYFUNCTION("GOOGLETRANSLATE(E28, ""en"", ""bn"")"),"গোল্লা চুট ঐতিহ্যগতভাবে শীতকালে বাজানো হয়, যখন আবহাওয়া আরও অনুকূল থাকে।")</f>
        <v>গোল্লা চুট ঐতিহ্যগতভাবে শীতকালে বাজানো হয়, যখন আবহাওয়া আরও অনুকূল থাকে।</v>
      </c>
    </row>
    <row r="29">
      <c r="A29" s="4">
        <v>28.0</v>
      </c>
      <c r="B29" s="4" t="s">
        <v>1093</v>
      </c>
      <c r="C29" s="4" t="s">
        <v>1094</v>
      </c>
      <c r="D29" s="4" t="s">
        <v>1095</v>
      </c>
      <c r="E29" s="4" t="s">
        <v>1096</v>
      </c>
      <c r="J29" s="10" t="str">
        <f>IFERROR(__xludf.DUMMYFUNCTION("GOOGLETRANSLATE(A29, ""en"", ""bn"")"),"২৮")</f>
        <v>২৮</v>
      </c>
      <c r="K29" s="10" t="str">
        <f>IFERROR(__xludf.DUMMYFUNCTION("GOOGLETRANSLATE(B29, ""en"", ""bn"")"),"গোল্লা চুট খেলার জায়গার একটি সাধারণ বৈশিষ্ট্য কী?")</f>
        <v>গোল্লা চুট খেলার জায়গার একটি সাধারণ বৈশিষ্ট্য কী?</v>
      </c>
      <c r="L29" s="10" t="str">
        <f>IFERROR(__xludf.DUMMYFUNCTION("GOOGLETRANSLATE(C29, ""en"", ""bn"")"),"ক) বালি, খ) কংক্রিট, গ) ঘাস, ঘ) কাদা")</f>
        <v>ক) বালি, খ) কংক্রিট, গ) ঘাস, ঘ) কাদা</v>
      </c>
      <c r="M29" s="10" t="str">
        <f>IFERROR(__xludf.DUMMYFUNCTION("GOOGLETRANSLATE(D29, ""en"", ""bn"")"),"ঘ) কাদা")</f>
        <v>ঘ) কাদা</v>
      </c>
      <c r="N29" s="10" t="str">
        <f>IFERROR(__xludf.DUMMYFUNCTION("GOOGLETRANSLATE(E29, ""en"", ""bn"")"),"গোল্লা চুটের খেলার মাঠটি ঐতিহ্যগতভাবে মাটি দিয়ে তৈরি, যা খেলার গ্রাম্য অনুভূতিকে আরও বাড়িয়ে তোলে।")</f>
        <v>গোল্লা চুটের খেলার মাঠটি ঐতিহ্যগতভাবে মাটি দিয়ে তৈরি, যা খেলার গ্রাম্য অনুভূতিকে আরও বাড়িয়ে তোলে।</v>
      </c>
    </row>
    <row r="30">
      <c r="A30" s="4">
        <v>29.0</v>
      </c>
      <c r="B30" s="4" t="s">
        <v>1097</v>
      </c>
      <c r="C30" s="4" t="s">
        <v>1098</v>
      </c>
      <c r="D30" s="4" t="s">
        <v>1099</v>
      </c>
      <c r="E30" s="4" t="s">
        <v>1100</v>
      </c>
      <c r="J30" s="10" t="str">
        <f>IFERROR(__xludf.DUMMYFUNCTION("GOOGLETRANSLATE(A30, ""en"", ""bn"")"),"২৯")</f>
        <v>২৯</v>
      </c>
      <c r="K30" s="10" t="str">
        <f>IFERROR(__xludf.DUMMYFUNCTION("GOOGLETRANSLATE(B30, ""en"", ""bn"")"),"একজন গোল্লা চুট ডিফেন্ডারের জন্য নিচের কোন দক্ষতাটি গুরুত্বপূর্ণ?")</f>
        <v>একজন গোল্লা চুট ডিফেন্ডারের জন্য নিচের কোন দক্ষতাটি গুরুত্বপূর্ণ?</v>
      </c>
      <c r="L30" s="10" t="str">
        <f>IFERROR(__xludf.DUMMYFUNCTION("GOOGLETRANSLATE(C30, ""en"", ""bn"")"),"ক) গতি, খ) শক্তি, গ) তত্পরতা, ঘ) নির্ভুলতা")</f>
        <v>ক) গতি, খ) শক্তি, গ) তত্পরতা, ঘ) নির্ভুলতা</v>
      </c>
      <c r="M30" s="10" t="str">
        <f>IFERROR(__xludf.DUMMYFUNCTION("GOOGLETRANSLATE(D30, ""en"", ""bn"")"),"গ) তত্পরতা")</f>
        <v>গ) তত্পরতা</v>
      </c>
      <c r="N30" s="10" t="str">
        <f>IFERROR(__xludf.DUMMYFUNCTION("GOOGLETRANSLATE(E30, ""en"", ""bn"")"),"আক্রমণাত্মক খেলোয়াড়দের দ্রুত প্রতিক্রিয়া জানাতে গোল্লা চুটে ডিফেন্ডারদের চটপটে থাকতে হবে।")</f>
        <v>আক্রমণাত্মক খেলোয়াড়দের দ্রুত প্রতিক্রিয়া জানাতে গোল্লা চুটে ডিফেন্ডারদের চটপটে থাকতে হবে।</v>
      </c>
    </row>
    <row r="31">
      <c r="A31" s="4">
        <v>30.0</v>
      </c>
      <c r="B31" s="4" t="s">
        <v>1101</v>
      </c>
      <c r="C31" s="4" t="s">
        <v>1102</v>
      </c>
      <c r="D31" s="4" t="s">
        <v>640</v>
      </c>
      <c r="E31" s="4" t="s">
        <v>1103</v>
      </c>
      <c r="J31" s="10" t="str">
        <f>IFERROR(__xludf.DUMMYFUNCTION("GOOGLETRANSLATE(A31, ""en"", ""bn"")"),"৩০")</f>
        <v>৩০</v>
      </c>
      <c r="K31" s="10" t="str">
        <f>IFERROR(__xludf.DUMMYFUNCTION("GOOGLETRANSLATE(B31, ""en"", ""bn"")"),"গোল্লা চুটের কোন দিকটি এর কমিউনিটি প্রতিযোগিতায় অত্যন্ত মূল্যবান?")</f>
        <v>গোল্লা চুটের কোন দিকটি এর কমিউনিটি প্রতিযোগিতায় অত্যন্ত মূল্যবান?</v>
      </c>
      <c r="L31" s="10" t="str">
        <f>IFERROR(__xludf.DUMMYFUNCTION("GOOGLETRANSLATE(C31, ""en"", ""bn"")"),"ক) ব্যক্তিগত পারফরম্যান্স, খ) দলগত মনোভাব, গ) শারীরিক শক্তি, ঘ) মানসিক কৌশল")</f>
        <v>ক) ব্যক্তিগত পারফরম্যান্স, খ) দলগত মনোভাব, গ) শারীরিক শক্তি, ঘ) মানসিক কৌশল</v>
      </c>
      <c r="M31" s="10" t="str">
        <f>IFERROR(__xludf.DUMMYFUNCTION("GOOGLETRANSLATE(D31, ""en"", ""bn"")"),"খ) দলগত মনোভাব")</f>
        <v>খ) দলগত মনোভাব</v>
      </c>
      <c r="N31" s="10" t="str">
        <f>IFERROR(__xludf.DUMMYFUNCTION("GOOGLETRANSLATE(E31, ""en"", ""bn"")"),"গোল্লা চুট প্রতিযোগিতায়, ব্যক্তিগত পারফরম্যান্সের চেয়ে দলগত মনোভাব এবং সমন্বয়কে অত্যন্ত মূল্যবান মনে করা হয়।")</f>
        <v>গোল্লা চুট প্রতিযোগিতায়, ব্যক্তিগত পারফরম্যান্সের চেয়ে দলগত মনোভাব এবং সমন্বয়কে অত্যন্ত মূল্যবান মনে করা হয়।</v>
      </c>
    </row>
    <row r="32">
      <c r="A32" s="4">
        <v>31.0</v>
      </c>
      <c r="B32" s="4" t="s">
        <v>1104</v>
      </c>
      <c r="C32" s="4" t="s">
        <v>1105</v>
      </c>
      <c r="D32" s="4" t="s">
        <v>290</v>
      </c>
      <c r="E32" s="4" t="s">
        <v>1106</v>
      </c>
      <c r="J32" s="10" t="str">
        <f>IFERROR(__xludf.DUMMYFUNCTION("GOOGLETRANSLATE(A32, ""en"", ""bn"")"),"৩১")</f>
        <v>৩১</v>
      </c>
      <c r="K32" s="10" t="str">
        <f>IFERROR(__xludf.DUMMYFUNCTION("GOOGLETRANSLATE(B32, ""en"", ""bn"")"),"বাংলাদেশের কোন অঞ্চল গোল্লা চুটের ইতিহাস সংরক্ষণের জন্য পরিচিত?")</f>
        <v>বাংলাদেশের কোন অঞ্চল গোল্লা চুটের ইতিহাস সংরক্ষণের জন্য পরিচিত?</v>
      </c>
      <c r="L32" s="10" t="str">
        <f>IFERROR(__xludf.DUMMYFUNCTION("GOOGLETRANSLATE(C32, ""en"", ""bn"")"),"A) সিলেট, B) চট্টগ্রাম, C) খুলনা, D) ঢাকা")</f>
        <v>A) সিলেট, B) চট্টগ্রাম, C) খুলনা, D) ঢাকা</v>
      </c>
      <c r="M32" s="10" t="str">
        <f>IFERROR(__xludf.DUMMYFUNCTION("GOOGLETRANSLATE(D32, ""en"", ""bn"")"),"খ) চট্টগ্রাম")</f>
        <v>খ) চট্টগ্রাম</v>
      </c>
      <c r="N32" s="10" t="str">
        <f>IFERROR(__xludf.DUMMYFUNCTION("GOOGLETRANSLATE(E32, ""en"", ""bn"")"),"চট্টগ্রাম গোল্লা চুটের ইতিহাস ও ঐতিহ্য সংরক্ষণের জন্য বিখ্যাত।")</f>
        <v>চট্টগ্রাম গোল্লা চুটের ইতিহাস ও ঐতিহ্য সংরক্ষণের জন্য বিখ্যাত।</v>
      </c>
    </row>
    <row r="33">
      <c r="A33" s="4">
        <v>32.0</v>
      </c>
      <c r="B33" s="4" t="s">
        <v>1107</v>
      </c>
      <c r="C33" s="4" t="s">
        <v>1108</v>
      </c>
      <c r="D33" s="4" t="s">
        <v>1087</v>
      </c>
      <c r="E33" s="11" t="s">
        <v>1109</v>
      </c>
      <c r="J33" s="10" t="str">
        <f>IFERROR(__xludf.DUMMYFUNCTION("GOOGLETRANSLATE(A33, ""en"", ""bn"")"),"৩২")</f>
        <v>৩২</v>
      </c>
      <c r="K33" s="10" t="str">
        <f>IFERROR(__xludf.DUMMYFUNCTION("GOOGLETRANSLATE(B33, ""en"", ""bn"")"),"গোল্লা চুটে 'গোল্লা' কীসের প্রতীক?")</f>
        <v>গোল্লা চুটে 'গোল্লা' কীসের প্রতীক?</v>
      </c>
      <c r="L33" s="10" t="str">
        <f>IFERROR(__xludf.DUMMYFUNCTION("GOOGLETRANSLATE(C33, ""en"", ""bn"")"),"ক) বিজয়, খ) শক্তি, গ) লক্ষ্য, ঘ) প্রতিরক্ষা")</f>
        <v>ক) বিজয়, খ) শক্তি, গ) লক্ষ্য, ঘ) প্রতিরক্ষা</v>
      </c>
      <c r="M33" s="10" t="str">
        <f>IFERROR(__xludf.DUMMYFUNCTION("GOOGLETRANSLATE(D33, ""en"", ""bn"")"),"গ) লক্ষ্য")</f>
        <v>গ) লক্ষ্য</v>
      </c>
      <c r="N33" s="10" t="str">
        <f>IFERROR(__xludf.DUMMYFUNCTION("GOOGLETRANSLATE(E33, ""en"", ""bn"")"),"'গোল্লা' বলতে খেলার সময় উভয় দল যে লক্ষ্যবস্তুকে আঘাত করার লক্ষ্য রাখে তাকে বোঝায়।")</f>
        <v>'গোল্লা' বলতে খেলার সময় উভয় দল যে লক্ষ্যবস্তুকে আঘাত করার লক্ষ্য রাখে তাকে বোঝায়।</v>
      </c>
    </row>
    <row r="34">
      <c r="A34" s="4">
        <v>33.0</v>
      </c>
      <c r="B34" s="4" t="s">
        <v>1110</v>
      </c>
      <c r="C34" s="4" t="s">
        <v>1111</v>
      </c>
      <c r="D34" s="4" t="s">
        <v>1112</v>
      </c>
      <c r="E34" s="4" t="s">
        <v>1113</v>
      </c>
      <c r="J34" s="10" t="str">
        <f>IFERROR(__xludf.DUMMYFUNCTION("GOOGLETRANSLATE(A34, ""en"", ""bn"")"),"৩৩")</f>
        <v>৩৩</v>
      </c>
      <c r="K34" s="10" t="str">
        <f>IFERROR(__xludf.DUMMYFUNCTION("GOOGLETRANSLATE(B34, ""en"", ""bn"")"),"কোন দেশের ক্রীড়া সংস্কৃতি গোল্লা চুটকে প্রভাবিত করেছে?")</f>
        <v>কোন দেশের ক্রীড়া সংস্কৃতি গোল্লা চুটকে প্রভাবিত করেছে?</v>
      </c>
      <c r="L34" s="10" t="str">
        <f>IFERROR(__xludf.DUMMYFUNCTION("GOOGLETRANSLATE(C34, ""en"", ""bn"")"),"A) নেপাল, B) ভারত, C) পাকিস্তান, D) শ্রীলঙ্কা")</f>
        <v>A) নেপাল, B) ভারত, C) পাকিস্তান, D) শ্রীলঙ্কা</v>
      </c>
      <c r="M34" s="10" t="str">
        <f>IFERROR(__xludf.DUMMYFUNCTION("GOOGLETRANSLATE(D34, ""en"", ""bn"")"),"খ) ভারত")</f>
        <v>খ) ভারত</v>
      </c>
      <c r="N34" s="10" t="str">
        <f>IFERROR(__xludf.DUMMYFUNCTION("GOOGLETRANSLATE(E34, ""en"", ""bn"")"),"গোল্লা চুট ঐতিহ্যবাহী ভারতীয় খেলাধুলার সাথে মিল খুঁজে পায়, বিশেষ করে খেলার ক্ষেত্রে।")</f>
        <v>গোল্লা চুট ঐতিহ্যবাহী ভারতীয় খেলাধুলার সাথে মিল খুঁজে পায়, বিশেষ করে খেলার ক্ষেত্রে।</v>
      </c>
    </row>
    <row r="35">
      <c r="A35" s="4">
        <v>34.0</v>
      </c>
      <c r="B35" s="4" t="s">
        <v>1114</v>
      </c>
      <c r="C35" s="4" t="s">
        <v>1115</v>
      </c>
      <c r="D35" s="4" t="s">
        <v>1116</v>
      </c>
      <c r="E35" s="4" t="s">
        <v>1117</v>
      </c>
      <c r="J35" s="10" t="str">
        <f>IFERROR(__xludf.DUMMYFUNCTION("GOOGLETRANSLATE(A35, ""en"", ""bn"")"),"৩৪")</f>
        <v>৩৪</v>
      </c>
      <c r="K35" s="10" t="str">
        <f>IFERROR(__xludf.DUMMYFUNCTION("GOOGLETRANSLATE(B35, ""en"", ""bn"")"),"বাংলাদেশের গ্রামাঞ্চলে গোল্লা চুটের ঐতিহাসিক তাৎপর্য কী?")</f>
        <v>বাংলাদেশের গ্রামাঞ্চলে গোল্লা চুটের ঐতিহাসিক তাৎপর্য কী?</v>
      </c>
      <c r="L35" s="10" t="str">
        <f>IFERROR(__xludf.DUMMYFUNCTION("GOOGLETRANSLATE(C35, ""en"", ""bn"")"),"ক) সাংস্কৃতিক অভিব্যক্তি, খ) সামরিক প্রশিক্ষণ, গ) ধর্মীয় আচার-অনুষ্ঠান, ঘ) রাজকীয় বিনোদন")</f>
        <v>ক) সাংস্কৃতিক অভিব্যক্তি, খ) সামরিক প্রশিক্ষণ, গ) ধর্মীয় আচার-অনুষ্ঠান, ঘ) রাজকীয় বিনোদন</v>
      </c>
      <c r="M35" s="10" t="str">
        <f>IFERROR(__xludf.DUMMYFUNCTION("GOOGLETRANSLATE(D35, ""en"", ""bn"")"),"ক) সাংস্কৃতিক অভিব্যক্তি")</f>
        <v>ক) সাংস্কৃতিক অভিব্যক্তি</v>
      </c>
      <c r="N35" s="10" t="str">
        <f>IFERROR(__xludf.DUMMYFUNCTION("GOOGLETRANSLATE(E35, ""en"", ""bn"")"),"গোল্লা চুট একটি সাংস্কৃতিক অভিব্যক্তি হিসেবে কাজ করে এবং প্রায়শই বাংলাদেশের গ্রামীণ উৎসবের অংশ।")</f>
        <v>গোল্লা চুট একটি সাংস্কৃতিক অভিব্যক্তি হিসেবে কাজ করে এবং প্রায়শই বাংলাদেশের গ্রামীণ উৎসবের অংশ।</v>
      </c>
    </row>
    <row r="36">
      <c r="A36" s="4">
        <v>35.0</v>
      </c>
      <c r="B36" s="4" t="s">
        <v>1118</v>
      </c>
      <c r="C36" s="4" t="s">
        <v>1119</v>
      </c>
      <c r="D36" s="4" t="s">
        <v>1120</v>
      </c>
      <c r="E36" s="4" t="s">
        <v>1121</v>
      </c>
      <c r="J36" s="10" t="str">
        <f>IFERROR(__xludf.DUMMYFUNCTION("GOOGLETRANSLATE(A36, ""en"", ""bn"")"),"৩৫")</f>
        <v>৩৫</v>
      </c>
      <c r="K36" s="10" t="str">
        <f>IFERROR(__xludf.DUMMYFUNCTION("GOOGLETRANSLATE(B36, ""en"", ""bn"")"),"গোল্লা চুটে আক্রমণাত্মক দলের প্রাথমিক লক্ষ্য কী?")</f>
        <v>গোল্লা চুটে আক্রমণাত্মক দলের প্রাথমিক লক্ষ্য কী?</v>
      </c>
      <c r="L36" s="10" t="str">
        <f>IFERROR(__xludf.DUMMYFUNCTION("GOOGLETRANSLATE(C36, ""en"", ""bn"")"),"ক) লক্ষ্যবস্তু রক্ষা করুন, খ) লক্ষ্যবস্তু ধ্বংস করুন, গ) পয়েন্ট অর্জন করুন, ঘ) পতাকাটি ধরে রাখুন")</f>
        <v>ক) লক্ষ্যবস্তু রক্ষা করুন, খ) লক্ষ্যবস্তু ধ্বংস করুন, গ) পয়েন্ট অর্জন করুন, ঘ) পতাকাটি ধরে রাখুন</v>
      </c>
      <c r="M36" s="10" t="str">
        <f>IFERROR(__xludf.DUMMYFUNCTION("GOOGLETRANSLATE(D36, ""en"", ""bn"")"),"খ) লক্ষ্যবস্তুকে আঘাত করা")</f>
        <v>খ) লক্ষ্যবস্তুকে আঘাত করা</v>
      </c>
      <c r="N36" s="10" t="str">
        <f>IFERROR(__xludf.DUMMYFUNCTION("GOOGLETRANSLATE(E36, ""en"", ""bn"")"),"আক্রমণাত্মক দলের মূল লক্ষ্য হলো খেলা জেতার জন্য লক্ষ্যবস্তু ('গোল্লা') ভেঙে ফেলা।")</f>
        <v>আক্রমণাত্মক দলের মূল লক্ষ্য হলো খেলা জেতার জন্য লক্ষ্যবস্তু ('গোল্লা') ভেঙে ফেলা।</v>
      </c>
    </row>
    <row r="37">
      <c r="A37" s="4">
        <v>36.0</v>
      </c>
      <c r="B37" s="4" t="s">
        <v>1122</v>
      </c>
      <c r="C37" s="4" t="s">
        <v>1123</v>
      </c>
      <c r="D37" s="4" t="s">
        <v>1124</v>
      </c>
      <c r="E37" s="4" t="s">
        <v>1125</v>
      </c>
      <c r="J37" s="10" t="str">
        <f>IFERROR(__xludf.DUMMYFUNCTION("GOOGLETRANSLATE(A37, ""en"", ""bn"")"),"৩৬")</f>
        <v>৩৬</v>
      </c>
      <c r="K37" s="10" t="str">
        <f>IFERROR(__xludf.DUMMYFUNCTION("GOOGLETRANSLATE(B37, ""en"", ""bn"")"),"গোল্লা চুটে ডিফেন্ডাররা কীভাবে অংশগ্রহণ করে?")</f>
        <v>গোল্লা চুটে ডিফেন্ডাররা কীভাবে অংশগ্রহণ করে?</v>
      </c>
      <c r="L37" s="10" t="str">
        <f>IFERROR(__xludf.DUMMYFUNCTION("GOOGLETRANSLATE(C37, ""en"", ""bn"")"),"ক) লক্ষ্যবস্তুকে অবরুদ্ধ করে, খ) আক্রমণকারীদের ট্যাগ করে, গ) লক্ষ্যবস্তুকে রক্ষা করে, ঘ) গোল করে")</f>
        <v>ক) লক্ষ্যবস্তুকে অবরুদ্ধ করে, খ) আক্রমণকারীদের ট্যাগ করে, গ) লক্ষ্যবস্তুকে রক্ষা করে, ঘ) গোল করে</v>
      </c>
      <c r="M37" s="10" t="str">
        <f>IFERROR(__xludf.DUMMYFUNCTION("GOOGLETRANSLATE(D37, ""en"", ""bn"")"),"গ) লক্ষ্য রক্ষা করে")</f>
        <v>গ) লক্ষ্য রক্ষা করে</v>
      </c>
      <c r="N37" s="10" t="str">
        <f>IFERROR(__xludf.DUMMYFUNCTION("GOOGLETRANSLATE(E37, ""en"", ""bn"")"),"ডিফেন্ডাররা আক্রমণকারী দলকে লক্ষ্যবস্তুতে আঘাত করা থেকে বিরত রাখার উপর মনোযোগ দেয়।")</f>
        <v>ডিফেন্ডাররা আক্রমণকারী দলকে লক্ষ্যবস্তুতে আঘাত করা থেকে বিরত রাখার উপর মনোযোগ দেয়।</v>
      </c>
    </row>
    <row r="38">
      <c r="A38" s="4">
        <v>37.0</v>
      </c>
      <c r="B38" s="4" t="s">
        <v>1126</v>
      </c>
      <c r="C38" s="4" t="s">
        <v>1127</v>
      </c>
      <c r="D38" s="4" t="s">
        <v>270</v>
      </c>
      <c r="E38" s="4" t="s">
        <v>1128</v>
      </c>
      <c r="J38" s="10" t="str">
        <f>IFERROR(__xludf.DUMMYFUNCTION("GOOGLETRANSLATE(A38, ""en"", ""bn"")"),"৩৭")</f>
        <v>৩৭</v>
      </c>
      <c r="K38" s="10" t="str">
        <f>IFERROR(__xludf.DUMMYFUNCTION("GOOGLETRANSLATE(B38, ""en"", ""bn"")"),"বাংলাদেশে কোন সাংস্কৃতিক অনুষ্ঠানে প্রায়শই গোল্লা চুট প্রতিযোগিতা অনুষ্ঠিত হয়?")</f>
        <v>বাংলাদেশে কোন সাংস্কৃতিক অনুষ্ঠানে প্রায়শই গোল্লা চুট প্রতিযোগিতা অনুষ্ঠিত হয়?</v>
      </c>
      <c r="L38" s="10" t="str">
        <f>IFERROR(__xludf.DUMMYFUNCTION("GOOGLETRANSLATE(C38, ""en"", ""bn"")"),"A) স্বাধীনতা দিবস, B) দুর্গাপূজা, C) পহেলা বৈশাখ, D) ঈদুল ফিতর")</f>
        <v>A) স্বাধীনতা দিবস, B) দুর্গাপূজা, C) পহেলা বৈশাখ, D) ঈদুল ফিতর</v>
      </c>
      <c r="M38" s="10" t="str">
        <f>IFERROR(__xludf.DUMMYFUNCTION("GOOGLETRANSLATE(D38, ""en"", ""bn"")"),"গ) পহেলা বৈশাখ")</f>
        <v>গ) পহেলা বৈশাখ</v>
      </c>
      <c r="N38" s="10" t="str">
        <f>IFERROR(__xludf.DUMMYFUNCTION("GOOGLETRANSLATE(E38, ""en"", ""bn"")"),"গোল্লা ছুট প্রতিযোগিতা প্রায়ই পহেলা বৈশাখ, বাংলা নববর্ষের সময় অনুষ্ঠিত হয়।")</f>
        <v>গোল্লা ছুট প্রতিযোগিতা প্রায়ই পহেলা বৈশাখ, বাংলা নববর্ষের সময় অনুষ্ঠিত হয়।</v>
      </c>
    </row>
    <row r="39">
      <c r="A39" s="4">
        <v>38.0</v>
      </c>
      <c r="B39" s="4" t="s">
        <v>1129</v>
      </c>
      <c r="C39" s="4" t="s">
        <v>1130</v>
      </c>
      <c r="D39" s="4" t="s">
        <v>1131</v>
      </c>
      <c r="E39" s="4" t="s">
        <v>1132</v>
      </c>
      <c r="J39" s="10" t="str">
        <f>IFERROR(__xludf.DUMMYFUNCTION("GOOGLETRANSLATE(A39, ""en"", ""bn"")"),"৩৮")</f>
        <v>৩৮</v>
      </c>
      <c r="K39" s="10" t="str">
        <f>IFERROR(__xludf.DUMMYFUNCTION("GOOGLETRANSLATE(B39, ""en"", ""bn"")"),"স্থানীয় গোল্লা চুট টুর্নামেন্ট কে সাধারণত আয়োজন করে?")</f>
        <v>স্থানীয় গোল্লা চুট টুর্নামেন্ট কে সাধারণত আয়োজন করে?</v>
      </c>
      <c r="L39" s="10" t="str">
        <f>IFERROR(__xludf.DUMMYFUNCTION("GOOGLETRANSLATE(C39, ""en"", ""bn"")"),"ক) সরকারি কর্মকর্তা, খ) স্থানীয় সম্প্রদায়, গ) বেসরকারি কোম্পানি, ঘ) স্কুল")</f>
        <v>ক) সরকারি কর্মকর্তা, খ) স্থানীয় সম্প্রদায়, গ) বেসরকারি কোম্পানি, ঘ) স্কুল</v>
      </c>
      <c r="M39" s="10" t="str">
        <f>IFERROR(__xludf.DUMMYFUNCTION("GOOGLETRANSLATE(D39, ""en"", ""bn"")"),"খ) স্থানীয় সম্প্রদায়")</f>
        <v>খ) স্থানীয় সম্প্রদায়</v>
      </c>
      <c r="N39" s="10" t="str">
        <f>IFERROR(__xludf.DUMMYFUNCTION("GOOGLETRANSLATE(E39, ""en"", ""bn"")"),"স্থানীয় সম্প্রদায়গুলি প্রায়শই গোল্লা চুট টুর্নামেন্টের আয়োজন এবং আয়োজন করে, বিশেষ করে গ্রামীণ এলাকায়।")</f>
        <v>স্থানীয় সম্প্রদায়গুলি প্রায়শই গোল্লা চুট টুর্নামেন্টের আয়োজন এবং আয়োজন করে, বিশেষ করে গ্রামীণ এলাকায়।</v>
      </c>
    </row>
    <row r="40">
      <c r="A40" s="4">
        <v>39.0</v>
      </c>
      <c r="B40" s="4" t="s">
        <v>1133</v>
      </c>
      <c r="C40" s="4" t="s">
        <v>1134</v>
      </c>
      <c r="D40" s="4" t="s">
        <v>1135</v>
      </c>
      <c r="E40" s="4" t="s">
        <v>1136</v>
      </c>
      <c r="J40" s="10" t="str">
        <f>IFERROR(__xludf.DUMMYFUNCTION("GOOGLETRANSLATE(A40, ""en"", ""bn"")"),"৩৯")</f>
        <v>৩৯</v>
      </c>
      <c r="K40" s="10" t="str">
        <f>IFERROR(__xludf.DUMMYFUNCTION("GOOGLETRANSLATE(B40, ""en"", ""bn"")"),"গোল্লা চুটের খেলার মাঠের একটি বৈশিষ্ট্য নিচের কোনটি?")</f>
        <v>গোল্লা চুটের খেলার মাঠের একটি বৈশিষ্ট্য নিচের কোনটি?</v>
      </c>
      <c r="L40" s="10" t="str">
        <f>IFERROR(__xludf.DUMMYFUNCTION("GOOGLETRANSLATE(C40, ""en"", ""bn"")"),"ক) এটি ঘরের ভেতরে, খ) এটি বালি দিয়ে তৈরি, গ) এটি একটি কাদা মাঠ, ঘ) এটি ঘাসে ঢাকা")</f>
        <v>ক) এটি ঘরের ভেতরে, খ) এটি বালি দিয়ে তৈরি, গ) এটি একটি কাদা মাঠ, ঘ) এটি ঘাসে ঢাকা</v>
      </c>
      <c r="M40" s="10" t="str">
        <f>IFERROR(__xludf.DUMMYFUNCTION("GOOGLETRANSLATE(D40, ""en"", ""bn"")"),"গ) এটি একটি কাদা মাঠ")</f>
        <v>গ) এটি একটি কাদা মাঠ</v>
      </c>
      <c r="N40" s="10" t="str">
        <f>IFERROR(__xludf.DUMMYFUNCTION("GOOGLETRANSLATE(E40, ""en"", ""bn"")"),"গোল্লা চুটের ঐতিহ্যবাহী খেলার মাঠ হল মাটির মাঠ, যা খেলার গ্রাম্য প্রকৃতির প্রতিফলন ঘটায়।")</f>
        <v>গোল্লা চুটের ঐতিহ্যবাহী খেলার মাঠ হল মাটির মাঠ, যা খেলার গ্রাম্য প্রকৃতির প্রতিফলন ঘটায়।</v>
      </c>
    </row>
    <row r="41">
      <c r="A41" s="4">
        <v>40.0</v>
      </c>
      <c r="B41" s="4" t="s">
        <v>1137</v>
      </c>
      <c r="C41" s="4" t="s">
        <v>1138</v>
      </c>
      <c r="D41" s="4" t="s">
        <v>1139</v>
      </c>
      <c r="E41" s="4" t="s">
        <v>1140</v>
      </c>
      <c r="J41" s="10" t="str">
        <f>IFERROR(__xludf.DUMMYFUNCTION("GOOGLETRANSLATE(A41, ""en"", ""bn"")"),"৪০")</f>
        <v>৪০</v>
      </c>
      <c r="K41" s="10" t="str">
        <f>IFERROR(__xludf.DUMMYFUNCTION("GOOGLETRANSLATE(B41, ""en"", ""bn"")"),"বাংলাদেশের গ্রামাঞ্চলে গোল্লা চুট খেলার অর্থ কী?")</f>
        <v>বাংলাদেশের গ্রামাঞ্চলে গোল্লা চুট খেলার অর্থ কী?</v>
      </c>
      <c r="L41" s="10" t="str">
        <f>IFERROR(__xludf.DUMMYFUNCTION("GOOGLETRANSLATE(C41, ""en"", ""bn"")"),"ক) শক্তির প্রতীক, খ) যাত্রার আচার, গ) ঐক্যের প্রতীক, ঘ) দক্ষতার প্রদর্শন")</f>
        <v>ক) শক্তির প্রতীক, খ) যাত্রার আচার, গ) ঐক্যের প্রতীক, ঘ) দক্ষতার প্রদর্শন</v>
      </c>
      <c r="M41" s="10" t="str">
        <f>IFERROR(__xludf.DUMMYFUNCTION("GOOGLETRANSLATE(D41, ""en"", ""bn"")"),"গ) ঐক্যের প্রতীক")</f>
        <v>গ) ঐক্যের প্রতীক</v>
      </c>
      <c r="N41" s="10" t="str">
        <f>IFERROR(__xludf.DUMMYFUNCTION("GOOGLETRANSLATE(E41, ""en"", ""bn"")"),"গোল্লা চুট, বিশেষ করে বাংলাদেশের গ্রামীণ এলাকায়, সম্প্রদায় ও ঐক্যের অনুভূতি জাগিয়ে তোলে।")</f>
        <v>গোল্লা চুট, বিশেষ করে বাংলাদেশের গ্রামীণ এলাকায়, সম্প্রদায় ও ঐক্যের অনুভূতি জাগিয়ে তোলে।</v>
      </c>
    </row>
    <row r="42">
      <c r="A42" s="4">
        <v>41.0</v>
      </c>
      <c r="B42" s="4" t="s">
        <v>1141</v>
      </c>
      <c r="C42" s="4" t="s">
        <v>1142</v>
      </c>
      <c r="D42" s="4" t="s">
        <v>1143</v>
      </c>
      <c r="E42" s="4" t="s">
        <v>1144</v>
      </c>
      <c r="J42" s="10" t="str">
        <f>IFERROR(__xludf.DUMMYFUNCTION("GOOGLETRANSLATE(A42, ""en"", ""bn"")"),"৪১")</f>
        <v>৪১</v>
      </c>
      <c r="K42" s="10" t="str">
        <f>IFERROR(__xludf.DUMMYFUNCTION("GOOGLETRANSLATE(B42, ""en"", ""bn"")"),"গোল্লা চুট কখন বাংলাদেশে ব্যাপকভাবে পরিচিতি লাভ করে?")</f>
        <v>গোল্লা চুট কখন বাংলাদেশে ব্যাপকভাবে পরিচিতি লাভ করে?</v>
      </c>
      <c r="L42" s="10" t="str">
        <f>IFERROR(__xludf.DUMMYFUNCTION("GOOGLETRANSLATE(C42, ""en"", ""bn"")"),"ক) ১৯৭০ এর দশক, খ) ১৯৮০ এর দশক, গ) ১৯৯০ এর দশক, ঘ) ২০০০ এর দশক")</f>
        <v>ক) ১৯৭০ এর দশক, খ) ১৯৮০ এর দশক, গ) ১৯৯০ এর দশক, ঘ) ২০০০ এর দশক</v>
      </c>
      <c r="M42" s="10" t="str">
        <f>IFERROR(__xludf.DUMMYFUNCTION("GOOGLETRANSLATE(D42, ""en"", ""bn"")"),"ঘ) ২০০০ এর দশক")</f>
        <v>ঘ) ২০০০ এর দশক</v>
      </c>
      <c r="N42" s="10" t="str">
        <f>IFERROR(__xludf.DUMMYFUNCTION("GOOGLETRANSLATE(E42, ""en"", ""bn"")"),"২০০০-এর দশকে গোল্লা চুট বাংলাদেশে ব্যাপক পরিচিতি লাভ করে।")</f>
        <v>২০০০-এর দশকে গোল্লা চুট বাংলাদেশে ব্যাপক পরিচিতি লাভ করে।</v>
      </c>
    </row>
    <row r="43">
      <c r="A43" s="4">
        <v>42.0</v>
      </c>
      <c r="B43" s="4" t="s">
        <v>1145</v>
      </c>
      <c r="C43" s="4" t="s">
        <v>1146</v>
      </c>
      <c r="D43" s="4" t="s">
        <v>1147</v>
      </c>
      <c r="E43" s="4" t="s">
        <v>1148</v>
      </c>
      <c r="J43" s="10" t="str">
        <f>IFERROR(__xludf.DUMMYFUNCTION("GOOGLETRANSLATE(A43, ""en"", ""bn"")"),"৪২")</f>
        <v>৪২</v>
      </c>
      <c r="K43" s="10" t="str">
        <f>IFERROR(__xludf.DUMMYFUNCTION("GOOGLETRANSLATE(B43, ""en"", ""bn"")"),"গোল্লা চুটে লক্ষ্যবস্তুকে উপস্থাপন করার জন্য কোন ঐতিহ্যবাহী জিনিস ব্যবহার করা হয়?")</f>
        <v>গোল্লা চুটে লক্ষ্যবস্তুকে উপস্থাপন করার জন্য কোন ঐতিহ্যবাহী জিনিস ব্যবহার করা হয়?</v>
      </c>
      <c r="L43" s="10" t="str">
        <f>IFERROR(__xludf.DUMMYFUNCTION("GOOGLETRANSLATE(C43, ""en"", ""bn"")"),"ক) একটি কাঠের খুঁটি, খ) একটি পাথর, গ) একটি বল, ঘ) একটি নারকেল")</f>
        <v>ক) একটি কাঠের খুঁটি, খ) একটি পাথর, গ) একটি বল, ঘ) একটি নারকেল</v>
      </c>
      <c r="M43" s="10" t="str">
        <f>IFERROR(__xludf.DUMMYFUNCTION("GOOGLETRANSLATE(D43, ""en"", ""bn"")"),"ক) একটি কাঠের খুঁটি")</f>
        <v>ক) একটি কাঠের খুঁটি</v>
      </c>
      <c r="N43" s="10" t="str">
        <f>IFERROR(__xludf.DUMMYFUNCTION("GOOGLETRANSLATE(E43, ""en"", ""bn"")"),"গোল্লা চুটে লক্ষ্যবস্তু হিসেবে কাঠের খুঁটি বা অনুরূপ জিনিস ব্যবহার করা হয়।")</f>
        <v>গোল্লা চুটে লক্ষ্যবস্তু হিসেবে কাঠের খুঁটি বা অনুরূপ জিনিস ব্যবহার করা হয়।</v>
      </c>
    </row>
    <row r="44">
      <c r="A44" s="4">
        <v>43.0</v>
      </c>
      <c r="B44" s="4" t="s">
        <v>1149</v>
      </c>
      <c r="C44" s="4" t="s">
        <v>1150</v>
      </c>
      <c r="D44" s="4" t="s">
        <v>1151</v>
      </c>
      <c r="E44" s="4" t="s">
        <v>1152</v>
      </c>
      <c r="J44" s="10" t="str">
        <f>IFERROR(__xludf.DUMMYFUNCTION("GOOGLETRANSLATE(A44, ""en"", ""bn"")"),"৪৩")</f>
        <v>৪৩</v>
      </c>
      <c r="K44" s="10" t="str">
        <f>IFERROR(__xludf.DUMMYFUNCTION("GOOGLETRANSLATE(B44, ""en"", ""bn"")"),"গোল্লা চুট-এ কৌশলের ভূমিকা কী?")</f>
        <v>গোল্লা চুট-এ কৌশলের ভূমিকা কী?</v>
      </c>
      <c r="L44" s="10" t="str">
        <f>IFERROR(__xludf.DUMMYFUNCTION("GOOGLETRANSLATE(C44, ""en"", ""bn"")"),"ক) কৌশল গুরুত্বপূর্ণ নয়, খ) এটি বিজয়ী নির্ধারণ করে, গ) এটি শারীরিক দিকটিকে সমর্থন করে, ঘ) এটি খেলাকে দ্রুততর করে তোলে")</f>
        <v>ক) কৌশল গুরুত্বপূর্ণ নয়, খ) এটি বিজয়ী নির্ধারণ করে, গ) এটি শারীরিক দিকটিকে সমর্থন করে, ঘ) এটি খেলাকে দ্রুততর করে তোলে</v>
      </c>
      <c r="M44" s="10" t="str">
        <f>IFERROR(__xludf.DUMMYFUNCTION("GOOGLETRANSLATE(D44, ""en"", ""bn"")"),"খ) এটি বিজয়ী নির্ধারণ করে")</f>
        <v>খ) এটি বিজয়ী নির্ধারণ করে</v>
      </c>
      <c r="N44" s="10" t="str">
        <f>IFERROR(__xludf.DUMMYFUNCTION("GOOGLETRANSLATE(E44, ""en"", ""bn"")"),"গোল্লা চুটে কৌশলগত চিন্তাভাবনা অপরিহার্য, যা খেলার ফলাফলকে প্রভাবিত করে।")</f>
        <v>গোল্লা চুটে কৌশলগত চিন্তাভাবনা অপরিহার্য, যা খেলার ফলাফলকে প্রভাবিত করে।</v>
      </c>
    </row>
    <row r="45">
      <c r="A45" s="4">
        <v>44.0</v>
      </c>
      <c r="B45" s="4" t="s">
        <v>1153</v>
      </c>
      <c r="C45" s="4" t="s">
        <v>1154</v>
      </c>
      <c r="D45" s="4" t="s">
        <v>1155</v>
      </c>
      <c r="E45" s="4" t="s">
        <v>1156</v>
      </c>
      <c r="J45" s="10" t="str">
        <f>IFERROR(__xludf.DUMMYFUNCTION("GOOGLETRANSLATE(A45, ""en"", ""bn"")"),"৪৪")</f>
        <v>৪৪</v>
      </c>
      <c r="K45" s="10" t="str">
        <f>IFERROR(__xludf.DUMMYFUNCTION("GOOGLETRANSLATE(B45, ""en"", ""bn"")"),"গোল্লা চুটে সাফল্যের জন্য নিচের কোনটি অত্যন্ত গুরুত্বপূর্ণ?")</f>
        <v>গোল্লা চুটে সাফল্যের জন্য নিচের কোনটি অত্যন্ত গুরুত্বপূর্ণ?</v>
      </c>
      <c r="L45" s="10" t="str">
        <f>IFERROR(__xludf.DUMMYFUNCTION("GOOGLETRANSLATE(C45, ""en"", ""bn"")"),"ক) শারীরিক শক্তি, খ) গতি, গ) দলের সমন্বয়, ঘ) আগ্রাসন")</f>
        <v>ক) শারীরিক শক্তি, খ) গতি, গ) দলের সমন্বয়, ঘ) আগ্রাসন</v>
      </c>
      <c r="M45" s="10" t="str">
        <f>IFERROR(__xludf.DUMMYFUNCTION("GOOGLETRANSLATE(D45, ""en"", ""bn"")"),"গ) দলের সমন্বয়")</f>
        <v>গ) দলের সমন্বয়</v>
      </c>
      <c r="N45" s="10" t="str">
        <f>IFERROR(__xludf.DUMMYFUNCTION("GOOGLETRANSLATE(E45, ""en"", ""bn"")"),"সাফল্যের জন্য দলীয় সমন্বয় অত্যন্ত গুরুত্বপূর্ণ, কারণ এর জন্য খেলোয়াড়দের কার্যকরভাবে একসাথে কাজ করা প্রয়োজন।")</f>
        <v>সাফল্যের জন্য দলীয় সমন্বয় অত্যন্ত গুরুত্বপূর্ণ, কারণ এর জন্য খেলোয়াড়দের কার্যকরভাবে একসাথে কাজ করা প্রয়োজন।</v>
      </c>
    </row>
    <row r="46">
      <c r="A46" s="4">
        <v>45.0</v>
      </c>
      <c r="B46" s="4" t="s">
        <v>1157</v>
      </c>
      <c r="C46" s="4" t="s">
        <v>1158</v>
      </c>
      <c r="D46" s="4" t="s">
        <v>1159</v>
      </c>
      <c r="E46" s="4" t="s">
        <v>1160</v>
      </c>
      <c r="J46" s="10" t="str">
        <f>IFERROR(__xludf.DUMMYFUNCTION("GOOGLETRANSLATE(A46, ""en"", ""bn"")"),"৪৫")</f>
        <v>৪৫</v>
      </c>
      <c r="K46" s="10" t="str">
        <f>IFERROR(__xludf.DUMMYFUNCTION("GOOGLETRANSLATE(B46, ""en"", ""bn"")"),"প্রথম আনুষ্ঠানিক গোল্লা চুট টুর্নামেন্ট কোন বছর অনুষ্ঠিত হয়েছিল?")</f>
        <v>প্রথম আনুষ্ঠানিক গোল্লা চুট টুর্নামেন্ট কোন বছর অনুষ্ঠিত হয়েছিল?</v>
      </c>
      <c r="L46" s="10" t="str">
        <f>IFERROR(__xludf.DUMMYFUNCTION("GOOGLETRANSLATE(C46, ""en"", ""bn"")"),"ক) ১৯৮৫, খ) ১৯৯৫, গ) ২০০৫, ঘ) ২০১৫")</f>
        <v>ক) ১৯৮৫, খ) ১৯৯৫, গ) ২০০৫, ঘ) ২০১৫</v>
      </c>
      <c r="M46" s="10" t="str">
        <f>IFERROR(__xludf.DUMMYFUNCTION("GOOGLETRANSLATE(D46, ""en"", ""bn"")"),"গ) ২০০৫")</f>
        <v>গ) ২০০৫</v>
      </c>
      <c r="N46" s="10" t="str">
        <f>IFERROR(__xludf.DUMMYFUNCTION("GOOGLETRANSLATE(E46, ""en"", ""bn"")"),"প্রথম আনুষ্ঠানিক গোল্লা চুট টুর্নামেন্ট ২০০৫ সালে অনুষ্ঠিত হয়েছিল, যা এই খেলার জন্য একটি মাইলফলক হিসেবে চিহ্নিত হয়েছিল।")</f>
        <v>প্রথম আনুষ্ঠানিক গোল্লা চুট টুর্নামেন্ট ২০০৫ সালে অনুষ্ঠিত হয়েছিল, যা এই খেলার জন্য একটি মাইলফলক হিসেবে চিহ্নিত হয়েছিল।</v>
      </c>
    </row>
    <row r="47">
      <c r="A47" s="4">
        <v>46.0</v>
      </c>
      <c r="B47" s="4" t="s">
        <v>1161</v>
      </c>
      <c r="C47" s="4" t="s">
        <v>1162</v>
      </c>
      <c r="D47" s="4" t="s">
        <v>606</v>
      </c>
      <c r="E47" s="4" t="s">
        <v>1163</v>
      </c>
      <c r="J47" s="10" t="str">
        <f>IFERROR(__xludf.DUMMYFUNCTION("GOOGLETRANSLATE(A47, ""en"", ""bn"")"),"৪৬")</f>
        <v>৪৬</v>
      </c>
      <c r="K47" s="10" t="str">
        <f>IFERROR(__xludf.DUMMYFUNCTION("GOOGLETRANSLATE(B47, ""en"", ""bn"")"),"গোল্লা চুট টুর্নামেন্টের সময় কোন দক্ষতা প্রাথমিকভাবে পরীক্ষা করা হয়?")</f>
        <v>গোল্লা চুট টুর্নামেন্টের সময় কোন দক্ষতা প্রাথমিকভাবে পরীক্ষা করা হয়?</v>
      </c>
      <c r="L47" s="10" t="str">
        <f>IFERROR(__xludf.DUMMYFUNCTION("GOOGLETRANSLATE(C47, ""en"", ""bn"")"),"ক) তত্পরতা, খ) শক্তি, গ) সমন্বয়, ঘ) গতি")</f>
        <v>ক) তত্পরতা, খ) শক্তি, গ) সমন্বয়, ঘ) গতি</v>
      </c>
      <c r="M47" s="10" t="str">
        <f>IFERROR(__xludf.DUMMYFUNCTION("GOOGLETRANSLATE(D47, ""en"", ""bn"")"),"গ) সমন্বয়")</f>
        <v>গ) সমন্বয়</v>
      </c>
      <c r="N47" s="10" t="str">
        <f>IFERROR(__xludf.DUMMYFUNCTION("GOOGLETRANSLATE(E47, ""en"", ""bn"")"),"সমন্বয় হল পরীক্ষিত মূল দক্ষতা, কারণ খেলোয়াড়দের তাদের লক্ষ্য অর্জনের জন্য একসাথে কাজ করতে হবে।")</f>
        <v>সমন্বয় হল পরীক্ষিত মূল দক্ষতা, কারণ খেলোয়াড়দের তাদের লক্ষ্য অর্জনের জন্য একসাথে কাজ করতে হবে।</v>
      </c>
    </row>
    <row r="48">
      <c r="A48" s="4">
        <v>47.0</v>
      </c>
      <c r="B48" s="4" t="s">
        <v>1164</v>
      </c>
      <c r="C48" s="4" t="s">
        <v>1165</v>
      </c>
      <c r="D48" s="4" t="s">
        <v>1166</v>
      </c>
      <c r="E48" s="4" t="s">
        <v>1167</v>
      </c>
      <c r="J48" s="10" t="str">
        <f>IFERROR(__xludf.DUMMYFUNCTION("GOOGLETRANSLATE(A48, ""en"", ""bn"")"),"৪৭")</f>
        <v>৪৭</v>
      </c>
      <c r="K48" s="10" t="str">
        <f>IFERROR(__xludf.DUMMYFUNCTION("GOOGLETRANSLATE(B48, ""en"", ""bn"")"),"গোল্লা চুটের খেলোয়াড়দের ঐতিহ্যবাহী বয়সসীমা কত?")</f>
        <v>গোল্লা চুটের খেলোয়াড়দের ঐতিহ্যবাহী বয়সসীমা কত?</v>
      </c>
      <c r="L48" s="10" t="str">
        <f>IFERROR(__xludf.DUMMYFUNCTION("GOOGLETRANSLATE(C48, ""en"", ""bn"")"),"ক) শুধুমাত্র শিশুরা, খ) কিশোররা, গ) প্রাপ্তবয়স্করা, ঘ) সকল বয়সের জন্য")</f>
        <v>ক) শুধুমাত্র শিশুরা, খ) কিশোররা, গ) প্রাপ্তবয়স্করা, ঘ) সকল বয়সের জন্য</v>
      </c>
      <c r="M48" s="10" t="str">
        <f>IFERROR(__xludf.DUMMYFUNCTION("GOOGLETRANSLATE(D48, ""en"", ""bn"")"),"ঘ) সকল বয়সের")</f>
        <v>ঘ) সকল বয়সের</v>
      </c>
      <c r="N48" s="10" t="str">
        <f>IFERROR(__xludf.DUMMYFUNCTION("GOOGLETRANSLATE(E48, ""en"", ""bn"")"),"গোল্লা চাট শিশু থেকে প্রাপ্তবয়স্ক সকল বয়সের মানুষ উপভোগ করে।")</f>
        <v>গোল্লা চাট শিশু থেকে প্রাপ্তবয়স্ক সকল বয়সের মানুষ উপভোগ করে।</v>
      </c>
    </row>
    <row r="49">
      <c r="A49" s="4">
        <v>48.0</v>
      </c>
      <c r="B49" s="4" t="s">
        <v>1168</v>
      </c>
      <c r="C49" s="4" t="s">
        <v>1169</v>
      </c>
      <c r="D49" s="4" t="s">
        <v>1170</v>
      </c>
      <c r="E49" s="4" t="s">
        <v>1171</v>
      </c>
      <c r="J49" s="10" t="str">
        <f>IFERROR(__xludf.DUMMYFUNCTION("GOOGLETRANSLATE(A49, ""en"", ""bn"")"),"৪৮")</f>
        <v>৪৮</v>
      </c>
      <c r="K49" s="10" t="str">
        <f>IFERROR(__xludf.DUMMYFUNCTION("GOOGLETRANSLATE(B49, ""en"", ""bn"")"),"গোল্লা চুট কোন ধরণের সামাজিক অনুষ্ঠানের সাথে সবচেয়ে বেশি যুক্ত?")</f>
        <v>গোল্লা চুট কোন ধরণের সামাজিক অনুষ্ঠানের সাথে সবচেয়ে বেশি যুক্ত?</v>
      </c>
      <c r="L49" s="10" t="str">
        <f>IFERROR(__xludf.DUMMYFUNCTION("GOOGLETRANSLATE(C49, ""en"", ""bn"")"),"ক) ফসল কাটার উৎসব, খ) ধর্মীয় অনুষ্ঠান, গ) বিবাহ, ঘ) গ্রামীণ মেলা")</f>
        <v>ক) ফসল কাটার উৎসব, খ) ধর্মীয় অনুষ্ঠান, গ) বিবাহ, ঘ) গ্রামীণ মেলা</v>
      </c>
      <c r="M49" s="10" t="str">
        <f>IFERROR(__xludf.DUMMYFUNCTION("GOOGLETRANSLATE(D49, ""en"", ""bn"")"),"ঘ) গ্রামীণ মেলা")</f>
        <v>ঘ) গ্রামীণ মেলা</v>
      </c>
      <c r="N49" s="10" t="str">
        <f>IFERROR(__xludf.DUMMYFUNCTION("GOOGLETRANSLATE(E49, ""en"", ""bn"")"),"গোল্লা চুট প্রায়শই গ্রামের মেলায় প্রদর্শিত হয়, যা স্থানীয় প্রতিভা এবং ঐতিহ্যকে তুলে ধরে।")</f>
        <v>গোল্লা চুট প্রায়শই গ্রামের মেলায় প্রদর্শিত হয়, যা স্থানীয় প্রতিভা এবং ঐতিহ্যকে তুলে ধরে।</v>
      </c>
    </row>
    <row r="50">
      <c r="A50" s="4">
        <v>49.0</v>
      </c>
      <c r="B50" s="4" t="s">
        <v>1172</v>
      </c>
      <c r="C50" s="4" t="s">
        <v>1173</v>
      </c>
      <c r="D50" s="4" t="s">
        <v>1174</v>
      </c>
      <c r="E50" s="4" t="s">
        <v>1175</v>
      </c>
      <c r="J50" s="10" t="str">
        <f>IFERROR(__xludf.DUMMYFUNCTION("GOOGLETRANSLATE(A50, ""en"", ""bn"")"),"৪৯")</f>
        <v>৪৯</v>
      </c>
      <c r="K50" s="10" t="str">
        <f>IFERROR(__xludf.DUMMYFUNCTION("GOOGLETRANSLATE(B50, ""en"", ""bn"")"),"গোল্লা চুট-এ, নিচের কোনটি রক্ষকদের ভূমিকা নয়?")</f>
        <v>গোল্লা চুট-এ, নিচের কোনটি রক্ষকদের ভূমিকা নয়?</v>
      </c>
      <c r="L50" s="10" t="str">
        <f>IFERROR(__xludf.DUMMYFUNCTION("GOOGLETRANSLATE(C50, ""en"", ""bn"")"),"ক) আক্রমণকারী খেলোয়াড়দের ব্লক করা, খ) লক্ষ্যবস্তু রক্ষা করা, গ) লক্ষ্যবস্তুকে ছিটকে দেওয়া, ঘ) আক্রমণকারীদের ট্যাগ করা")</f>
        <v>ক) আক্রমণকারী খেলোয়াড়দের ব্লক করা, খ) লক্ষ্যবস্তু রক্ষা করা, গ) লক্ষ্যবস্তুকে ছিটকে দেওয়া, ঘ) আক্রমণকারীদের ট্যাগ করা</v>
      </c>
      <c r="M50" s="10" t="str">
        <f>IFERROR(__xludf.DUMMYFUNCTION("GOOGLETRANSLATE(D50, ""en"", ""bn"")"),"গ) লক্ষ্যবস্তুকে আঘাত করা")</f>
        <v>গ) লক্ষ্যবস্তুকে আঘাত করা</v>
      </c>
      <c r="N50" s="10" t="str">
        <f>IFERROR(__xludf.DUMMYFUNCTION("GOOGLETRANSLATE(E50, ""en"", ""bn"")"),"ডিফেন্ডাররা লক্ষ্যবস্তুকে রক্ষা করার জন্য দায়ী, তা ভেঙে ফেলার জন্য নয়।")</f>
        <v>ডিফেন্ডাররা লক্ষ্যবস্তুকে রক্ষা করার জন্য দায়ী, তা ভেঙে ফেলার জন্য নয়।</v>
      </c>
    </row>
    <row r="51">
      <c r="A51" s="4">
        <v>50.0</v>
      </c>
      <c r="B51" s="4" t="s">
        <v>1176</v>
      </c>
      <c r="C51" s="4" t="s">
        <v>1177</v>
      </c>
      <c r="D51" s="4" t="s">
        <v>1178</v>
      </c>
      <c r="E51" s="4" t="s">
        <v>1179</v>
      </c>
      <c r="J51" s="10" t="str">
        <f>IFERROR(__xludf.DUMMYFUNCTION("GOOGLETRANSLATE(A51, ""en"", ""bn"")"),"৫০")</f>
        <v>৫০</v>
      </c>
      <c r="K51" s="10" t="str">
        <f>IFERROR(__xludf.DUMMYFUNCTION("GOOGLETRANSLATE(B51, ""en"", ""bn"")"),"কোন ঐতিহাসিক ঘটনা বাংলাদেশে গোল্লা চুটের জনপ্রিয়তা ছড়িয়ে দিতে সাহায্য করেছিল?")</f>
        <v>কোন ঐতিহাসিক ঘটনা বাংলাদেশে গোল্লা চুটের জনপ্রিয়তা ছড়িয়ে দিতে সাহায্য করেছিল?</v>
      </c>
      <c r="L51" s="10" t="str">
        <f>IFERROR(__xludf.DUMMYFUNCTION("GOOGLETRANSLATE(C51, ""en"", ""bn"")"),"ক) স্বাধীনতা আন্দোলন, খ) ঔপনিবেশিক শাসন, গ) বাঙালি নবজাগরণ, ঘ) মুক্তিযুদ্ধ")</f>
        <v>ক) স্বাধীনতা আন্দোলন, খ) ঔপনিবেশিক শাসন, গ) বাঙালি নবজাগরণ, ঘ) মুক্তিযুদ্ধ</v>
      </c>
      <c r="M51" s="10" t="str">
        <f>IFERROR(__xludf.DUMMYFUNCTION("GOOGLETRANSLATE(D51, ""en"", ""bn"")"),"ঘ) মুক্তিযুদ্ধ")</f>
        <v>ঘ) মুক্তিযুদ্ধ</v>
      </c>
      <c r="N51" s="10" t="str">
        <f>IFERROR(__xludf.DUMMYFUNCTION("GOOGLETRANSLATE(E51, ""en"", ""bn"")"),"১৯৭১ সালের মুক্তিযুদ্ধ জাতীয় গর্বের প্রতীক হিসেবে গোল্লা চুটের মতো ঐতিহ্যবাহী খেলাধুলাকে প্রচার করতে সাহায্য করেছিল।")</f>
        <v>১৯৭১ সালের মুক্তিযুদ্ধ জাতীয় গর্বের প্রতীক হিসেবে গোল্লা চুটের মতো ঐতিহ্যবাহী খেলাধুলাকে প্রচার করতে সাহায্য করেছিল।</v>
      </c>
    </row>
    <row r="52">
      <c r="A52" s="4">
        <v>51.0</v>
      </c>
      <c r="B52" s="4" t="s">
        <v>1180</v>
      </c>
      <c r="C52" s="4" t="s">
        <v>1181</v>
      </c>
      <c r="D52" s="4" t="s">
        <v>719</v>
      </c>
      <c r="E52" s="4" t="s">
        <v>1182</v>
      </c>
      <c r="J52" s="10" t="str">
        <f>IFERROR(__xludf.DUMMYFUNCTION("GOOGLETRANSLATE(A52, ""en"", ""bn"")"),"৫১")</f>
        <v>৫১</v>
      </c>
      <c r="K52" s="10" t="str">
        <f>IFERROR(__xludf.DUMMYFUNCTION("GOOGLETRANSLATE(B52, ""en"", ""bn"")"),"গোল্লা চুট কোন সাংস্কৃতিক দিকের সাথে গভীরভাবে জড়িত?")</f>
        <v>গোল্লা চুট কোন সাংস্কৃতিক দিকের সাথে গভীরভাবে জড়িত?</v>
      </c>
      <c r="L52" s="10" t="str">
        <f>IFERROR(__xludf.DUMMYFUNCTION("GOOGLETRANSLATE(C52, ""en"", ""bn"")"),"ক) জাতীয় রাজনীতি, খ) গ্রামীণ ঐতিহ্য, গ) নগর জীবনধারা, ঘ) বিশ্বব্যাপী ক্রীড়া সংস্কৃতি")</f>
        <v>ক) জাতীয় রাজনীতি, খ) গ্রামীণ ঐতিহ্য, গ) নগর জীবনধারা, ঘ) বিশ্বব্যাপী ক্রীড়া সংস্কৃতি</v>
      </c>
      <c r="M52" s="10" t="str">
        <f>IFERROR(__xludf.DUMMYFUNCTION("GOOGLETRANSLATE(D52, ""en"", ""bn"")"),"খ) গ্রামীণ ঐতিহ্য")</f>
        <v>খ) গ্রামীণ ঐতিহ্য</v>
      </c>
      <c r="N52" s="10" t="str">
        <f>IFERROR(__xludf.DUMMYFUNCTION("GOOGLETRANSLATE(E52, ""en"", ""bn"")"),"গোল্লা চুট গ্রামীণ ঐতিহ্য এবং গ্রামীণ বাংলাদেশের সাম্প্রদায়িক জীবনযাত্রার সাথে গভীরভাবে জড়িত।")</f>
        <v>গোল্লা চুট গ্রামীণ ঐতিহ্য এবং গ্রামীণ বাংলাদেশের সাম্প্রদায়িক জীবনযাত্রার সাথে গভীরভাবে জড়িত।</v>
      </c>
    </row>
    <row r="53">
      <c r="A53" s="4">
        <v>52.0</v>
      </c>
      <c r="B53" s="4" t="s">
        <v>1183</v>
      </c>
      <c r="C53" s="4" t="s">
        <v>1184</v>
      </c>
      <c r="D53" s="4" t="s">
        <v>1185</v>
      </c>
      <c r="E53" s="4" t="s">
        <v>1186</v>
      </c>
      <c r="J53" s="10" t="str">
        <f>IFERROR(__xludf.DUMMYFUNCTION("GOOGLETRANSLATE(A53, ""en"", ""bn"")"),"৫২")</f>
        <v>৫২</v>
      </c>
      <c r="K53" s="10" t="str">
        <f>IFERROR(__xludf.DUMMYFUNCTION("GOOGLETRANSLATE(B53, ""en"", ""bn"")"),"গোল্লা চুটে দলগুলিকে কীভাবে ভাগ করা হয়?")</f>
        <v>গোল্লা চুটে দলগুলিকে কীভাবে ভাগ করা হয়?</v>
      </c>
      <c r="L53" s="10" t="str">
        <f>IFERROR(__xludf.DUMMYFUNCTION("GOOGLETRANSLATE(C53, ""en"", ""bn"")"),"ক) বয়স অনুসারে, খ) দক্ষতার স্তর অনুসারে, গ) এলোমেলোভাবে, ঘ) লিঙ্গ অনুসারে")</f>
        <v>ক) বয়স অনুসারে, খ) দক্ষতার স্তর অনুসারে, গ) এলোমেলোভাবে, ঘ) লিঙ্গ অনুসারে</v>
      </c>
      <c r="M53" s="10" t="str">
        <f>IFERROR(__xludf.DUMMYFUNCTION("GOOGLETRANSLATE(D53, ""en"", ""bn"")"),"গ) এলোমেলোভাবে")</f>
        <v>গ) এলোমেলোভাবে</v>
      </c>
      <c r="N53" s="10" t="str">
        <f>IFERROR(__xludf.DUMMYFUNCTION("GOOGLETRANSLATE(E53, ""en"", ""bn"")"),"অনেক ঐতিহ্যবাহী পরিবেশে, অন্তর্ভুক্তিকে উৎসাহিত করার জন্য দলগুলিকে এলোমেলোভাবে ভাগ করা হয়।")</f>
        <v>অনেক ঐতিহ্যবাহী পরিবেশে, অন্তর্ভুক্তিকে উৎসাহিত করার জন্য দলগুলিকে এলোমেলোভাবে ভাগ করা হয়।</v>
      </c>
    </row>
    <row r="54">
      <c r="A54" s="4">
        <v>53.0</v>
      </c>
      <c r="B54" s="4" t="s">
        <v>1187</v>
      </c>
      <c r="C54" s="4" t="s">
        <v>1188</v>
      </c>
      <c r="D54" s="4" t="s">
        <v>1189</v>
      </c>
      <c r="E54" s="4" t="s">
        <v>1190</v>
      </c>
      <c r="J54" s="10" t="str">
        <f>IFERROR(__xludf.DUMMYFUNCTION("GOOGLETRANSLATE(A54, ""en"", ""bn"")"),"৫৩")</f>
        <v>৫৩</v>
      </c>
      <c r="K54" s="10" t="str">
        <f>IFERROR(__xludf.DUMMYFUNCTION("GOOGLETRANSLATE(B54, ""en"", ""bn"")"),"এই বৈশিষ্ট্যগুলির মধ্যে কোনটি গোল্লা চুটকে অন্যান্য ঐতিহ্যবাহী খেলা থেকে আলাদা করে তোলে?")</f>
        <v>এই বৈশিষ্ট্যগুলির মধ্যে কোনটি গোল্লা চুটকে অন্যান্য ঐতিহ্যবাহী খেলা থেকে আলাদা করে তোলে?</v>
      </c>
      <c r="L54" s="10" t="str">
        <f>IFERROR(__xludf.DUMMYFUNCTION("GOOGLETRANSLATE(C54, ""en"", ""bn"")"),"ক) মাঠের আকার, খ) লক্ষ্য-ভিত্তিক গেমপ্লে, গ) খেলোয়াড়ের সংখ্যা, ঘ) স্কোরিং সিস্টেম")</f>
        <v>ক) মাঠের আকার, খ) লক্ষ্য-ভিত্তিক গেমপ্লে, গ) খেলোয়াড়ের সংখ্যা, ঘ) স্কোরিং সিস্টেম</v>
      </c>
      <c r="M54" s="10" t="str">
        <f>IFERROR(__xludf.DUMMYFUNCTION("GOOGLETRANSLATE(D54, ""en"", ""bn"")"),"খ) লক্ষ্য-ভিত্তিক গেমপ্লে")</f>
        <v>খ) লক্ষ্য-ভিত্তিক গেমপ্লে</v>
      </c>
      <c r="N54" s="10" t="str">
        <f>IFERROR(__xludf.DUMMYFUNCTION("GOOGLETRANSLATE(E54, ""en"", ""bn"")"),"অনন্য লক্ষ্য-ভিত্তিক গেমপ্লে গোল্লা চুটকে অন্যান্য অনেক ঐতিহ্যবাহী খেলা থেকে আলাদা করে।")</f>
        <v>অনন্য লক্ষ্য-ভিত্তিক গেমপ্লে গোল্লা চুটকে অন্যান্য অনেক ঐতিহ্যবাহী খেলা থেকে আলাদা করে।</v>
      </c>
    </row>
    <row r="55">
      <c r="A55" s="4">
        <v>54.0</v>
      </c>
      <c r="B55" s="4" t="s">
        <v>1191</v>
      </c>
      <c r="C55" s="4" t="s">
        <v>1192</v>
      </c>
      <c r="D55" s="4" t="s">
        <v>602</v>
      </c>
      <c r="E55" s="4" t="s">
        <v>1193</v>
      </c>
      <c r="J55" s="10" t="str">
        <f>IFERROR(__xludf.DUMMYFUNCTION("GOOGLETRANSLATE(A55, ""en"", ""bn"")"),"৫৪")</f>
        <v>৫৪</v>
      </c>
      <c r="K55" s="10" t="str">
        <f>IFERROR(__xludf.DUMMYFUNCTION("GOOGLETRANSLATE(B55, ""en"", ""bn"")"),"কোন বিখ্যাত ব্যক্তিত্ব গোল্লা চুট সংরক্ষণের পক্ষে ছিলেন?")</f>
        <v>কোন বিখ্যাত ব্যক্তিত্ব গোল্লা চুট সংরক্ষণের পক্ষে ছিলেন?</v>
      </c>
      <c r="L55" s="10" t="str">
        <f>IFERROR(__xludf.DUMMYFUNCTION("GOOGLETRANSLATE(C55, ""en"", ""bn"")"),"A) শেখ মুজিবুর রহমান, B) বেগম খালেদা জিয়া, C) ফজলে হাসান আবেদ, D) কোন বিখ্যাত ব্যক্তিত্ব নেই")</f>
        <v>A) শেখ মুজিবুর রহমান, B) বেগম খালেদা জিয়া, C) ফজলে হাসান আবেদ, D) কোন বিখ্যাত ব্যক্তিত্ব নেই</v>
      </c>
      <c r="M55" s="10" t="str">
        <f>IFERROR(__xludf.DUMMYFUNCTION("GOOGLETRANSLATE(D55, ""en"", ""bn"")"),"ক) শেখ মুজিবুর রহমান")</f>
        <v>ক) শেখ মুজিবুর রহমান</v>
      </c>
      <c r="N55" s="10" t="str">
        <f>IFERROR(__xludf.DUMMYFUNCTION("GOOGLETRANSLATE(E55, ""en"", ""bn"")"),"শেখ মুজিবুর রহমান গোল্লা চুটের মতো ঐতিহ্যবাহী খেলা সংরক্ষণকে সমর্থন করেছেন।")</f>
        <v>শেখ মুজিবুর রহমান গোল্লা চুটের মতো ঐতিহ্যবাহী খেলা সংরক্ষণকে সমর্থন করেছেন।</v>
      </c>
    </row>
    <row r="56">
      <c r="A56" s="4">
        <v>55.0</v>
      </c>
      <c r="B56" s="4" t="s">
        <v>1194</v>
      </c>
      <c r="C56" s="4" t="s">
        <v>1195</v>
      </c>
      <c r="D56" s="4" t="s">
        <v>1196</v>
      </c>
      <c r="E56" s="4" t="s">
        <v>1197</v>
      </c>
      <c r="J56" s="10" t="str">
        <f>IFERROR(__xludf.DUMMYFUNCTION("GOOGLETRANSLATE(A56, ""en"", ""bn"")"),"৫৫")</f>
        <v>৫৫</v>
      </c>
      <c r="K56" s="10" t="str">
        <f>IFERROR(__xludf.DUMMYFUNCTION("GOOGLETRANSLATE(B56, ""en"", ""bn"")"),"গোল্লা চুট গেমপ্লের একটি অপরিহার্য দিক নিচের কোনটি?")</f>
        <v>গোল্লা চুট গেমপ্লের একটি অপরিহার্য দিক নিচের কোনটি?</v>
      </c>
      <c r="L56" s="10" t="str">
        <f>IFERROR(__xludf.DUMMYFUNCTION("GOOGLETRANSLATE(C56, ""en"", ""bn"")"),"ক) জাল ব্যবহার করা, খ) লক্ষ্য ছুঁড়ে মারা, গ) বল লাথি মারা, ঘ) ড্রিবলিং")</f>
        <v>ক) জাল ব্যবহার করা, খ) লক্ষ্য ছুঁড়ে মারা, গ) বল লাথি মারা, ঘ) ড্রিবলিং</v>
      </c>
      <c r="M56" s="10" t="str">
        <f>IFERROR(__xludf.DUMMYFUNCTION("GOOGLETRANSLATE(D56, ""en"", ""bn"")"),"খ) লক্ষ্যবস্তু নিক্ষেপ করা")</f>
        <v>খ) লক্ষ্যবস্তু নিক্ষেপ করা</v>
      </c>
      <c r="N56" s="10" t="str">
        <f>IFERROR(__xludf.DUMMYFUNCTION("GOOGLETRANSLATE(E56, ""en"", ""bn"")"),"গোল্লা চুটে, খেলোয়াড়রা লক্ষ্য ছুঁড়ে ফেলে লক্ষ্যবস্তুকে ভেঙে ফেলার লক্ষ্য রাখে।")</f>
        <v>গোল্লা চুটে, খেলোয়াড়রা লক্ষ্য ছুঁড়ে ফেলে লক্ষ্যবস্তুকে ভেঙে ফেলার লক্ষ্য রাখে।</v>
      </c>
    </row>
    <row r="57">
      <c r="A57" s="4">
        <v>56.0</v>
      </c>
      <c r="B57" s="4" t="s">
        <v>1198</v>
      </c>
      <c r="C57" s="4" t="s">
        <v>1199</v>
      </c>
      <c r="D57" s="4" t="s">
        <v>1200</v>
      </c>
      <c r="E57" s="4" t="s">
        <v>1201</v>
      </c>
      <c r="J57" s="10" t="str">
        <f>IFERROR(__xludf.DUMMYFUNCTION("GOOGLETRANSLATE(A57, ""en"", ""bn"")"),"৫৬")</f>
        <v>৫৬</v>
      </c>
      <c r="K57" s="10" t="str">
        <f>IFERROR(__xludf.DUMMYFUNCTION("GOOGLETRANSLATE(B57, ""en"", ""bn"")"),"গোল্লা চুটে লক্ষ্যবস্তুর জন্য ব্যবহৃত প্রাথমিক উপাদান কী?")</f>
        <v>গোল্লা চুটে লক্ষ্যবস্তুর জন্য ব্যবহৃত প্রাথমিক উপাদান কী?</v>
      </c>
      <c r="L57" s="10" t="str">
        <f>IFERROR(__xludf.DUMMYFUNCTION("GOOGLETRANSLATE(C57, ""en"", ""bn"")"),"ক) কাদামাটি, খ) কাঠ, গ) ধাতু, ঘ) বাঁশ")</f>
        <v>ক) কাদামাটি, খ) কাঠ, গ) ধাতু, ঘ) বাঁশ</v>
      </c>
      <c r="M57" s="10" t="str">
        <f>IFERROR(__xludf.DUMMYFUNCTION("GOOGLETRANSLATE(D57, ""en"", ""bn"")"),"খ) কাঠ")</f>
        <v>খ) কাঠ</v>
      </c>
      <c r="N57" s="10" t="str">
        <f>IFERROR(__xludf.DUMMYFUNCTION("GOOGLETRANSLATE(E57, ""en"", ""bn"")"),"লক্ষ্যবস্তু, বা 'গোল্লা', ঐতিহ্যগতভাবে কাঠ দিয়ে তৈরি।")</f>
        <v>লক্ষ্যবস্তু, বা 'গোল্লা', ঐতিহ্যগতভাবে কাঠ দিয়ে তৈরি।</v>
      </c>
    </row>
    <row r="58">
      <c r="A58" s="4">
        <v>57.0</v>
      </c>
      <c r="B58" s="4" t="s">
        <v>1202</v>
      </c>
      <c r="C58" s="4" t="s">
        <v>1203</v>
      </c>
      <c r="D58" s="4" t="s">
        <v>1204</v>
      </c>
      <c r="E58" s="4" t="s">
        <v>1205</v>
      </c>
      <c r="J58" s="10" t="str">
        <f>IFERROR(__xludf.DUMMYFUNCTION("GOOGLETRANSLATE(A58, ""en"", ""bn"")"),"৫৭")</f>
        <v>৫৭</v>
      </c>
      <c r="K58" s="10" t="str">
        <f>IFERROR(__xludf.DUMMYFUNCTION("GOOGLETRANSLATE(B58, ""en"", ""bn"")"),"নিচের কোনটি গোল্লা চুটের ঐতিহাসিক বৈশিষ্ট্য নয়?")</f>
        <v>নিচের কোনটি গোল্লা চুটের ঐতিহাসিক বৈশিষ্ট্য নয়?</v>
      </c>
      <c r="L58" s="10" t="str">
        <f>IFERROR(__xludf.DUMMYFUNCTION("GOOGLETRANSLATE(C58, ""en"", ""bn"")"),"ক) গ্রামীণ প্রতিযোগিতা, খ) রাজকীয় পৃষ্ঠপোষকতা, গ) মৌসুমী প্রতিযোগিতা, ঘ) ধর্মীয় তাৎপর্য")</f>
        <v>ক) গ্রামীণ প্রতিযোগিতা, খ) রাজকীয় পৃষ্ঠপোষকতা, গ) মৌসুমী প্রতিযোগিতা, ঘ) ধর্মীয় তাৎপর্য</v>
      </c>
      <c r="M58" s="10" t="str">
        <f>IFERROR(__xludf.DUMMYFUNCTION("GOOGLETRANSLATE(D58, ""en"", ""bn"")"),"খ) রাজকীয় পৃষ্ঠপোষকতা")</f>
        <v>খ) রাজকীয় পৃষ্ঠপোষকতা</v>
      </c>
      <c r="N58" s="10" t="str">
        <f>IFERROR(__xludf.DUMMYFUNCTION("GOOGLETRANSLATE(E58, ""en"", ""bn"")"),"কিছু ঐতিহ্যবাহী খেলার মতো, গোল্লা চুট ঐতিহাসিকভাবে রাজপরিবারের দ্বারা স্পনসর করা হয়নি।")</f>
        <v>কিছু ঐতিহ্যবাহী খেলার মতো, গোল্লা চুট ঐতিহাসিকভাবে রাজপরিবারের দ্বারা স্পনসর করা হয়নি।</v>
      </c>
    </row>
    <row r="59">
      <c r="A59" s="4">
        <v>58.0</v>
      </c>
      <c r="B59" s="4" t="s">
        <v>1206</v>
      </c>
      <c r="C59" s="4" t="s">
        <v>1207</v>
      </c>
      <c r="D59" s="4" t="s">
        <v>1208</v>
      </c>
      <c r="E59" s="4" t="s">
        <v>1209</v>
      </c>
      <c r="J59" s="10" t="str">
        <f>IFERROR(__xludf.DUMMYFUNCTION("GOOGLETRANSLATE(A59, ""en"", ""bn"")"),"৫৮")</f>
        <v>৫৮</v>
      </c>
      <c r="K59" s="10" t="str">
        <f>IFERROR(__xludf.DUMMYFUNCTION("GOOGLETRANSLATE(B59, ""en"", ""bn"")"),"গোল্লা চুটের কোন দিকটি বাংলাদেশের সামাজিক জীবনের সাথে সবচেয়ে বেশি জড়িত?")</f>
        <v>গোল্লা চুটের কোন দিকটি বাংলাদেশের সামাজিক জীবনের সাথে সবচেয়ে বেশি জড়িত?</v>
      </c>
      <c r="L59" s="10" t="str">
        <f>IFERROR(__xludf.DUMMYFUNCTION("GOOGLETRANSLATE(C59, ""en"", ""bn"")"),"ক) স্বাধীনতা উদযাপন, খ) ধর্মীয় অনুষ্ঠান, গ) গ্রামীণ উৎসব, ঘ) জাতীয় ছুটির দিন")</f>
        <v>ক) স্বাধীনতা উদযাপন, খ) ধর্মীয় অনুষ্ঠান, গ) গ্রামীণ উৎসব, ঘ) জাতীয় ছুটির দিন</v>
      </c>
      <c r="M59" s="10" t="str">
        <f>IFERROR(__xludf.DUMMYFUNCTION("GOOGLETRANSLATE(D59, ""en"", ""bn"")"),"গ) গ্রামীণ উৎসব")</f>
        <v>গ) গ্রামীণ উৎসব</v>
      </c>
      <c r="N59" s="10" t="str">
        <f>IFERROR(__xludf.DUMMYFUNCTION("GOOGLETRANSLATE(E59, ""en"", ""bn"")"),"গোল্লা চুট প্রায়শই গ্রামীণ উৎসবে প্রদর্শিত হয়, যা সাম্প্রদায়িক চেতনাকে জাগিয়ে তোলে।")</f>
        <v>গোল্লা চুট প্রায়শই গ্রামীণ উৎসবে প্রদর্শিত হয়, যা সাম্প্রদায়িক চেতনাকে জাগিয়ে তোলে।</v>
      </c>
    </row>
    <row r="60">
      <c r="A60" s="4">
        <v>59.0</v>
      </c>
      <c r="B60" s="4" t="s">
        <v>1210</v>
      </c>
      <c r="C60" s="4" t="s">
        <v>1211</v>
      </c>
      <c r="D60" s="4" t="s">
        <v>1143</v>
      </c>
      <c r="E60" s="4" t="s">
        <v>1212</v>
      </c>
      <c r="J60" s="10" t="str">
        <f>IFERROR(__xludf.DUMMYFUNCTION("GOOGLETRANSLATE(A60, ""en"", ""bn"")"),"৫৯")</f>
        <v>৫৯</v>
      </c>
      <c r="K60" s="10" t="str">
        <f>IFERROR(__xludf.DUMMYFUNCTION("GOOGLETRANSLATE(B60, ""en"", ""bn"")"),"গ্রামীণ সম্প্রদায়ের বাইরে গোল্লা চুট কখন থেকে মনোযোগ আকর্ষণ করতে শুরু করে?")</f>
        <v>গ্রামীণ সম্প্রদায়ের বাইরে গোল্লা চুট কখন থেকে মনোযোগ আকর্ষণ করতে শুরু করে?</v>
      </c>
      <c r="L60" s="10" t="str">
        <f>IFERROR(__xludf.DUMMYFUNCTION("GOOGLETRANSLATE(C60, ""en"", ""bn"")"),"ক) ১৯৬০ এর দশক, খ) ১৯৮০ এর দশক, গ) ১৯৯০ এর দশক, ঘ) ২০০০ এর দশক")</f>
        <v>ক) ১৯৬০ এর দশক, খ) ১৯৮০ এর দশক, গ) ১৯৯০ এর দশক, ঘ) ২০০০ এর দশক</v>
      </c>
      <c r="M60" s="10" t="str">
        <f>IFERROR(__xludf.DUMMYFUNCTION("GOOGLETRANSLATE(D60, ""en"", ""bn"")"),"ঘ) ২০০০ এর দশক")</f>
        <v>ঘ) ২০০০ এর দশক</v>
      </c>
      <c r="N60" s="10" t="str">
        <f>IFERROR(__xludf.DUMMYFUNCTION("GOOGLETRANSLATE(E60, ""en"", ""bn"")"),"২০০০-এর দশকে গ্রামীণ সম্প্রদায়ের বাইরেও গোল্লা চুট আরও বেশি মনোযোগ আকর্ষণ করতে শুরু করে।")</f>
        <v>২০০০-এর দশকে গ্রামীণ সম্প্রদায়ের বাইরেও গোল্লা চুট আরও বেশি মনোযোগ আকর্ষণ করতে শুরু করে।</v>
      </c>
    </row>
    <row r="61">
      <c r="A61" s="4">
        <v>60.0</v>
      </c>
      <c r="B61" s="4" t="s">
        <v>1213</v>
      </c>
      <c r="C61" s="4" t="s">
        <v>1214</v>
      </c>
      <c r="D61" s="4" t="s">
        <v>1215</v>
      </c>
      <c r="E61" s="4" t="s">
        <v>1216</v>
      </c>
      <c r="J61" s="10" t="str">
        <f>IFERROR(__xludf.DUMMYFUNCTION("GOOGLETRANSLATE(A61, ""en"", ""bn"")"),"৬০")</f>
        <v>৬০</v>
      </c>
      <c r="K61" s="10" t="str">
        <f>IFERROR(__xludf.DUMMYFUNCTION("GOOGLETRANSLATE(B61, ""en"", ""bn"")"),"বাংলাদেশের কোন অংশটি গোল্লা চুট খেলার জন্য বিশেষভাবে পরিচিত?")</f>
        <v>বাংলাদেশের কোন অংশটি গোল্লা চুট খেলার জন্য বিশেষভাবে পরিচিত?</v>
      </c>
      <c r="L61" s="10" t="str">
        <f>IFERROR(__xludf.DUMMYFUNCTION("GOOGLETRANSLATE(C61, ""en"", ""bn"")"),"A) ঢাকা, B) সিলেট, C) চট্টগ্রাম, D) বরিশাল")</f>
        <v>A) ঢাকা, B) সিলেট, C) চট্টগ্রাম, D) বরিশাল</v>
      </c>
      <c r="M61" s="10" t="str">
        <f>IFERROR(__xludf.DUMMYFUNCTION("GOOGLETRANSLATE(D61, ""en"", ""bn"")"),"গ) চট্টগ্রাম")</f>
        <v>গ) চট্টগ্রাম</v>
      </c>
      <c r="N61" s="10" t="str">
        <f>IFERROR(__xludf.DUMMYFUNCTION("GOOGLETRANSLATE(E61, ""en"", ""bn"")"),"চট্টগ্রাম এমন একটি অঞ্চল হিসেবে পরিচিত যেখানে গোল্লা চুট ব্যাপকভাবে খেলা হয়।")</f>
        <v>চট্টগ্রাম এমন একটি অঞ্চল হিসেবে পরিচিত যেখানে গোল্লা চুট ব্যাপকভাবে খেলা হয়।</v>
      </c>
    </row>
    <row r="62">
      <c r="A62" s="7">
        <v>61.0</v>
      </c>
      <c r="B62" s="7" t="s">
        <v>1217</v>
      </c>
      <c r="C62" s="7" t="s">
        <v>1218</v>
      </c>
      <c r="D62" s="7" t="s">
        <v>1219</v>
      </c>
      <c r="E62" s="7" t="s">
        <v>1220</v>
      </c>
      <c r="J62" s="10" t="str">
        <f>IFERROR(__xludf.DUMMYFUNCTION("GOOGLETRANSLATE(A62, ""en"", ""bn"")"),"৬১")</f>
        <v>৬১</v>
      </c>
      <c r="K62" s="10" t="str">
        <f>IFERROR(__xludf.DUMMYFUNCTION("GOOGLETRANSLATE(B62, ""en"", ""bn"")"),"ঐতিহাসিকভাবে, বিনোদনের পাশাপাশি গোল্লা চুটের প্রাথমিক উদ্দেশ্য কী ছিল?")</f>
        <v>ঐতিহাসিকভাবে, বিনোদনের পাশাপাশি গোল্লা চুটের প্রাথমিক উদ্দেশ্য কী ছিল?</v>
      </c>
      <c r="L62" s="10" t="str">
        <f>IFERROR(__xludf.DUMMYFUNCTION("GOOGLETRANSLATE(C62, ""en"", ""bn"")"),"ক) সামরিক মহড়া, খ) সামাজিক সংহতি, গ) কৃষিকাজের রীতিনীতি, ঘ) রাজনৈতিক সমাবেশ")</f>
        <v>ক) সামরিক মহড়া, খ) সামাজিক সংহতি, গ) কৃষিকাজের রীতিনীতি, ঘ) রাজনৈতিক সমাবেশ</v>
      </c>
      <c r="M62" s="10" t="str">
        <f>IFERROR(__xludf.DUMMYFUNCTION("GOOGLETRANSLATE(D62, ""en"", ""bn"")"),"খ) সামাজিক সংহতি")</f>
        <v>খ) সামাজিক সংহতি</v>
      </c>
      <c r="N62" s="10" t="str">
        <f>IFERROR(__xludf.DUMMYFUNCTION("GOOGLETRANSLATE(E62, ""en"", ""bn"")"),"গোল্লা চুট ঐতিহাসিকভাবে গ্রামীণ এলাকায় সাম্প্রদায়িক বন্ধন এবং সামাজিক সংহতি জোরদার করার জন্য কাজ করেছে।")</f>
        <v>গোল্লা চুট ঐতিহাসিকভাবে গ্রামীণ এলাকায় সাম্প্রদায়িক বন্ধন এবং সামাজিক সংহতি জোরদার করার জন্য কাজ করেছে।</v>
      </c>
    </row>
    <row r="63">
      <c r="A63" s="7">
        <v>62.0</v>
      </c>
      <c r="B63" s="7" t="s">
        <v>1221</v>
      </c>
      <c r="C63" s="7" t="s">
        <v>1222</v>
      </c>
      <c r="D63" s="7" t="s">
        <v>1223</v>
      </c>
      <c r="E63" s="7" t="s">
        <v>1224</v>
      </c>
      <c r="J63" s="10" t="str">
        <f>IFERROR(__xludf.DUMMYFUNCTION("GOOGLETRANSLATE(A63, ""en"", ""bn"")"),"৬২")</f>
        <v>৬২</v>
      </c>
      <c r="K63" s="10" t="str">
        <f>IFERROR(__xludf.DUMMYFUNCTION("GOOGLETRANSLATE(B63, ""en"", ""bn"")"),"গোল্লা চুট খেলার উৎপত্তি কোন শতাব্দীতে বলে মনে করা হয়?")</f>
        <v>গোল্লা চুট খেলার উৎপত্তি কোন শতাব্দীতে বলে মনে করা হয়?</v>
      </c>
      <c r="L63" s="10" t="str">
        <f>IFERROR(__xludf.DUMMYFUNCTION("GOOGLETRANSLATE(C63, ""en"", ""bn"")"),"ক) ১৮শ শতাব্দী, খ) ১৯শ শতাব্দী, গ) ২০শ শতাব্দী, ঘ) ২১শ শতাব্দী")</f>
        <v>ক) ১৮শ শতাব্দী, খ) ১৯শ শতাব্দী, গ) ২০শ শতাব্দী, ঘ) ২১শ শতাব্দী</v>
      </c>
      <c r="M63" s="10" t="str">
        <f>IFERROR(__xludf.DUMMYFUNCTION("GOOGLETRANSLATE(D63, ""en"", ""bn"")"),"ক) ১৮ শতক")</f>
        <v>ক) ১৮ শতক</v>
      </c>
      <c r="N63" s="10" t="str">
        <f>IFERROR(__xludf.DUMMYFUNCTION("GOOGLETRANSLATE(E63, ""en"", ""bn"")"),"এই খেলার একটি দীর্ঘ ইতিহাস রয়েছে বলে মনে করা হয়, যার শিকড় সম্ভবত ১৮ শতক বা তারও আগে বাংলা অঞ্চলে ছড়িয়ে পড়ে।")</f>
        <v>এই খেলার একটি দীর্ঘ ইতিহাস রয়েছে বলে মনে করা হয়, যার শিকড় সম্ভবত ১৮ শতক বা তারও আগে বাংলা অঞ্চলে ছড়িয়ে পড়ে।</v>
      </c>
    </row>
    <row r="64">
      <c r="A64" s="7">
        <v>63.0</v>
      </c>
      <c r="B64" s="7" t="s">
        <v>1225</v>
      </c>
      <c r="C64" s="7" t="s">
        <v>1226</v>
      </c>
      <c r="D64" s="7" t="s">
        <v>1227</v>
      </c>
      <c r="E64" s="12" t="s">
        <v>1228</v>
      </c>
      <c r="J64" s="10" t="str">
        <f>IFERROR(__xludf.DUMMYFUNCTION("GOOGLETRANSLATE(A64, ""en"", ""bn"")"),"৬৩")</f>
        <v>৬৩</v>
      </c>
      <c r="K64" s="10" t="str">
        <f>IFERROR(__xludf.DUMMYFUNCTION("GOOGLETRANSLATE(B64, ""en"", ""bn"")"),"'গোল্লা চুট' শব্দটি খেলার কোন দুটি মূল ক্রিয়াকে একত্রিত করে?")</f>
        <v>'গোল্লা চুট' শব্দটি খেলার কোন দুটি মূল ক্রিয়াকে একত্রিত করে?</v>
      </c>
      <c r="L64" s="10" t="str">
        <f>IFERROR(__xludf.DUMMYFUNCTION("GOOGLETRANSLATE(C64, ""en"", ""bn"")"),"ক) আক্রমণ এবং প্রতিরক্ষা, খ) দৌড়ানো এবং ছুঁড়ে মারা, গ) দৌড়ানো এবং চক্কর দেওয়া, ঘ) লাথি মারা এবং আঘাত করা")</f>
        <v>ক) আক্রমণ এবং প্রতিরক্ষা, খ) দৌড়ানো এবং ছুঁড়ে মারা, গ) দৌড়ানো এবং চক্কর দেওয়া, ঘ) লাথি মারা এবং আঘাত করা</v>
      </c>
      <c r="M64" s="10" t="str">
        <f>IFERROR(__xludf.DUMMYFUNCTION("GOOGLETRANSLATE(D64, ""en"", ""bn"")"),"গ) দৌড়ানো এবং চক্কর দেওয়া")</f>
        <v>গ) দৌড়ানো এবং চক্কর দেওয়া</v>
      </c>
      <c r="N64" s="10" t="str">
        <f>IFERROR(__xludf.DUMMYFUNCTION("GOOGLETRANSLATE(E64, ""en"", ""bn"")"),"'গোল্লা' শব্দের অর্থ বৃত্ত এবং 'ছুট' শব্দের অর্থ দৌড়, যা খেলার কেন্দ্রীয় ক্রিয়াগুলিকে নির্দেশ করে, যেমন একটি খুঁটি ঘিরে দৌড়ানো।")</f>
        <v>'গোল্লা' শব্দের অর্থ বৃত্ত এবং 'ছুট' শব্দের অর্থ দৌড়, যা খেলার কেন্দ্রীয় ক্রিয়াগুলিকে নির্দেশ করে, যেমন একটি খুঁটি ঘিরে দৌড়ানো।</v>
      </c>
    </row>
    <row r="65">
      <c r="A65" s="7">
        <v>64.0</v>
      </c>
      <c r="B65" s="7" t="s">
        <v>1229</v>
      </c>
      <c r="C65" s="7" t="s">
        <v>1230</v>
      </c>
      <c r="D65" s="7" t="s">
        <v>1231</v>
      </c>
      <c r="E65" s="7" t="s">
        <v>1232</v>
      </c>
      <c r="J65" s="10" t="str">
        <f>IFERROR(__xludf.DUMMYFUNCTION("GOOGLETRANSLATE(A65, ""en"", ""bn"")"),"৬৪")</f>
        <v>৬৪</v>
      </c>
      <c r="K65" s="10" t="str">
        <f>IFERROR(__xludf.DUMMYFUNCTION("GOOGLETRANSLATE(B65, ""en"", ""bn"")"),"ভারতীয় উপমহাদেশের নিম্নলিখিত কোন ঐতিহ্যবাহী খেলাটি গোল্লা চুটের সাথে সবচেয়ে বেশি সাদৃশ্যপূর্ণ?")</f>
        <v>ভারতীয় উপমহাদেশের নিম্নলিখিত কোন ঐতিহ্যবাহী খেলাটি গোল্লা চুটের সাথে সবচেয়ে বেশি সাদৃশ্যপূর্ণ?</v>
      </c>
      <c r="L65" s="10" t="str">
        <f>IFERROR(__xludf.DUMMYFUNCTION("GOOGLETRANSLATE(C65, ""en"", ""bn"")"),"A) কাবাডি, B) খো খো, C) গিলি ডান্ডা, D) হাডুডু")</f>
        <v>A) কাবাডি, B) খো খো, C) গিলি ডান্ডা, D) হাডুডু</v>
      </c>
      <c r="M65" s="10" t="str">
        <f>IFERROR(__xludf.DUMMYFUNCTION("GOOGLETRANSLATE(D65, ""en"", ""bn"")"),"খ) খো খো")</f>
        <v>খ) খো খো</v>
      </c>
      <c r="N65" s="10" t="str">
        <f>IFERROR(__xludf.DUMMYFUNCTION("GOOGLETRANSLATE(E65, ""en"", ""bn"")"),"ভারতের খো খো-এর ট্যাগ-এন্ড-চেজ গতিশীলতা একই রকম, যা এটিকে গোল্লা চুটের ঘনিষ্ঠ আত্মীয় করে তোলে।")</f>
        <v>ভারতের খো খো-এর ট্যাগ-এন্ড-চেজ গতিশীলতা একই রকম, যা এটিকে গোল্লা চুটের ঘনিষ্ঠ আত্মীয় করে তোলে।</v>
      </c>
    </row>
    <row r="66">
      <c r="A66" s="7">
        <v>65.0</v>
      </c>
      <c r="B66" s="7" t="s">
        <v>1233</v>
      </c>
      <c r="C66" s="7" t="s">
        <v>1234</v>
      </c>
      <c r="D66" s="7" t="s">
        <v>1235</v>
      </c>
      <c r="E66" s="7" t="s">
        <v>1236</v>
      </c>
      <c r="J66" s="10" t="str">
        <f>IFERROR(__xludf.DUMMYFUNCTION("GOOGLETRANSLATE(A66, ""en"", ""bn"")"),"৬৫")</f>
        <v>৬৫</v>
      </c>
      <c r="K66" s="10" t="str">
        <f>IFERROR(__xludf.DUMMYFUNCTION("GOOGLETRANSLATE(B66, ""en"", ""bn"")"),"ঐতিহাসিক গোল্লাছুট খেলায় গ্রামের প্রবীণদের ভূমিকা কী ছিল?")</f>
        <v>ঐতিহাসিক গোল্লাছুট খেলায় গ্রামের প্রবীণদের ভূমিকা কী ছিল?</v>
      </c>
      <c r="L66" s="10" t="str">
        <f>IFERROR(__xludf.DUMMYFUNCTION("GOOGLETRANSLATE(C66, ""en"", ""bn"")"),"ক) খেলোয়াড়, খ) আয়োজক এবং রেফারি, গ) দর্শক, ঘ) কোচ")</f>
        <v>ক) খেলোয়াড়, খ) আয়োজক এবং রেফারি, গ) দর্শক, ঘ) কোচ</v>
      </c>
      <c r="M66" s="10" t="str">
        <f>IFERROR(__xludf.DUMMYFUNCTION("GOOGLETRANSLATE(D66, ""en"", ""bn"")"),"খ) আয়োজক এবং রেফারি")</f>
        <v>খ) আয়োজক এবং রেফারি</v>
      </c>
      <c r="N66" s="10" t="str">
        <f>IFERROR(__xludf.DUMMYFUNCTION("GOOGLETRANSLATE(E66, ""en"", ""bn"")"),"গ্রামের প্রবীণরা প্রায়শই সংগঠক এবং রেফারি হিসেবে কাজ করতেন, সুষ্ঠু খেলা এবং ঐতিহ্যবাহী নিয়ম মেনে চলা নিশ্চিত করতেন।")</f>
        <v>গ্রামের প্রবীণরা প্রায়শই সংগঠক এবং রেফারি হিসেবে কাজ করতেন, সুষ্ঠু খেলা এবং ঐতিহ্যবাহী নিয়ম মেনে চলা নিশ্চিত করতেন।</v>
      </c>
    </row>
    <row r="67">
      <c r="A67" s="7">
        <v>66.0</v>
      </c>
      <c r="B67" s="7" t="s">
        <v>1237</v>
      </c>
      <c r="C67" s="7" t="s">
        <v>1238</v>
      </c>
      <c r="D67" s="7" t="s">
        <v>1239</v>
      </c>
      <c r="E67" s="7" t="s">
        <v>1240</v>
      </c>
      <c r="J67" s="10" t="str">
        <f>IFERROR(__xludf.DUMMYFUNCTION("GOOGLETRANSLATE(A67, ""en"", ""bn"")"),"৬৬")</f>
        <v>৬৬</v>
      </c>
      <c r="K67" s="10" t="str">
        <f>IFERROR(__xludf.DUMMYFUNCTION("GOOGLETRANSLATE(B67, ""en"", ""bn"")"),"বাংলাদেশের গ্রামাঞ্চলে কোন প্রাকৃতিক নিদর্শনের কাছে সাধারণত গোল্লা চুটের ঐতিহ্যবাহী খেলার মাঠ অবস্থিত?")</f>
        <v>বাংলাদেশের গ্রামাঞ্চলে কোন প্রাকৃতিক নিদর্শনের কাছে সাধারণত গোল্লা চুটের ঐতিহ্যবাহী খেলার মাঠ অবস্থিত?</v>
      </c>
      <c r="L67" s="10" t="str">
        <f>IFERROR(__xludf.DUMMYFUNCTION("GOOGLETRANSLATE(C67, ""en"", ""bn"")"),"ক) নদীর তীর, খ) পুকুর, গ) বন, ঘ) খোলা মাঠ")</f>
        <v>ক) নদীর তীর, খ) পুকুর, গ) বন, ঘ) খোলা মাঠ</v>
      </c>
      <c r="M67" s="10" t="str">
        <f>IFERROR(__xludf.DUMMYFUNCTION("GOOGLETRANSLATE(D67, ""en"", ""bn"")"),"ঘ) খোলা মাঠ")</f>
        <v>ঘ) খোলা মাঠ</v>
      </c>
      <c r="N67" s="10" t="str">
        <f>IFERROR(__xludf.DUMMYFUNCTION("GOOGLETRANSLATE(E67, ""en"", ""bn"")"),"ঐতিহ্যগতভাবে এই খেলাটি প্রশস্ত, খোলা মাঠে খেলা হয়, প্রায়শই ফসল কাটার পরে, যেখানে প্রচুর জায়গা থাকে।")</f>
        <v>ঐতিহ্যগতভাবে এই খেলাটি প্রশস্ত, খোলা মাঠে খেলা হয়, প্রায়শই ফসল কাটার পরে, যেখানে প্রচুর জায়গা থাকে।</v>
      </c>
    </row>
    <row r="68">
      <c r="A68" s="7">
        <v>67.0</v>
      </c>
      <c r="B68" s="7" t="s">
        <v>1241</v>
      </c>
      <c r="C68" s="7" t="s">
        <v>1242</v>
      </c>
      <c r="D68" s="7" t="s">
        <v>1243</v>
      </c>
      <c r="E68" s="7" t="s">
        <v>1244</v>
      </c>
      <c r="J68" s="10" t="str">
        <f>IFERROR(__xludf.DUMMYFUNCTION("GOOGLETRANSLATE(A68, ""en"", ""bn"")"),"৬৭")</f>
        <v>৬৭</v>
      </c>
      <c r="K68" s="10" t="str">
        <f>IFERROR(__xludf.DUMMYFUNCTION("GOOGLETRANSLATE(B68, ""en"", ""bn"")"),"কোন ঐতিহাসিক পরিবর্তনের ফলে শহরাঞ্চলে গোল্লা চুটের জনপ্রিয়তা হ্রাস পেয়েছে?")</f>
        <v>কোন ঐতিহাসিক পরিবর্তনের ফলে শহরাঞ্চলে গোল্লা চুটের জনপ্রিয়তা হ্রাস পেয়েছে?</v>
      </c>
      <c r="L68" s="10" t="str">
        <f>IFERROR(__xludf.DUMMYFUNCTION("GOOGLETRANSLATE(C68, ""en"", ""bn"")"),"ক) আধুনিক খেলাধুলার প্রবর্তন, খ) সরকারি নিষেধাজ্ঞা, গ) জলবায়ু পরিবর্তন, ঘ) সরঞ্জামের অভাব")</f>
        <v>ক) আধুনিক খেলাধুলার প্রবর্তন, খ) সরকারি নিষেধাজ্ঞা, গ) জলবায়ু পরিবর্তন, ঘ) সরঞ্জামের অভাব</v>
      </c>
      <c r="M68" s="10" t="str">
        <f>IFERROR(__xludf.DUMMYFUNCTION("GOOGLETRANSLATE(D68, ""en"", ""bn"")"),"ক) আধুনিক খেলাধুলার প্রবর্তন")</f>
        <v>ক) আধুনিক খেলাধুলার প্রবর্তন</v>
      </c>
      <c r="N68" s="10" t="str">
        <f>IFERROR(__xludf.DUMMYFUNCTION("GOOGLETRANSLATE(E68, ""en"", ""bn"")"),"ক্রিকেট এবং ফুটবলের মতো আধুনিক, সংগঠিত খেলাধুলার উত্থানের ফলে শহুরে পরিবেশে ঐতিহ্যবাহী খেলাগুলির জনপ্রিয়তা ধীরে ধীরে হ্রাস পেতে থাকে।")</f>
        <v>ক্রিকেট এবং ফুটবলের মতো আধুনিক, সংগঠিত খেলাধুলার উত্থানের ফলে শহুরে পরিবেশে ঐতিহ্যবাহী খেলাগুলির জনপ্রিয়তা ধীরে ধীরে হ্রাস পেতে থাকে।</v>
      </c>
    </row>
    <row r="69">
      <c r="A69" s="7">
        <v>68.0</v>
      </c>
      <c r="B69" s="7" t="s">
        <v>1245</v>
      </c>
      <c r="C69" s="7" t="s">
        <v>1246</v>
      </c>
      <c r="D69" s="7" t="s">
        <v>1247</v>
      </c>
      <c r="E69" s="7" t="s">
        <v>1248</v>
      </c>
      <c r="J69" s="10" t="str">
        <f>IFERROR(__xludf.DUMMYFUNCTION("GOOGLETRANSLATE(A69, ""en"", ""bn"")"),"৬৮")</f>
        <v>৬৮</v>
      </c>
      <c r="K69" s="10" t="str">
        <f>IFERROR(__xludf.DUMMYFUNCTION("GOOGLETRANSLATE(B69, ""en"", ""bn"")"),"বিংশ শতাব্দীর পূর্ববর্তী সময়ে, গোল্লা চুটের প্রাথমিক অংশগ্রহণকারী কারা ছিলেন?")</f>
        <v>বিংশ শতাব্দীর পূর্ববর্তী সময়ে, গোল্লা চুটের প্রাথমিক অংশগ্রহণকারী কারা ছিলেন?</v>
      </c>
      <c r="L69" s="10" t="str">
        <f>IFERROR(__xludf.DUMMYFUNCTION("GOOGLETRANSLATE(C69, ""en"", ""bn"")"),"ক) সকল প্রাপ্তবয়স্ক পুরুষ, খ) পুরুষ শিশু এবং কিশোর, গ) মহিলা শিশু, ঘ) সকল লিঙ্গ এবং বয়সের")</f>
        <v>ক) সকল প্রাপ্তবয়স্ক পুরুষ, খ) পুরুষ শিশু এবং কিশোর, গ) মহিলা শিশু, ঘ) সকল লিঙ্গ এবং বয়সের</v>
      </c>
      <c r="M69" s="10" t="str">
        <f>IFERROR(__xludf.DUMMYFUNCTION("GOOGLETRANSLATE(D69, ""en"", ""bn"")"),"খ) পুরুষ শিশু এবং কিশোর-কিশোরীরা")</f>
        <v>খ) পুরুষ শিশু এবং কিশোর-কিশোরীরা</v>
      </c>
      <c r="N69" s="10" t="str">
        <f>IFERROR(__xludf.DUMMYFUNCTION("GOOGLETRANSLATE(E69, ""en"", ""bn"")"),"ঐতিহাসিকভাবে, খেলাটি মূলত অল্পবয়সী ছেলেমেয়ে এবং কিশোর-কিশোরীরা বিনোদন এবং শারীরিক ক্রিয়াকলাপের একটি রূপ হিসেবে খেলেছে।")</f>
        <v>ঐতিহাসিকভাবে, খেলাটি মূলত অল্পবয়সী ছেলেমেয়ে এবং কিশোর-কিশোরীরা বিনোদন এবং শারীরিক ক্রিয়াকলাপের একটি রূপ হিসেবে খেলেছে।</v>
      </c>
    </row>
    <row r="70">
      <c r="A70" s="7">
        <v>69.0</v>
      </c>
      <c r="B70" s="7" t="s">
        <v>1249</v>
      </c>
      <c r="C70" s="7" t="s">
        <v>1250</v>
      </c>
      <c r="D70" s="7" t="s">
        <v>1251</v>
      </c>
      <c r="E70" s="7" t="s">
        <v>1252</v>
      </c>
      <c r="J70" s="10" t="str">
        <f>IFERROR(__xludf.DUMMYFUNCTION("GOOGLETRANSLATE(A70, ""en"", ""bn"")"),"৬৯")</f>
        <v>৬৯</v>
      </c>
      <c r="K70" s="10" t="str">
        <f>IFERROR(__xludf.DUMMYFUNCTION("GOOGLETRANSLATE(B70, ""en"", ""bn"")"),"বাংলাদেশের কোন ঐতিহাসিক ঘটনাটি ঐতিহ্যবাহী খেলাধুলার প্রতি আগ্রহ পুনরুত্থিত করেছিল?")</f>
        <v>বাংলাদেশের কোন ঐতিহাসিক ঘটনাটি ঐতিহ্যবাহী খেলাধুলার প্রতি আগ্রহ পুনরুত্থিত করেছিল?</v>
      </c>
      <c r="L70" s="10" t="str">
        <f>IFERROR(__xludf.DUMMYFUNCTION("GOOGLETRANSLATE(C70, ""en"", ""bn"")"),"ক) ১৯৭১ সালের স্বাধীনতা আন্দোলন, খ) ১৯৯৮ সালের বন্যা, গ) ২০০৪ সালের সুনামি, ঘ) প্রথম গণতান্ত্রিক নির্বাচন")</f>
        <v>ক) ১৯৭১ সালের স্বাধীনতা আন্দোলন, খ) ১৯৯৮ সালের বন্যা, গ) ২০০৪ সালের সুনামি, ঘ) প্রথম গণতান্ত্রিক নির্বাচন</v>
      </c>
      <c r="M70" s="10" t="str">
        <f>IFERROR(__xludf.DUMMYFUNCTION("GOOGLETRANSLATE(D70, ""en"", ""bn"")"),"ক) ১৯৭১ সালের স্বাধীনতা আন্দোলন")</f>
        <v>ক) ১৯৭১ সালের স্বাধীনতা আন্দোলন</v>
      </c>
      <c r="N70" s="10" t="str">
        <f>IFERROR(__xludf.DUMMYFUNCTION("GOOGLETRANSLATE(E70, ""en"", ""bn"")"),"১৯৭১ সালের মুক্তিযুদ্ধের পর, জাতীয় পরিচয় এবং সংস্কৃতির উপর নতুন করে জোর দেওয়া হয়েছিল, যার মধ্যে ছিল ঐতিহ্যবাহী খেলাধুলার প্রচার।")</f>
        <v>১৯৭১ সালের মুক্তিযুদ্ধের পর, জাতীয় পরিচয় এবং সংস্কৃতির উপর নতুন করে জোর দেওয়া হয়েছিল, যার মধ্যে ছিল ঐতিহ্যবাহী খেলাধুলার প্রচার।</v>
      </c>
    </row>
    <row r="71">
      <c r="A71" s="7">
        <v>70.0</v>
      </c>
      <c r="B71" s="7" t="s">
        <v>1253</v>
      </c>
      <c r="C71" s="7" t="s">
        <v>1254</v>
      </c>
      <c r="D71" s="7" t="s">
        <v>1255</v>
      </c>
      <c r="E71" s="7" t="s">
        <v>1256</v>
      </c>
      <c r="J71" s="10" t="str">
        <f>IFERROR(__xludf.DUMMYFUNCTION("GOOGLETRANSLATE(A71, ""en"", ""bn"")"),"৭০")</f>
        <v>৭০</v>
      </c>
      <c r="K71" s="10" t="str">
        <f>IFERROR(__xludf.DUMMYFUNCTION("GOOGLETRANSLATE(B71, ""en"", ""bn"")"),"কাঠের খুঁটি না থাকাকালীন 'গোল্লা' (লক্ষ্য) তৈরিতে ঐতিহাসিকভাবে কোন ধরণের উপাদান ব্যবহার করা হত?")</f>
        <v>কাঠের খুঁটি না থাকাকালীন 'গোল্লা' (লক্ষ্য) তৈরিতে ঐতিহাসিকভাবে কোন ধরণের উপাদান ব্যবহার করা হত?</v>
      </c>
      <c r="L71" s="10" t="str">
        <f>IFERROR(__xludf.DUMMYFUNCTION("GOOGLETRANSLATE(C71, ""en"", ""bn"")"),"ক) পাথর, খ) কাপড়ের বান্ডিল, গ) মাটির পাত্র, ঘ) একটি বড় ফল")</f>
        <v>ক) পাথর, খ) কাপড়ের বান্ডিল, গ) মাটির পাত্র, ঘ) একটি বড় ফল</v>
      </c>
      <c r="M71" s="10" t="str">
        <f>IFERROR(__xludf.DUMMYFUNCTION("GOOGLETRANSLATE(D71, ""en"", ""bn"")"),"খ) এক বান্ডিল কাপড়")</f>
        <v>খ) এক বান্ডিল কাপড়</v>
      </c>
      <c r="N71" s="10" t="str">
        <f>IFERROR(__xludf.DUMMYFUNCTION("GOOGLETRANSLATE(E71, ""en"", ""bn"")"),"কাঠের খুঁটির অভাবে, কাপড়ের বান্ডিল বা অনুরূপ কোনও অস্থায়ী জিনিস প্রায়শই লক্ষ্যবস্তু হিসাবে ব্যবহৃত হত।")</f>
        <v>কাঠের খুঁটির অভাবে, কাপড়ের বান্ডিল বা অনুরূপ কোনও অস্থায়ী জিনিস প্রায়শই লক্ষ্যবস্তু হিসাবে ব্যবহৃত হত।</v>
      </c>
    </row>
    <row r="72">
      <c r="A72" s="7">
        <v>71.0</v>
      </c>
      <c r="B72" s="7" t="s">
        <v>1257</v>
      </c>
      <c r="C72" s="7" t="s">
        <v>1258</v>
      </c>
      <c r="D72" s="7" t="s">
        <v>1259</v>
      </c>
      <c r="E72" s="7" t="s">
        <v>1260</v>
      </c>
      <c r="J72" s="10" t="str">
        <f>IFERROR(__xludf.DUMMYFUNCTION("GOOGLETRANSLATE(A72, ""en"", ""bn"")"),"৭১")</f>
        <v>৭১</v>
      </c>
      <c r="K72" s="10" t="str">
        <f>IFERROR(__xludf.DUMMYFUNCTION("GOOGLETRANSLATE(B72, ""en"", ""bn"")"),"গোল্লা চুট খেলা শুরু করার ঐতিহ্যবাহী সংকেত কী ছিল?")</f>
        <v>গোল্লা চুট খেলা শুরু করার ঐতিহ্যবাহী সংকেত কী ছিল?</v>
      </c>
      <c r="L72" s="10" t="str">
        <f>IFERROR(__xludf.DUMMYFUNCTION("GOOGLETRANSLATE(C72, ""en"", ""bn"")"),"ক) বাঁশি, খ) হাততালি, গ) চিৎকার, ঘ) মুদ্রা ছুঁড়ে মারা")</f>
        <v>ক) বাঁশি, খ) হাততালি, গ) চিৎকার, ঘ) মুদ্রা ছুঁড়ে মারা</v>
      </c>
      <c r="M72" s="10" t="str">
        <f>IFERROR(__xludf.DUMMYFUNCTION("GOOGLETRANSLATE(D72, ""en"", ""bn"")"),"খ) হাততালি")</f>
        <v>খ) হাততালি</v>
      </c>
      <c r="N72" s="10" t="str">
        <f>IFERROR(__xludf.DUMMYFUNCTION("GOOGLETRANSLATE(E72, ""en"", ""bn"")"),"ঐতিহাসিকভাবে, রেফারি বা খেলোয়াড়ের কাছ থেকে জোরে হাততালি বা মৌখিক আদেশ খেলার শুরুর ইঙ্গিত দিত।")</f>
        <v>ঐতিহাসিকভাবে, রেফারি বা খেলোয়াড়ের কাছ থেকে জোরে হাততালি বা মৌখিক আদেশ খেলার শুরুর ইঙ্গিত দিত।</v>
      </c>
    </row>
    <row r="73">
      <c r="A73" s="7">
        <v>72.0</v>
      </c>
      <c r="B73" s="7" t="s">
        <v>1261</v>
      </c>
      <c r="C73" s="7" t="s">
        <v>1262</v>
      </c>
      <c r="D73" s="7" t="s">
        <v>1263</v>
      </c>
      <c r="E73" s="7" t="s">
        <v>1264</v>
      </c>
      <c r="J73" s="10" t="str">
        <f>IFERROR(__xludf.DUMMYFUNCTION("GOOGLETRANSLATE(A73, ""en"", ""bn"")"),"৭২")</f>
        <v>৭২</v>
      </c>
      <c r="K73" s="10" t="str">
        <f>IFERROR(__xludf.DUMMYFUNCTION("GOOGLETRANSLATE(B73, ""en"", ""bn"")"),"ঋতু পরিবর্তন গোল্লা চুট বাজানোর উপর কীভাবে প্রভাব ফেলেছিল?")</f>
        <v>ঋতু পরিবর্তন গোল্লা চুট বাজানোর উপর কীভাবে প্রভাব ফেলেছিল?</v>
      </c>
      <c r="L73" s="10" t="str">
        <f>IFERROR(__xludf.DUMMYFUNCTION("GOOGLETRANSLATE(C73, ""en"", ""bn"")"),"ক) এটি কেবল বর্ষাকালে খেলা হত, খ) এটি ছিল একটি শীতকালীন খেলা, গ) এটি ছিল একটি সর্ব-মৌসুমের খেলা, ঘ) এটি ছিল একটি গ্রীষ্মকালীন খেলা")</f>
        <v>ক) এটি কেবল বর্ষাকালে খেলা হত, খ) এটি ছিল একটি শীতকালীন খেলা, গ) এটি ছিল একটি সর্ব-মৌসুমের খেলা, ঘ) এটি ছিল একটি গ্রীষ্মকালীন খেলা</v>
      </c>
      <c r="M73" s="10" t="str">
        <f>IFERROR(__xludf.DUMMYFUNCTION("GOOGLETRANSLATE(D73, ""en"", ""bn"")"),"খ) এটি ছিল একটি শীতকালীন খেলা।")</f>
        <v>খ) এটি ছিল একটি শীতকালীন খেলা।</v>
      </c>
      <c r="N73" s="10" t="str">
        <f>IFERROR(__xludf.DUMMYFUNCTION("GOOGLETRANSLATE(E73, ""en"", ""bn"")"),"ঐতিহ্যগতভাবে শীতকালে যখন মাঠ শুষ্ক থাকত এবং আবহাওয়া বাইরের কার্যকলাপের জন্য আরও অনুকূল থাকত, তখন এই খেলাটি খেলা হত।")</f>
        <v>ঐতিহ্যগতভাবে শীতকালে যখন মাঠ শুষ্ক থাকত এবং আবহাওয়া বাইরের কার্যকলাপের জন্য আরও অনুকূল থাকত, তখন এই খেলাটি খেলা হত।</v>
      </c>
    </row>
    <row r="74">
      <c r="A74" s="7">
        <v>73.0</v>
      </c>
      <c r="B74" s="7" t="s">
        <v>1265</v>
      </c>
      <c r="C74" s="7" t="s">
        <v>1266</v>
      </c>
      <c r="D74" s="7" t="s">
        <v>1267</v>
      </c>
      <c r="E74" s="7" t="s">
        <v>1268</v>
      </c>
      <c r="J74" s="10" t="str">
        <f>IFERROR(__xludf.DUMMYFUNCTION("GOOGLETRANSLATE(A74, ""en"", ""bn"")"),"৭৩")</f>
        <v>৭৩</v>
      </c>
      <c r="K74" s="10" t="str">
        <f>IFERROR(__xludf.DUMMYFUNCTION("GOOGLETRANSLATE(B74, ""en"", ""bn"")"),"গোল্লা চুটের কোন ঐতিহাসিক দিকটি এটিকে সকল সামাজিক শ্রেণীর জন্য সহজলভ্য করে তুলেছে?")</f>
        <v>গোল্লা চুটের কোন ঐতিহাসিক দিকটি এটিকে সকল সামাজিক শ্রেণীর জন্য সহজলভ্য করে তুলেছে?</v>
      </c>
      <c r="L74" s="10" t="str">
        <f>IFERROR(__xludf.DUMMYFUNCTION("GOOGLETRANSLATE(C74, ""en"", ""bn"")"),"ক) এর জন্য ন্যূনতম সরঞ্জামের প্রয়োজন ছিল, খ) এটি স্কুলে খেলা হত, গ) এটির সরকারী পৃষ্ঠপোষকতা ছিল, ঘ) এটি একটি টেলিভিশন খেলা ছিল")</f>
        <v>ক) এর জন্য ন্যূনতম সরঞ্জামের প্রয়োজন ছিল, খ) এটি স্কুলে খেলা হত, গ) এটির সরকারী পৃষ্ঠপোষকতা ছিল, ঘ) এটি একটি টেলিভিশন খেলা ছিল</v>
      </c>
      <c r="M74" s="10" t="str">
        <f>IFERROR(__xludf.DUMMYFUNCTION("GOOGLETRANSLATE(D74, ""en"", ""bn"")"),"ক) এর জন্য ন্যূনতম সরঞ্জামের প্রয়োজন ছিল")</f>
        <v>ক) এর জন্য ন্যূনতম সরঞ্জামের প্রয়োজন ছিল</v>
      </c>
      <c r="N74" s="10" t="str">
        <f>IFERROR(__xludf.DUMMYFUNCTION("GOOGLETRANSLATE(E74, ""en"", ""bn"")"),"গেমটির সরলতা, কোনও ব্যয়বহুল সরঞ্জামের প্রয়োজন হয় না, এটিকে সমস্ত সামাজিক এবং অর্থনৈতিক পটভূমির মানুষের কাছে অ্যাক্সেসযোগ্য করে তুলেছিল।")</f>
        <v>গেমটির সরলতা, কোনও ব্যয়বহুল সরঞ্জামের প্রয়োজন হয় না, এটিকে সমস্ত সামাজিক এবং অর্থনৈতিক পটভূমির মানুষের কাছে অ্যাক্সেসযোগ্য করে তুলেছিল।</v>
      </c>
    </row>
    <row r="75">
      <c r="A75" s="7">
        <v>74.0</v>
      </c>
      <c r="B75" s="7" t="s">
        <v>1269</v>
      </c>
      <c r="C75" s="7" t="s">
        <v>1270</v>
      </c>
      <c r="D75" s="7" t="s">
        <v>1271</v>
      </c>
      <c r="E75" s="7" t="s">
        <v>1272</v>
      </c>
      <c r="J75" s="10" t="str">
        <f>IFERROR(__xludf.DUMMYFUNCTION("GOOGLETRANSLATE(A75, ""en"", ""bn"")"),"৭৪")</f>
        <v>৭৪</v>
      </c>
      <c r="K75" s="10" t="str">
        <f>IFERROR(__xludf.DUMMYFUNCTION("GOOGLETRANSLATE(B75, ""en"", ""bn"")"),"গোল্লা চুটের নিয়মকানুনকে প্রমিত করার প্রচেষ্টা প্রথম কোন দশকে শুরু হয়েছিল?")</f>
        <v>গোল্লা চুটের নিয়মকানুনকে প্রমিত করার প্রচেষ্টা প্রথম কোন দশকে শুরু হয়েছিল?</v>
      </c>
      <c r="L75" s="10" t="str">
        <f>IFERROR(__xludf.DUMMYFUNCTION("GOOGLETRANSLATE(C75, ""en"", ""bn"")"),"ক) ১৯৬০ এর দশক, খ) ১৯৭০ এর দশক, গ) ১৯৮০ এর দশক, ঘ) ১৯৯০ এর দশক")</f>
        <v>ক) ১৯৬০ এর দশক, খ) ১৯৭০ এর দশক, গ) ১৯৮০ এর দশক, ঘ) ১৯৯০ এর দশক</v>
      </c>
      <c r="M75" s="10" t="str">
        <f>IFERROR(__xludf.DUMMYFUNCTION("GOOGLETRANSLATE(D75, ""en"", ""bn"")"),"ঘ) ১৯৯০ এর দশক")</f>
        <v>ঘ) ১৯৯০ এর দশক</v>
      </c>
      <c r="N75" s="10" t="str">
        <f>IFERROR(__xludf.DUMMYFUNCTION("GOOGLETRANSLATE(E75, ""en"", ""bn"")"),"নিয়মকানুনকে মানসম্মত করার এবং গোল্লা চুটকে একটি সংগঠিত খেলা হিসেবে প্রচারের প্রথম আনুষ্ঠানিক প্রচেষ্টা শুরু হয় ১৯৯০ এর দশকের শেষের দিকে।")</f>
        <v>নিয়মকানুনকে মানসম্মত করার এবং গোল্লা চুটকে একটি সংগঠিত খেলা হিসেবে প্রচারের প্রথম আনুষ্ঠানিক প্রচেষ্টা শুরু হয় ১৯৯০ এর দশকের শেষের দিকে।</v>
      </c>
    </row>
    <row r="76">
      <c r="A76" s="7">
        <v>75.0</v>
      </c>
      <c r="B76" s="7" t="s">
        <v>1273</v>
      </c>
      <c r="C76" s="7" t="s">
        <v>1274</v>
      </c>
      <c r="D76" s="7" t="s">
        <v>1275</v>
      </c>
      <c r="E76" s="7" t="s">
        <v>1276</v>
      </c>
      <c r="J76" s="10" t="str">
        <f>IFERROR(__xludf.DUMMYFUNCTION("GOOGLETRANSLATE(A76, ""en"", ""bn"")"),"৭৫")</f>
        <v>৭৫</v>
      </c>
      <c r="K76" s="10" t="str">
        <f>IFERROR(__xludf.DUMMYFUNCTION("GOOGLETRANSLATE(B76, ""en"", ""bn"")"),"একজন খেলোয়াড়ের জন্য একটি সফল 'ছুট' (রান) এর ঐতিহাসিক তাৎপর্য কী ছিল?")</f>
        <v>একজন খেলোয়াড়ের জন্য একটি সফল 'ছুট' (রান) এর ঐতিহাসিক তাৎপর্য কী ছিল?</v>
      </c>
      <c r="L76" s="10" t="str">
        <f>IFERROR(__xludf.DUMMYFUNCTION("GOOGLETRANSLATE(C76, ""en"", ""bn"")"),"ক) এর অর্থ ছিল দলের জয়, খ) এটি ছিল দুর্দান্ত গতি এবং তত্পরতার লক্ষণ, গ) এটি তাদের একটি পুরষ্কার এনে দিয়েছে, ঘ) এটি ছিল দুর্ভাগ্যের লক্ষণ")</f>
        <v>ক) এর অর্থ ছিল দলের জয়, খ) এটি ছিল দুর্দান্ত গতি এবং তত্পরতার লক্ষণ, গ) এটি তাদের একটি পুরষ্কার এনে দিয়েছে, ঘ) এটি ছিল দুর্ভাগ্যের লক্ষণ</v>
      </c>
      <c r="M76" s="10" t="str">
        <f>IFERROR(__xludf.DUMMYFUNCTION("GOOGLETRANSLATE(D76, ""en"", ""bn"")"),"খ) এটি ছিল দুর্দান্ত গতি এবং তত্পরতার লক্ষণ")</f>
        <v>খ) এটি ছিল দুর্দান্ত গতি এবং তত্পরতার লক্ষণ</v>
      </c>
      <c r="N76" s="10" t="str">
        <f>IFERROR(__xludf.DUMMYFUNCTION("GOOGLETRANSLATE(E76, ""en"", ""bn"")"),"একটি সফল দৌড় একজন খেলোয়াড়ের শারীরিক দক্ষতা প্রদর্শন করে এবং এটি ছিল গর্ব এবং উদযাপনের একটি মুহূর্ত।")</f>
        <v>একটি সফল দৌড় একজন খেলোয়াড়ের শারীরিক দক্ষতা প্রদর্শন করে এবং এটি ছিল গর্ব এবং উদযাপনের একটি মুহূর্ত।</v>
      </c>
    </row>
    <row r="77">
      <c r="A77" s="7">
        <v>76.0</v>
      </c>
      <c r="B77" s="7" t="s">
        <v>1277</v>
      </c>
      <c r="C77" s="7" t="s">
        <v>1278</v>
      </c>
      <c r="D77" s="7" t="s">
        <v>1279</v>
      </c>
      <c r="E77" s="7" t="s">
        <v>1280</v>
      </c>
      <c r="J77" s="10" t="str">
        <f>IFERROR(__xludf.DUMMYFUNCTION("GOOGLETRANSLATE(A77, ""en"", ""bn"")"),"৭৬")</f>
        <v>৭৬</v>
      </c>
      <c r="K77" s="10" t="str">
        <f>IFERROR(__xludf.DUMMYFUNCTION("GOOGLETRANSLATE(B77, ""en"", ""bn"")"),"প্রাক-আধুনিক যুগে, গোল্লা চুট বাদকদের প্রেরণার প্রাথমিক উৎস কী ছিল?")</f>
        <v>প্রাক-আধুনিক যুগে, গোল্লা চুট বাদকদের প্রেরণার প্রাথমিক উৎস কী ছিল?</v>
      </c>
      <c r="L77" s="10" t="str">
        <f>IFERROR(__xludf.DUMMYFUNCTION("GOOGLETRANSLATE(C77, ""en"", ""bn"")"),"ক) আর্থিক পুরষ্কার, খ) খ্যাতি, গ) সম্প্রদায়ের গর্ব, ঘ) ব্যক্তিগত রেকর্ড")</f>
        <v>ক) আর্থিক পুরষ্কার, খ) খ্যাতি, গ) সম্প্রদায়ের গর্ব, ঘ) ব্যক্তিগত রেকর্ড</v>
      </c>
      <c r="M77" s="10" t="str">
        <f>IFERROR(__xludf.DUMMYFUNCTION("GOOGLETRANSLATE(D77, ""en"", ""bn"")"),"গ) সম্প্রদায়ের গর্ব")</f>
        <v>গ) সম্প্রদায়ের গর্ব</v>
      </c>
      <c r="N77" s="10" t="str">
        <f>IFERROR(__xludf.DUMMYFUNCTION("GOOGLETRANSLATE(E77, ""en"", ""bn"")"),"খেলোয়াড়রা মূলত খেলা জিতে তাদের গ্রাম বা সম্প্রদায়ের জন্য গর্ব বয়ে আনার আকাঙ্ক্ষা দ্বারা অনুপ্রাণিত হয়েছিল।")</f>
        <v>খেলোয়াড়রা মূলত খেলা জিতে তাদের গ্রাম বা সম্প্রদায়ের জন্য গর্ব বয়ে আনার আকাঙ্ক্ষা দ্বারা অনুপ্রাণিত হয়েছিল।</v>
      </c>
    </row>
    <row r="78">
      <c r="A78" s="7">
        <v>77.0</v>
      </c>
      <c r="B78" s="7" t="s">
        <v>1281</v>
      </c>
      <c r="C78" s="7" t="s">
        <v>1282</v>
      </c>
      <c r="D78" s="7" t="s">
        <v>1283</v>
      </c>
      <c r="E78" s="7" t="s">
        <v>1284</v>
      </c>
      <c r="J78" s="10" t="str">
        <f>IFERROR(__xludf.DUMMYFUNCTION("GOOGLETRANSLATE(A78, ""en"", ""bn"")"),"৭৭")</f>
        <v>৭৭</v>
      </c>
      <c r="K78" s="10" t="str">
        <f>IFERROR(__xludf.DUMMYFUNCTION("GOOGLETRANSLATE(B78, ""en"", ""bn"")"),"গোল্লা চুটের জনপ্রিয়তার উপর ব্রিটিশ ঔপনিবেশিক শাসন কীভাবে প্রভাব ফেলেছিল?")</f>
        <v>গোল্লা চুটের জনপ্রিয়তার উপর ব্রিটিশ ঔপনিবেশিক শাসন কীভাবে প্রভাব ফেলেছিল?</v>
      </c>
      <c r="L78" s="10" t="str">
        <f>IFERROR(__xludf.DUMMYFUNCTION("GOOGLETRANSLATE(C78, ""en"", ""bn"")"),"ক) এটি নিষিদ্ধ করা হয়েছিল, খ) এটি প্রচার করা হয়েছিল, গ) এটি মূলত উপেক্ষা করা হয়েছিল, ঘ) এটি সামরিক প্রশিক্ষণের সাথে একীভূত করা হয়েছিল")</f>
        <v>ক) এটি নিষিদ্ধ করা হয়েছিল, খ) এটি প্রচার করা হয়েছিল, গ) এটি মূলত উপেক্ষা করা হয়েছিল, ঘ) এটি সামরিক প্রশিক্ষণের সাথে একীভূত করা হয়েছিল</v>
      </c>
      <c r="M78" s="10" t="str">
        <f>IFERROR(__xludf.DUMMYFUNCTION("GOOGLETRANSLATE(D78, ""en"", ""bn"")"),"গ) এটি মূলত উপেক্ষা করা হয়েছিল")</f>
        <v>গ) এটি মূলত উপেক্ষা করা হয়েছিল</v>
      </c>
      <c r="N78" s="10" t="str">
        <f>IFERROR(__xludf.DUMMYFUNCTION("GOOGLETRANSLATE(E78, ""en"", ""bn"")"),"গোল্লা চুট এবং অন্যান্য ঐতিহ্যবাহী খেলাধুলা মূলত উপেক্ষা করা হয়েছিল, যেখানে ব্রিটিশ খেলাধুলা যেমন ক্রিকেট এবং ফুটবলকে প্রাধান্য দেওয়া হয়েছিল।")</f>
        <v>গোল্লা চুট এবং অন্যান্য ঐতিহ্যবাহী খেলাধুলা মূলত উপেক্ষা করা হয়েছিল, যেখানে ব্রিটিশ খেলাধুলা যেমন ক্রিকেট এবং ফুটবলকে প্রাধান্য দেওয়া হয়েছিল।</v>
      </c>
    </row>
    <row r="79">
      <c r="A79" s="7">
        <v>78.0</v>
      </c>
      <c r="B79" s="7" t="s">
        <v>1285</v>
      </c>
      <c r="C79" s="7" t="s">
        <v>1286</v>
      </c>
      <c r="D79" s="7" t="s">
        <v>1287</v>
      </c>
      <c r="E79" s="7" t="s">
        <v>1288</v>
      </c>
      <c r="J79" s="10" t="str">
        <f>IFERROR(__xludf.DUMMYFUNCTION("GOOGLETRANSLATE(A79, ""en"", ""bn"")"),"৭৮")</f>
        <v>৭৮</v>
      </c>
      <c r="K79" s="10" t="str">
        <f>IFERROR(__xludf.DUMMYFUNCTION("GOOGLETRANSLATE(B79, ""en"", ""bn"")"),"বাংলাদেশের গ্রামাঞ্চলে ফসল কাটার মৌসুম উদযাপনে গোল্লা চুট কী ভূমিকা পালন করেছিল?")</f>
        <v>বাংলাদেশের গ্রামাঞ্চলে ফসল কাটার মৌসুম উদযাপনে গোল্লা চুট কী ভূমিকা পালন করেছিল?</v>
      </c>
      <c r="L79" s="10" t="str">
        <f>IFERROR(__xludf.DUMMYFUNCTION("GOOGLETRANSLATE(C79, ""en"", ""bn"")"),"ক) এটি ছিল একটি ধর্মীয় অনুষ্ঠান, খ) এটি ছিল একটি উদযাপনের খেলা, গ) এটি ছিল এক ধরণের অর্থ প্রদান, ঘ) এটি ছিল কৃষকদের জন্য এক ধরণের প্রতিযোগিতা।")</f>
        <v>ক) এটি ছিল একটি ধর্মীয় অনুষ্ঠান, খ) এটি ছিল একটি উদযাপনের খেলা, গ) এটি ছিল এক ধরণের অর্থ প্রদান, ঘ) এটি ছিল কৃষকদের জন্য এক ধরণের প্রতিযোগিতা।</v>
      </c>
      <c r="M79" s="10" t="str">
        <f>IFERROR(__xludf.DUMMYFUNCTION("GOOGLETRANSLATE(D79, ""en"", ""bn"")"),"খ) এটি একটি উদযাপনের খেলা ছিল")</f>
        <v>খ) এটি একটি উদযাপনের খেলা ছিল</v>
      </c>
      <c r="N79" s="10" t="str">
        <f>IFERROR(__xludf.DUMMYFUNCTION("GOOGLETRANSLATE(E79, ""en"", ""bn"")"),"ফসল কাটার পর গোল্লা চাট প্রায়শই একটি উদযাপনের খেলা হিসেবে খেলা হত, যা অবসর এবং উৎসবের সময়কে চিহ্নিত করত।")</f>
        <v>ফসল কাটার পর গোল্লা চাট প্রায়শই একটি উদযাপনের খেলা হিসেবে খেলা হত, যা অবসর এবং উৎসবের সময়কে চিহ্নিত করত।</v>
      </c>
    </row>
    <row r="80">
      <c r="A80" s="7">
        <v>79.0</v>
      </c>
      <c r="B80" s="7" t="s">
        <v>1289</v>
      </c>
      <c r="C80" s="7" t="s">
        <v>1290</v>
      </c>
      <c r="D80" s="7" t="s">
        <v>1291</v>
      </c>
      <c r="E80" s="7" t="s">
        <v>1292</v>
      </c>
      <c r="J80" s="10" t="str">
        <f>IFERROR(__xludf.DUMMYFUNCTION("GOOGLETRANSLATE(A80, ""en"", ""bn"")"),"৭৯")</f>
        <v>৭৯</v>
      </c>
      <c r="K80" s="10" t="str">
        <f>IFERROR(__xludf.DUMMYFUNCTION("GOOGLETRANSLATE(B80, ""en"", ""bn"")"),"বাংলার কিছু অঞ্চলে গোল্লা চুটের ঐতিহাসিক নাম ভিন্ন ছিল। এটি কী ছিল?")</f>
        <v>বাংলার কিছু অঞ্চলে গোল্লা চুটের ঐতিহাসিক নাম ভিন্ন ছিল। এটি কী ছিল?</v>
      </c>
      <c r="L80" s="10" t="str">
        <f>IFERROR(__xludf.DUMMYFUNCTION("GOOGLETRANSLATE(C80, ""en"", ""bn"")"),"ক) গোল্লা দৌড়, খ) ডাঙ্গুলী, গ) হা-দু-দু, ঘ) বউ-ছুট")</f>
        <v>ক) গোল্লা দৌড়, খ) ডাঙ্গুলী, গ) হা-দু-দু, ঘ) বউ-ছুট</v>
      </c>
      <c r="M80" s="10" t="str">
        <f>IFERROR(__xludf.DUMMYFUNCTION("GOOGLETRANSLATE(D80, ""en"", ""bn"")"),"ঘ) বৌ-ছুট")</f>
        <v>ঘ) বৌ-ছুট</v>
      </c>
      <c r="N80" s="10" t="str">
        <f>IFERROR(__xludf.DUMMYFUNCTION("GOOGLETRANSLATE(E80, ""en"", ""bn"")"),"কিছু অঞ্চলে, খেলাটি 'বৌ-ছুট' নামে পরিচিত ছিল, যা একই খেলার নামের আঞ্চলিক বৈচিত্র্যকে প্রতিফলিত করে।")</f>
        <v>কিছু অঞ্চলে, খেলাটি 'বৌ-ছুট' নামে পরিচিত ছিল, যা একই খেলার নামের আঞ্চলিক বৈচিত্র্যকে প্রতিফলিত করে।</v>
      </c>
    </row>
    <row r="81">
      <c r="A81" s="7">
        <v>80.0</v>
      </c>
      <c r="B81" s="7" t="s">
        <v>1293</v>
      </c>
      <c r="C81" s="7" t="s">
        <v>1294</v>
      </c>
      <c r="D81" s="7" t="s">
        <v>1295</v>
      </c>
      <c r="E81" s="7" t="s">
        <v>1296</v>
      </c>
      <c r="J81" s="10" t="str">
        <f>IFERROR(__xludf.DUMMYFUNCTION("GOOGLETRANSLATE(A81, ""en"", ""bn"")"),"৮০")</f>
        <v>৮০</v>
      </c>
      <c r="K81" s="10" t="str">
        <f>IFERROR(__xludf.DUMMYFUNCTION("GOOGLETRANSLATE(B81, ""en"", ""bn"")"),"একটি গ্রামের জন্য ঐতিহাসিকভাবে একটি বড় গোল্লা চুট টুর্নামেন্ট জেতার অর্থ কী ছিল?")</f>
        <v>একটি গ্রামের জন্য ঐতিহাসিকভাবে একটি বড় গোল্লা চুট টুর্নামেন্ট জেতার অর্থ কী ছিল?</v>
      </c>
      <c r="L81" s="10" t="str">
        <f>IFERROR(__xludf.DUMMYFUNCTION("GOOGLETRANSLATE(C81, ""en"", ""bn"")"),"ক) সামাজিক আধিপত্য, খ) অর্থনৈতিক সমৃদ্ধি, গ) সম্প্রদায়ের শক্তি, ঘ) রাজনৈতিক ক্ষমতা")</f>
        <v>ক) সামাজিক আধিপত্য, খ) অর্থনৈতিক সমৃদ্ধি, গ) সম্প্রদায়ের শক্তি, ঘ) রাজনৈতিক ক্ষমতা</v>
      </c>
      <c r="M81" s="10" t="str">
        <f>IFERROR(__xludf.DUMMYFUNCTION("GOOGLETRANSLATE(D81, ""en"", ""bn"")"),"গ) সম্প্রদায়ের শক্তি")</f>
        <v>গ) সম্প্রদায়ের শক্তি</v>
      </c>
      <c r="N81" s="10" t="str">
        <f>IFERROR(__xludf.DUMMYFUNCTION("GOOGLETRANSLATE(E81, ""en"", ""bn"")"),"একটি বড় টুর্নামেন্টে জয়কে পুরো গ্রাম বা সম্প্রদায়ের শক্তি এবং ঐক্যের প্রমাণ হিসেবে দেখা হত।")</f>
        <v>একটি বড় টুর্নামেন্টে জয়কে পুরো গ্রাম বা সম্প্রদায়ের শক্তি এবং ঐক্যের প্রমাণ হিসেবে দেখা হত।</v>
      </c>
    </row>
    <row r="82">
      <c r="A82" s="7">
        <v>81.0</v>
      </c>
      <c r="B82" s="7" t="s">
        <v>1297</v>
      </c>
      <c r="C82" s="7" t="s">
        <v>1298</v>
      </c>
      <c r="D82" s="7" t="s">
        <v>1299</v>
      </c>
      <c r="E82" s="7" t="s">
        <v>1300</v>
      </c>
      <c r="J82" s="10" t="str">
        <f>IFERROR(__xludf.DUMMYFUNCTION("GOOGLETRANSLATE(A82, ""en"", ""bn"")"),"৮১")</f>
        <v>৮১</v>
      </c>
      <c r="K82" s="10" t="str">
        <f>IFERROR(__xludf.DUMMYFUNCTION("GOOGLETRANSLATE(B82, ""en"", ""bn"")"),"গোল্লা চুটে দল নির্বাচনের ঐতিহাসিক পদ্ধতি কী ছিল?")</f>
        <v>গোল্লা চুটে দল নির্বাচনের ঐতিহাসিক পদ্ধতি কী ছিল?</v>
      </c>
      <c r="L82" s="10" t="str">
        <f>IFERROR(__xludf.DUMMYFUNCTION("GOOGLETRANSLATE(C82, ""en"", ""bn"")"),"ক) বয়স অনুসারে, খ) শারীরিক শক্তি অনুসারে, গ) খেলোয়াড় বাছাইকারী অধিনায়ক, ঘ) এলোমেলো নির্বাচন")</f>
        <v>ক) বয়স অনুসারে, খ) শারীরিক শক্তি অনুসারে, গ) খেলোয়াড় বাছাইকারী অধিনায়ক, ঘ) এলোমেলো নির্বাচন</v>
      </c>
      <c r="M82" s="10" t="str">
        <f>IFERROR(__xludf.DUMMYFUNCTION("GOOGLETRANSLATE(D82, ""en"", ""bn"")"),"গ) খেলোয়াড় বাছাইকারী অধিনায়করা")</f>
        <v>গ) খেলোয়াড় বাছাইকারী অধিনায়করা</v>
      </c>
      <c r="N82" s="10" t="str">
        <f>IFERROR(__xludf.DUMMYFUNCTION("GOOGLETRANSLATE(E82, ""en"", ""bn"")"),"ঐতিহাসিকভাবে দলগুলো দুজন অধিনায়ক দ্বারা নির্বাচিত হত যারা পালাক্রমে খেলোয়াড় বাছাই করত, যা অনেক ঐতিহ্যবাহী খেলায় একটি সাধারণ অভ্যাস।")</f>
        <v>ঐতিহাসিকভাবে দলগুলো দুজন অধিনায়ক দ্বারা নির্বাচিত হত যারা পালাক্রমে খেলোয়াড় বাছাই করত, যা অনেক ঐতিহ্যবাহী খেলায় একটি সাধারণ অভ্যাস।</v>
      </c>
    </row>
    <row r="83">
      <c r="A83" s="7">
        <v>82.0</v>
      </c>
      <c r="B83" s="7" t="s">
        <v>1301</v>
      </c>
      <c r="C83" s="7" t="s">
        <v>1302</v>
      </c>
      <c r="D83" s="7" t="s">
        <v>1303</v>
      </c>
      <c r="E83" s="7" t="s">
        <v>1304</v>
      </c>
      <c r="J83" s="10" t="str">
        <f>IFERROR(__xludf.DUMMYFUNCTION("GOOGLETRANSLATE(A83, ""en"", ""bn"")"),"৮২")</f>
        <v>৮২</v>
      </c>
      <c r="K83" s="10" t="str">
        <f>IFERROR(__xludf.DUMMYFUNCTION("GOOGLETRANSLATE(B83, ""en"", ""bn"")"),"গোল্লা চুট খেলায় ঐতিহ্যগতভাবে স্কোর কীভাবে রাখা হত?")</f>
        <v>গোল্লা চুট খেলায় ঐতিহ্যগতভাবে স্কোর কীভাবে রাখা হত?</v>
      </c>
      <c r="L83" s="10" t="str">
        <f>IFERROR(__xludf.DUMMYFUNCTION("GOOGLETRANSLATE(C83, ""en"", ""bn"")"),"ক) চক ব্যবহার করে, খ) পাথর বা লাঠি দিয়ে, গ) কোনও স্কোর রাখা হয়নি, ঘ) একজন আনুষ্ঠানিক স্কোরকিপার দ্বারা")</f>
        <v>ক) চক ব্যবহার করে, খ) পাথর বা লাঠি দিয়ে, গ) কোনও স্কোর রাখা হয়নি, ঘ) একজন আনুষ্ঠানিক স্কোরকিপার দ্বারা</v>
      </c>
      <c r="M83" s="10" t="str">
        <f>IFERROR(__xludf.DUMMYFUNCTION("GOOGLETRANSLATE(D83, ""en"", ""bn"")"),"খ) পাথর বা লাঠি দিয়ে")</f>
        <v>খ) পাথর বা লাঠি দিয়ে</v>
      </c>
      <c r="N83" s="10" t="str">
        <f>IFERROR(__xludf.DUMMYFUNCTION("GOOGLETRANSLATE(E83, ""en"", ""bn"")"),"গণনার একটি সহজ পদ্ধতি প্রায়শই ব্যবহৃত হত, যেমন ছোট পাথর বা লাঠি স্থাপন করে প্রাপ্ত পয়েন্টগুলি উপস্থাপন করা হত।")</f>
        <v>গণনার একটি সহজ পদ্ধতি প্রায়শই ব্যবহৃত হত, যেমন ছোট পাথর বা লাঠি স্থাপন করে প্রাপ্ত পয়েন্টগুলি উপস্থাপন করা হত।</v>
      </c>
    </row>
    <row r="84">
      <c r="A84" s="7">
        <v>83.0</v>
      </c>
      <c r="B84" s="7" t="s">
        <v>1305</v>
      </c>
      <c r="C84" s="7" t="s">
        <v>1306</v>
      </c>
      <c r="D84" s="7" t="s">
        <v>1307</v>
      </c>
      <c r="E84" s="7" t="s">
        <v>1308</v>
      </c>
      <c r="J84" s="10" t="str">
        <f>IFERROR(__xludf.DUMMYFUNCTION("GOOGLETRANSLATE(A84, ""en"", ""bn"")"),"৮৩")</f>
        <v>৮৩</v>
      </c>
      <c r="K84" s="10" t="str">
        <f>IFERROR(__xludf.DUMMYFUNCTION("GOOGLETRANSLATE(B84, ""en"", ""bn"")"),"গোল্লা চুট খেলা কোন ধরণের বিনোদনমূলক কার্যকলাপের একটি ঐতিহাসিক উদাহরণ?")</f>
        <v>গোল্লা চুট খেলা কোন ধরণের বিনোদনমূলক কার্যকলাপের একটি ঐতিহাসিক উদাহরণ?</v>
      </c>
      <c r="L84" s="10" t="str">
        <f>IFERROR(__xludf.DUMMYFUNCTION("GOOGLETRANSLATE(C84, ""en"", ""bn"")"),"ক) একটি আনুষ্ঠানিক খেলা, খ) একটি লোকজ খেলা, গ) একটি পেশাদার খেলা, ঘ) একটি সামরিক অনুশীলন")</f>
        <v>ক) একটি আনুষ্ঠানিক খেলা, খ) একটি লোকজ খেলা, গ) একটি পেশাদার খেলা, ঘ) একটি সামরিক অনুশীলন</v>
      </c>
      <c r="M84" s="10" t="str">
        <f>IFERROR(__xludf.DUMMYFUNCTION("GOOGLETRANSLATE(D84, ""en"", ""bn"")"),"খ) একটি লোক খেলা")</f>
        <v>খ) একটি লোক খেলা</v>
      </c>
      <c r="N84" s="10" t="str">
        <f>IFERROR(__xludf.DUMMYFUNCTION("GOOGLETRANSLATE(E84, ""en"", ""bn"")"),"গোল্লা চুটকে সবচেয়ে ভালোভাবে বর্ণনা করা যায় একটি লোকজ খেলা হিসেবে, যা প্রজন্মের পর প্রজন্ম ধরে নমনীয়, অলিখিত নিয়ম মেনে চলে আসছে।")</f>
        <v>গোল্লা চুটকে সবচেয়ে ভালোভাবে বর্ণনা করা যায় একটি লোকজ খেলা হিসেবে, যা প্রজন্মের পর প্রজন্ম ধরে নমনীয়, অলিখিত নিয়ম মেনে চলে আসছে।</v>
      </c>
    </row>
    <row r="85">
      <c r="A85" s="7">
        <v>84.0</v>
      </c>
      <c r="B85" s="7" t="s">
        <v>1309</v>
      </c>
      <c r="C85" s="7" t="s">
        <v>1310</v>
      </c>
      <c r="D85" s="7" t="s">
        <v>1311</v>
      </c>
      <c r="E85" s="7" t="s">
        <v>1312</v>
      </c>
      <c r="J85" s="10" t="str">
        <f>IFERROR(__xludf.DUMMYFUNCTION("GOOGLETRANSLATE(A85, ""en"", ""bn"")"),"৮৪")</f>
        <v>৮৪</v>
      </c>
      <c r="K85" s="10" t="str">
        <f>IFERROR(__xludf.DUMMYFUNCTION("GOOGLETRANSLATE(B85, ""en"", ""bn"")"),"দিনের ঐতিহ্যবাহী সময় কোনটি ছিল গোল্লা চুট খেলার?")</f>
        <v>দিনের ঐতিহ্যবাহী সময় কোনটি ছিল গোল্লা চুট খেলার?</v>
      </c>
      <c r="L85" s="10" t="str">
        <f>IFERROR(__xludf.DUMMYFUNCTION("GOOGLETRANSLATE(C85, ""en"", ""bn"")"),"ক) ভোরবেলা, খ) দুপুর, গ) শেষ বিকেল, ঘ) রাত")</f>
        <v>ক) ভোরবেলা, খ) দুপুর, গ) শেষ বিকেল, ঘ) রাত</v>
      </c>
      <c r="M85" s="10" t="str">
        <f>IFERROR(__xludf.DUMMYFUNCTION("GOOGLETRANSLATE(D85, ""en"", ""bn"")"),"গ) শেষ বিকেলে")</f>
        <v>গ) শেষ বিকেলে</v>
      </c>
      <c r="N85" s="10" t="str">
        <f>IFERROR(__xludf.DUMMYFUNCTION("GOOGLETRANSLATE(E85, ""en"", ""bn"")"),"খেলাটি বেশিরভাগ সময় শেষ বিকেলে খেলা হত, যখন রোদের তীব্রতা কম থাকত এবং লোকেরা তাদের দৈনন্দিন কাজ শেষ করত।")</f>
        <v>খেলাটি বেশিরভাগ সময় শেষ বিকেলে খেলা হত, যখন রোদের তীব্রতা কম থাকত এবং লোকেরা তাদের দৈনন্দিন কাজ শেষ করত।</v>
      </c>
    </row>
    <row r="86">
      <c r="A86" s="7">
        <v>85.0</v>
      </c>
      <c r="B86" s="7" t="s">
        <v>1313</v>
      </c>
      <c r="C86" s="7" t="s">
        <v>1314</v>
      </c>
      <c r="D86" s="7" t="s">
        <v>1315</v>
      </c>
      <c r="E86" s="7" t="s">
        <v>1316</v>
      </c>
      <c r="J86" s="10" t="str">
        <f>IFERROR(__xludf.DUMMYFUNCTION("GOOGLETRANSLATE(A86, ""en"", ""bn"")"),"৮৫")</f>
        <v>৮৫</v>
      </c>
      <c r="K86" s="10" t="str">
        <f>IFERROR(__xludf.DUMMYFUNCTION("GOOGLETRANSLATE(B86, ""en"", ""bn"")"),"কোন ঐতিহাসিক কারণে গোল্লা চুট গ্রামীণ জীবনের প্রতীক হিসেবে দেখা হয়েছিল?")</f>
        <v>কোন ঐতিহাসিক কারণে গোল্লা চুট গ্রামীণ জীবনের প্রতীক হিসেবে দেখা হয়েছিল?</v>
      </c>
      <c r="L86" s="10" t="str">
        <f>IFERROR(__xludf.DUMMYFUNCTION("GOOGLETRANSLATE(C86, ""en"", ""bn"")"),"ক) শহরাঞ্চলে এর জনপ্রিয়তা, খ) এর পেশাদার লীগ, গ) গ্রামীণ সংস্কৃতি এবং ঐতিহ্যের গভীরে এর শিকড়, ঘ) এর মিডিয়া কভারেজ")</f>
        <v>ক) শহরাঞ্চলে এর জনপ্রিয়তা, খ) এর পেশাদার লীগ, গ) গ্রামীণ সংস্কৃতি এবং ঐতিহ্যের গভীরে এর শিকড়, ঘ) এর মিডিয়া কভারেজ</v>
      </c>
      <c r="M86" s="10" t="str">
        <f>IFERROR(__xludf.DUMMYFUNCTION("GOOGLETRANSLATE(D86, ""en"", ""bn"")"),"গ) গ্রামীণ সংস্কৃতি এবং ঐতিহ্যের গভীরে এর শিকড়")</f>
        <v>গ) গ্রামীণ সংস্কৃতি এবং ঐতিহ্যের গভীরে এর শিকড়</v>
      </c>
      <c r="N86" s="10" t="str">
        <f>IFERROR(__xludf.DUMMYFUNCTION("GOOGLETRANSLATE(E86, ""en"", ""bn"")"),"এর দীর্ঘ ইতিহাস এবং গ্রামীণ জীবনের ছন্দের সাথে গভীর একীকরণ এটিকে গ্রামীণ সংস্কৃতির একটি শক্তিশালী প্রতীক করে তুলেছে।")</f>
        <v>এর দীর্ঘ ইতিহাস এবং গ্রামীণ জীবনের ছন্দের সাথে গভীর একীকরণ এটিকে গ্রামীণ সংস্কৃতির একটি শক্তিশালী প্রতীক করে তুলেছে।</v>
      </c>
    </row>
    <row r="87">
      <c r="A87" s="7">
        <v>86.0</v>
      </c>
      <c r="B87" s="7" t="s">
        <v>1317</v>
      </c>
      <c r="C87" s="7" t="s">
        <v>1318</v>
      </c>
      <c r="D87" s="7" t="s">
        <v>1319</v>
      </c>
      <c r="E87" s="7" t="s">
        <v>1320</v>
      </c>
      <c r="J87" s="10" t="str">
        <f>IFERROR(__xludf.DUMMYFUNCTION("GOOGLETRANSLATE(A87, ""en"", ""bn"")"),"৮৬")</f>
        <v>৮৬</v>
      </c>
      <c r="K87" s="10" t="str">
        <f>IFERROR(__xludf.DUMMYFUNCTION("GOOGLETRANSLATE(B87, ""en"", ""bn"")"),"ঐতিহাসিক গোল্লা চুট নাটকে নারীদের ভূমিকা কী ছিল?")</f>
        <v>ঐতিহাসিক গোল্লা চুট নাটকে নারীদের ভূমিকা কী ছিল?</v>
      </c>
      <c r="L87" s="10" t="str">
        <f>IFERROR(__xludf.DUMMYFUNCTION("GOOGLETRANSLATE(C87, ""en"", ""bn"")"),"ক) তারা আলাদাভাবে খেলেছে, খ) তারা পুরুষদের সাথে খেলেছে, গ) তারা দর্শক ছিল, ঘ) তারা অংশগ্রহণ করেনি")</f>
        <v>ক) তারা আলাদাভাবে খেলেছে, খ) তারা পুরুষদের সাথে খেলেছে, গ) তারা দর্শক ছিল, ঘ) তারা অংশগ্রহণ করেনি</v>
      </c>
      <c r="M87" s="10" t="str">
        <f>IFERROR(__xludf.DUMMYFUNCTION("GOOGLETRANSLATE(D87, ""en"", ""bn"")"),"গ) তারা দর্শক ছিল")</f>
        <v>গ) তারা দর্শক ছিল</v>
      </c>
      <c r="N87" s="10" t="str">
        <f>IFERROR(__xludf.DUMMYFUNCTION("GOOGLETRANSLATE(E87, ""en"", ""bn"")"),"ঐতিহাসিকভাবে, মহিলারা মূলত দর্শক ছিলেন, যদিও কিছু অঞ্চলে, মেয়েরা খেলার পৃথক সংস্করণ খেলেছিল।")</f>
        <v>ঐতিহাসিকভাবে, মহিলারা মূলত দর্শক ছিলেন, যদিও কিছু অঞ্চলে, মেয়েরা খেলার পৃথক সংস্করণ খেলেছিল।</v>
      </c>
    </row>
    <row r="88">
      <c r="A88" s="7">
        <v>87.0</v>
      </c>
      <c r="B88" s="7" t="s">
        <v>1321</v>
      </c>
      <c r="C88" s="7" t="s">
        <v>1322</v>
      </c>
      <c r="D88" s="7" t="s">
        <v>1323</v>
      </c>
      <c r="E88" s="7" t="s">
        <v>1324</v>
      </c>
      <c r="J88" s="10" t="str">
        <f>IFERROR(__xludf.DUMMYFUNCTION("GOOGLETRANSLATE(A88, ""en"", ""bn"")"),"৮৭")</f>
        <v>৮৭</v>
      </c>
      <c r="K88" s="10" t="str">
        <f>IFERROR(__xludf.DUMMYFUNCTION("GOOGLETRANSLATE(B88, ""en"", ""bn"")"),"প্রাচীনকালে 'গোল্লা' লক্ষ্যবস্তু প্রায়শই কী দিয়ে তৈরি হত?")</f>
        <v>প্রাচীনকালে 'গোল্লা' লক্ষ্যবস্তু প্রায়শই কী দিয়ে তৈরি হত?</v>
      </c>
      <c r="L88" s="10" t="str">
        <f>IFERROR(__xludf.DUMMYFUNCTION("GOOGLETRANSLATE(C88, ""en"", ""bn"")"),"ক) একটি পবিত্র গাছের ডাল, খ) একটি মাটির মূর্তি, গ) একটি বাঁশের লাঠি, ঘ) একটি পাথর")</f>
        <v>ক) একটি পবিত্র গাছের ডাল, খ) একটি মাটির মূর্তি, গ) একটি বাঁশের লাঠি, ঘ) একটি পাথর</v>
      </c>
      <c r="M88" s="10" t="str">
        <f>IFERROR(__xludf.DUMMYFUNCTION("GOOGLETRANSLATE(D88, ""en"", ""bn"")"),"গ) একটি বাঁশের লাঠি")</f>
        <v>গ) একটি বাঁশের লাঠি</v>
      </c>
      <c r="N88" s="10" t="str">
        <f>IFERROR(__xludf.DUMMYFUNCTION("GOOGLETRANSLATE(E88, ""en"", ""bn"")"),"অনেক গ্রামীণ পরিবেশে 'গোল্লা' লক্ষ্যবস্তুর জন্য একটি সাধারণ বাঁশের লাঠি একটি সাধারণ এবং সহজেই পাওয়া যায় এমন উপাদান ছিল।")</f>
        <v>অনেক গ্রামীণ পরিবেশে 'গোল্লা' লক্ষ্যবস্তুর জন্য একটি সাধারণ বাঁশের লাঠি একটি সাধারণ এবং সহজেই পাওয়া যায় এমন উপাদান ছিল।</v>
      </c>
    </row>
    <row r="89">
      <c r="A89" s="7">
        <v>88.0</v>
      </c>
      <c r="B89" s="7" t="s">
        <v>1325</v>
      </c>
      <c r="C89" s="7" t="s">
        <v>1326</v>
      </c>
      <c r="D89" s="7" t="s">
        <v>1327</v>
      </c>
      <c r="E89" s="7" t="s">
        <v>1328</v>
      </c>
      <c r="J89" s="10" t="str">
        <f>IFERROR(__xludf.DUMMYFUNCTION("GOOGLETRANSLATE(A89, ""en"", ""bn"")"),"৮৮")</f>
        <v>৮৮</v>
      </c>
      <c r="K89" s="10" t="str">
        <f>IFERROR(__xludf.DUMMYFUNCTION("GOOGLETRANSLATE(B89, ""en"", ""bn"")"),"গোল্লা চুটের কোন ঐতিহাসিক দিকটি সময়ের সাথে সাথে এর স্থায়িত্বে অবদান রেখেছে?")</f>
        <v>গোল্লা চুটের কোন ঐতিহাসিক দিকটি সময়ের সাথে সাথে এর স্থায়িত্বে অবদান রেখেছে?</v>
      </c>
      <c r="L89" s="10" t="str">
        <f>IFERROR(__xludf.DUMMYFUNCTION("GOOGLETRANSLATE(C89, ""en"", ""bn"")"),"ক) এর কঠোর নিয়ম, খ) এর অভিযোজনযোগ্যতা এবং অনানুষ্ঠানিক প্রকৃতি, গ) এর সরকারী স্বীকৃতি, ঘ) এর পেশাদার খেলোয়াড়রা")</f>
        <v>ক) এর কঠোর নিয়ম, খ) এর অভিযোজনযোগ্যতা এবং অনানুষ্ঠানিক প্রকৃতি, গ) এর সরকারী স্বীকৃতি, ঘ) এর পেশাদার খেলোয়াড়রা</v>
      </c>
      <c r="M89" s="10" t="str">
        <f>IFERROR(__xludf.DUMMYFUNCTION("GOOGLETRANSLATE(D89, ""en"", ""bn"")"),"খ) এর অভিযোজনযোগ্যতা এবং অনানুষ্ঠানিক প্রকৃতি")</f>
        <v>খ) এর অভিযোজনযোগ্যতা এবং অনানুষ্ঠানিক প্রকৃতি</v>
      </c>
      <c r="N89" s="10" t="str">
        <f>IFERROR(__xludf.DUMMYFUNCTION("GOOGLETRANSLATE(E89, ""en"", ""bn"")"),"খেলার নমনীয় নিয়ম এবং অনানুষ্ঠানিক প্রকৃতি এটিকে যে কোনও জায়গায়, যে কেউ খেলতে পারত, যা এর টিকে থাকা নিশ্চিত করেছিল।")</f>
        <v>খেলার নমনীয় নিয়ম এবং অনানুষ্ঠানিক প্রকৃতি এটিকে যে কোনও জায়গায়, যে কেউ খেলতে পারত, যা এর টিকে থাকা নিশ্চিত করেছিল।</v>
      </c>
    </row>
    <row r="90">
      <c r="A90" s="7">
        <v>89.0</v>
      </c>
      <c r="B90" s="7" t="s">
        <v>1329</v>
      </c>
      <c r="C90" s="7" t="s">
        <v>1330</v>
      </c>
      <c r="D90" s="7" t="s">
        <v>1331</v>
      </c>
      <c r="E90" s="7" t="s">
        <v>1332</v>
      </c>
      <c r="J90" s="10" t="str">
        <f>IFERROR(__xludf.DUMMYFUNCTION("GOOGLETRANSLATE(A90, ""en"", ""bn"")"),"৮৯")</f>
        <v>৮৯</v>
      </c>
      <c r="K90" s="10" t="str">
        <f>IFERROR(__xludf.DUMMYFUNCTION("GOOGLETRANSLATE(B90, ""en"", ""bn"")"),"ঐতিহাসিকভাবে গোল্লা চুট কোন ধরণের বিরোধ নিষ্পত্তির জন্য ব্যবহৃত হত?")</f>
        <v>ঐতিহাসিকভাবে গোল্লা চুট কোন ধরণের বিরোধ নিষ্পত্তির জন্য ব্যবহৃত হত?</v>
      </c>
      <c r="L90" s="10" t="str">
        <f>IFERROR(__xludf.DUMMYFUNCTION("GOOGLETRANSLATE(C90, ""en"", ""bn"")"),"ক) জমি সংক্রান্ত বিরোধ নিষ্পত্তি করা, খ) ব্যক্তিগত বিরোধ নিষ্পত্তি করা, গ) গ্রামের মধ্যে সৌহার্দ্যপূর্ণ সম্পর্ক গড়ে তোলা, ঘ) যুদ্ধ ঘোষণা করা")</f>
        <v>ক) জমি সংক্রান্ত বিরোধ নিষ্পত্তি করা, খ) ব্যক্তিগত বিরোধ নিষ্পত্তি করা, গ) গ্রামের মধ্যে সৌহার্দ্যপূর্ণ সম্পর্ক গড়ে তোলা, ঘ) যুদ্ধ ঘোষণা করা</v>
      </c>
      <c r="M90" s="10" t="str">
        <f>IFERROR(__xludf.DUMMYFUNCTION("GOOGLETRANSLATE(D90, ""en"", ""bn"")"),"গ) গ্রামগুলির মধ্যে সৌহার্দ্যপূর্ণ সম্পর্ক গড়ে তোলা")</f>
        <v>গ) গ্রামগুলির মধ্যে সৌহার্দ্যপূর্ণ সম্পর্ক গড়ে তোলা</v>
      </c>
      <c r="N90" s="10" t="str">
        <f>IFERROR(__xludf.DUMMYFUNCTION("GOOGLETRANSLATE(E90, ""en"", ""bn"")"),"বিভিন্ন গ্রামের মধ্যে প্রতিযোগিতা প্রায়শই সম্প্রদায়ের বন্ধন এবং বন্ধুত্বপূর্ণ সম্পর্ক গড়ে তোলার একটি উপায় হিসেবে কাজ করত।")</f>
        <v>বিভিন্ন গ্রামের মধ্যে প্রতিযোগিতা প্রায়শই সম্প্রদায়ের বন্ধন এবং বন্ধুত্বপূর্ণ সম্পর্ক গড়ে তোলার একটি উপায় হিসেবে কাজ করত।</v>
      </c>
    </row>
    <row r="91">
      <c r="A91" s="7">
        <v>90.0</v>
      </c>
      <c r="B91" s="7" t="s">
        <v>1333</v>
      </c>
      <c r="C91" s="7" t="s">
        <v>1334</v>
      </c>
      <c r="D91" s="7" t="s">
        <v>1335</v>
      </c>
      <c r="E91" s="7" t="s">
        <v>1336</v>
      </c>
      <c r="J91" s="10" t="str">
        <f>IFERROR(__xludf.DUMMYFUNCTION("GOOGLETRANSLATE(A91, ""en"", ""bn"")"),"৯০")</f>
        <v>৯০</v>
      </c>
      <c r="K91" s="10" t="str">
        <f>IFERROR(__xludf.DUMMYFUNCTION("GOOGLETRANSLATE(B91, ""en"", ""bn"")"),"গোল্লা চুটের কোন ঐতিহাসিক বৈশিষ্ট্য এটিকে আধুনিক খেলাধুলা থেকে আলাদা করে?")</f>
        <v>গোল্লা চুটের কোন ঐতিহাসিক বৈশিষ্ট্য এটিকে আধুনিক খেলাধুলা থেকে আলাদা করে?</v>
      </c>
      <c r="L91" s="10" t="str">
        <f>IFERROR(__xludf.DUMMYFUNCTION("GOOGLETRANSLATE(C91, ""en"", ""bn"")"),"ক) এর একটি বলের ব্যবহার, খ) শারীরিক শক্তির উপর জোর, গ) এর বাণিজ্যিক উপাদানের অভাব, ঘ) এর লিঙ্গ অন্তর্ভুক্তি")</f>
        <v>ক) এর একটি বলের ব্যবহার, খ) শারীরিক শক্তির উপর জোর, গ) এর বাণিজ্যিক উপাদানের অভাব, ঘ) এর লিঙ্গ অন্তর্ভুক্তি</v>
      </c>
      <c r="M91" s="10" t="str">
        <f>IFERROR(__xludf.DUMMYFUNCTION("GOOGLETRANSLATE(D91, ""en"", ""bn"")"),"গ) এর বাণিজ্যিক উপাদানের অভাব")</f>
        <v>গ) এর বাণিজ্যিক উপাদানের অভাব</v>
      </c>
      <c r="N91" s="10" t="str">
        <f>IFERROR(__xludf.DUMMYFUNCTION("GOOGLETRANSLATE(E91, ""en"", ""bn"")"),"ঐতিহাসিকভাবে, গোল্লা চুট খেলাটি কেবল বিনোদন এবং সম্প্রদায়ের বন্ধনের জন্য খেলা হত, কোনও বাণিজ্যিক দিক ছাড়াই।")</f>
        <v>ঐতিহাসিকভাবে, গোল্লা চুট খেলাটি কেবল বিনোদন এবং সম্প্রদায়ের বন্ধনের জন্য খেলা হত, কোনও বাণিজ্যিক দিক ছাড়াই।</v>
      </c>
    </row>
    <row r="92">
      <c r="A92" s="7">
        <v>91.0</v>
      </c>
      <c r="B92" s="7" t="s">
        <v>1337</v>
      </c>
      <c r="C92" s="7" t="s">
        <v>1338</v>
      </c>
      <c r="D92" s="7" t="s">
        <v>1339</v>
      </c>
      <c r="E92" s="7" t="s">
        <v>1340</v>
      </c>
      <c r="J92" s="10" t="str">
        <f>IFERROR(__xludf.DUMMYFUNCTION("GOOGLETRANSLATE(A92, ""en"", ""bn"")"),"৯১")</f>
        <v>৯১</v>
      </c>
      <c r="K92" s="10" t="str">
        <f>IFERROR(__xludf.DUMMYFUNCTION("GOOGLETRANSLATE(B92, ""en"", ""bn"")"),"খেলার নামে 'ছুট' বা 'দৌড়' শব্দটি কোন শারীরিক বৈশিষ্ট্যের উপর ঐতিহাসিক জোর দেয়?")</f>
        <v>খেলার নামে 'ছুট' বা 'দৌড়' শব্দটি কোন শারীরিক বৈশিষ্ট্যের উপর ঐতিহাসিক জোর দেয়?</v>
      </c>
      <c r="L92" s="10" t="str">
        <f>IFERROR(__xludf.DUMMYFUNCTION("GOOGLETRANSLATE(C92, ""en"", ""bn"")"),"ক) তত্পরতা, খ) শক্তি, গ) সহনশীলতা, ঘ) নমনীয়তা")</f>
        <v>ক) তত্পরতা, খ) শক্তি, গ) সহনশীলতা, ঘ) নমনীয়তা</v>
      </c>
      <c r="M92" s="10" t="str">
        <f>IFERROR(__xludf.DUMMYFUNCTION("GOOGLETRANSLATE(D92, ""en"", ""bn"")"),"ক) তত্পরতা")</f>
        <v>ক) তত্পরতা</v>
      </c>
      <c r="N92" s="10" t="str">
        <f>IFERROR(__xludf.DUMMYFUNCTION("GOOGLETRANSLATE(E92, ""en"", ""bn"")"),"খেলায় প্রয়োজনীয় দৌড়ানো এবং এড়িয়ে চলার দক্ষতা ঐতিহাসিক দক্ষতার একটি গুরুত্বপূর্ণ দিক হিসেবে তুলে ধরে।")</f>
        <v>খেলায় প্রয়োজনীয় দৌড়ানো এবং এড়িয়ে চলার দক্ষতা ঐতিহাসিক দক্ষতার একটি গুরুত্বপূর্ণ দিক হিসেবে তুলে ধরে।</v>
      </c>
    </row>
    <row r="93">
      <c r="A93" s="7">
        <v>92.0</v>
      </c>
      <c r="B93" s="7" t="s">
        <v>1341</v>
      </c>
      <c r="C93" s="7" t="s">
        <v>1342</v>
      </c>
      <c r="D93" s="7" t="s">
        <v>1343</v>
      </c>
      <c r="E93" s="7" t="s">
        <v>1344</v>
      </c>
      <c r="J93" s="10" t="str">
        <f>IFERROR(__xludf.DUMMYFUNCTION("GOOGLETRANSLATE(A93, ""en"", ""bn"")"),"৯২")</f>
        <v>৯২</v>
      </c>
      <c r="K93" s="10" t="str">
        <f>IFERROR(__xludf.DUMMYFUNCTION("GOOGLETRANSLATE(B93, ""en"", ""bn"")"),"আগে গোল্লা চুট টুর্নামেন্ট জেতার জন্য সাধারণ পুরষ্কার কী ছিল?")</f>
        <v>আগে গোল্লা চুট টুর্নামেন্ট জেতার জন্য সাধারণ পুরষ্কার কী ছিল?</v>
      </c>
      <c r="L93" s="10" t="str">
        <f>IFERROR(__xludf.DUMMYFUNCTION("GOOGLETRANSLATE(C93, ""en"", ""bn"")"),"ক) টাকা, খ) পশুপালন, গ) একটি সম্প্রদায় ভোজ, ঘ) একটি ট্রফি")</f>
        <v>ক) টাকা, খ) পশুপালন, গ) একটি সম্প্রদায় ভোজ, ঘ) একটি ট্রফি</v>
      </c>
      <c r="M93" s="10" t="str">
        <f>IFERROR(__xludf.DUMMYFUNCTION("GOOGLETRANSLATE(D93, ""en"", ""bn"")"),"গ) একটি সম্প্রদায়ের উৎসব")</f>
        <v>গ) একটি সম্প্রদায়ের উৎসব</v>
      </c>
      <c r="N93" s="10" t="str">
        <f>IFERROR(__xludf.DUMMYFUNCTION("GOOGLETRANSLATE(E93, ""en"", ""bn"")"),"একটি সম্প্রদায় ভোজ বা অনুরূপ অ-আর্থিক পুরষ্কার ছিল একটি সাধারণ পুরষ্কার, যা খেলার সাম্প্রদায়িক চেতনাকে শক্তিশালী করত।")</f>
        <v>একটি সম্প্রদায় ভোজ বা অনুরূপ অ-আর্থিক পুরষ্কার ছিল একটি সাধারণ পুরষ্কার, যা খেলার সাম্প্রদায়িক চেতনাকে শক্তিশালী করত।</v>
      </c>
    </row>
    <row r="94">
      <c r="A94" s="7">
        <v>93.0</v>
      </c>
      <c r="B94" s="7" t="s">
        <v>1345</v>
      </c>
      <c r="C94" s="7" t="s">
        <v>1346</v>
      </c>
      <c r="D94" s="7" t="s">
        <v>1347</v>
      </c>
      <c r="E94" s="7" t="s">
        <v>1348</v>
      </c>
      <c r="J94" s="10" t="str">
        <f>IFERROR(__xludf.DUMMYFUNCTION("GOOGLETRANSLATE(A94, ""en"", ""bn"")"),"৯৩")</f>
        <v>৯৩</v>
      </c>
      <c r="K94" s="10" t="str">
        <f>IFERROR(__xludf.DUMMYFUNCTION("GOOGLETRANSLATE(B94, ""en"", ""bn"")"),"গ্রামীণ যুবকদের সামাজিক জীবনে গোল্লা চুট কোন ঐতিহাসিক ভূমিকা পালন করেছিল?")</f>
        <v>গ্রামীণ যুবকদের সামাজিক জীবনে গোল্লা চুট কোন ঐতিহাসিক ভূমিকা পালন করেছিল?</v>
      </c>
      <c r="L94" s="10" t="str">
        <f>IFERROR(__xludf.DUMMYFUNCTION("GOOGLETRANSLATE(C94, ""en"", ""bn"")"),"ক) এটি ছিল বিবাহের একটি আচার, খ) এটি ছিল বিবাহ-বিচ্ছেদের একটি আচার, গ) এটি ছিল ডেটিং এর একটি রূপ, ঘ) এটি ছিল বন্ধুত্ব তৈরি এবং সামাজিকীকরণের একটি উপায়।")</f>
        <v>ক) এটি ছিল বিবাহের একটি আচার, খ) এটি ছিল বিবাহ-বিচ্ছেদের একটি আচার, গ) এটি ছিল ডেটিং এর একটি রূপ, ঘ) এটি ছিল বন্ধুত্ব তৈরি এবং সামাজিকীকরণের একটি উপায়।</v>
      </c>
      <c r="M94" s="10" t="str">
        <f>IFERROR(__xludf.DUMMYFUNCTION("GOOGLETRANSLATE(D94, ""en"", ""bn"")"),"ঘ) এটি ছিল বন্ধুত্ব তৈরি এবং সামাজিকীকরণের একটি উপায়")</f>
        <v>ঘ) এটি ছিল বন্ধুত্ব তৈরি এবং সামাজিকীকরণের একটি উপায়</v>
      </c>
      <c r="N94" s="10" t="str">
        <f>IFERROR(__xludf.DUMMYFUNCTION("GOOGLETRANSLATE(E94, ""en"", ""bn"")"),"এই খেলাটি তরুণদের মধ্যে যোগাযোগ, বন্ধুত্ব গড়ে তোলা এবং সামাজিক দক্ষতা বিকাশের জন্য একটি গুরুত্বপূর্ণ প্ল্যাটফর্ম প্রদান করেছিল।")</f>
        <v>এই খেলাটি তরুণদের মধ্যে যোগাযোগ, বন্ধুত্ব গড়ে তোলা এবং সামাজিক দক্ষতা বিকাশের জন্য একটি গুরুত্বপূর্ণ প্ল্যাটফর্ম প্রদান করেছিল।</v>
      </c>
    </row>
    <row r="95">
      <c r="A95" s="7">
        <v>94.0</v>
      </c>
      <c r="B95" s="7" t="s">
        <v>1349</v>
      </c>
      <c r="C95" s="7" t="s">
        <v>1350</v>
      </c>
      <c r="D95" s="7" t="s">
        <v>1351</v>
      </c>
      <c r="E95" s="7" t="s">
        <v>1352</v>
      </c>
      <c r="J95" s="10" t="str">
        <f>IFERROR(__xludf.DUMMYFUNCTION("GOOGLETRANSLATE(A95, ""en"", ""bn"")"),"৯৪")</f>
        <v>৯৪</v>
      </c>
      <c r="K95" s="10" t="str">
        <f>IFERROR(__xludf.DUMMYFUNCTION("GOOGLETRANSLATE(B95, ""en"", ""bn"")"),"গোল্লা চুট বাদকদের ঐতিহ্যবাহী পোশাক কী ছিল?")</f>
        <v>গোল্লা চুট বাদকদের ঐতিহ্যবাহী পোশাক কী ছিল?</v>
      </c>
      <c r="L95" s="10" t="str">
        <f>IFERROR(__xludf.DUMMYFUNCTION("GOOGLETRANSLATE(C95, ""en"", ""bn"")"),"ক) নির্দিষ্ট জার্সি, খ) আধুনিক স্পোর্টসওয়্যার, গ) ঢিলেঢালা পোশাক, ঘ) খালি বুকের পোশাক")</f>
        <v>ক) নির্দিষ্ট জার্সি, খ) আধুনিক স্পোর্টসওয়্যার, গ) ঢিলেঢালা পোশাক, ঘ) খালি বুকের পোশাক</v>
      </c>
      <c r="M95" s="10" t="str">
        <f>IFERROR(__xludf.DUMMYFUNCTION("GOOGLETRANSLATE(D95, ""en"", ""bn"")"),"গ) ঢিলেঢালা পোশাক")</f>
        <v>গ) ঢিলেঢালা পোশাক</v>
      </c>
      <c r="N95" s="10" t="str">
        <f>IFERROR(__xludf.DUMMYFUNCTION("GOOGLETRANSLATE(E95, ""en"", ""bn"")"),"খেলোয়াড়রা ঐতিহ্যগতভাবে সহজ, ঢিলেঢালা পোশাক পরতেন যা চলাফেরার স্বাধীনতা প্রদান করত।")</f>
        <v>খেলোয়াড়রা ঐতিহ্যগতভাবে সহজ, ঢিলেঢালা পোশাক পরতেন যা চলাফেরার স্বাধীনতা প্রদান করত।</v>
      </c>
    </row>
    <row r="96">
      <c r="A96" s="7">
        <v>95.0</v>
      </c>
      <c r="B96" s="7" t="s">
        <v>1353</v>
      </c>
      <c r="C96" s="7" t="s">
        <v>1354</v>
      </c>
      <c r="D96" s="7" t="s">
        <v>1355</v>
      </c>
      <c r="E96" s="7" t="s">
        <v>1356</v>
      </c>
      <c r="J96" s="10" t="str">
        <f>IFERROR(__xludf.DUMMYFUNCTION("GOOGLETRANSLATE(A96, ""en"", ""bn"")"),"৯৫")</f>
        <v>৯৫</v>
      </c>
      <c r="K96" s="10" t="str">
        <f>IFERROR(__xludf.DUMMYFUNCTION("GOOGLETRANSLATE(B96, ""en"", ""bn"")"),"ঐতিহাসিক প্রেক্ষাপটে, গোল্লা চুটে একজন খেলোয়াড়ের দক্ষতা কীসের প্রতীক ছিল?")</f>
        <v>ঐতিহাসিক প্রেক্ষাপটে, গোল্লা চুটে একজন খেলোয়াড়ের দক্ষতা কীসের প্রতীক ছিল?</v>
      </c>
      <c r="L96" s="10" t="str">
        <f>IFERROR(__xludf.DUMMYFUNCTION("GOOGLETRANSLATE(C96, ""en"", ""bn"")"),"ক) তার সামাজিক মর্যাদা, খ) তার সম্পদ, গ) তার শারীরিক সুস্থতা এবং সাহস, ঘ) তার বুদ্ধিমত্তা")</f>
        <v>ক) তার সামাজিক মর্যাদা, খ) তার সম্পদ, গ) তার শারীরিক সুস্থতা এবং সাহস, ঘ) তার বুদ্ধিমত্তা</v>
      </c>
      <c r="M96" s="10" t="str">
        <f>IFERROR(__xludf.DUMMYFUNCTION("GOOGLETRANSLATE(D96, ""en"", ""bn"")"),"গ) তার শারীরিক সুস্থতা এবং সাহস")</f>
        <v>গ) তার শারীরিক সুস্থতা এবং সাহস</v>
      </c>
      <c r="N96" s="10" t="str">
        <f>IFERROR(__xludf.DUMMYFUNCTION("GOOGLETRANSLATE(E96, ""en"", ""bn"")"),"একজন দক্ষ খেলোয়াড়কে প্রতিপক্ষ দলের মুখোমুখি হয়ে তার শারীরিক সুস্থতা, গতি এবং সাহসের জন্য সম্মান করা হত।")</f>
        <v>একজন দক্ষ খেলোয়াড়কে প্রতিপক্ষ দলের মুখোমুখি হয়ে তার শারীরিক সুস্থতা, গতি এবং সাহসের জন্য সম্মান করা হত।</v>
      </c>
    </row>
    <row r="97">
      <c r="A97" s="7">
        <v>96.0</v>
      </c>
      <c r="B97" s="7" t="s">
        <v>1357</v>
      </c>
      <c r="C97" s="7" t="s">
        <v>1358</v>
      </c>
      <c r="D97" s="7" t="s">
        <v>1359</v>
      </c>
      <c r="E97" s="7" t="s">
        <v>1360</v>
      </c>
      <c r="J97" s="10" t="str">
        <f>IFERROR(__xludf.DUMMYFUNCTION("GOOGLETRANSLATE(A97, ""en"", ""bn"")"),"৯৬")</f>
        <v>৯৬</v>
      </c>
      <c r="K97" s="10" t="str">
        <f>IFERROR(__xludf.DUMMYFUNCTION("GOOGLETRANSLATE(B97, ""en"", ""bn"")"),"গোল্লা চুটে নিয়মকানুন আনুষ্ঠানিকীকরণের দিকে কোন ঐতিহাসিক পরিবর্তনের দিকে পরিচালিত করেছিল?")</f>
        <v>গোল্লা চুটে নিয়মকানুন আনুষ্ঠানিকীকরণের দিকে কোন ঐতিহাসিক পরিবর্তনের দিকে পরিচালিত করেছিল?</v>
      </c>
      <c r="L97" s="10" t="str">
        <f>IFERROR(__xludf.DUMMYFUNCTION("GOOGLETRANSLATE(C97, ""en"", ""bn"")"),"ক) মিডিয়া কভারেজ, খ) সরকারি আগ্রহ, গ) ক্রীড়া ফেডারেশন প্রতিষ্ঠা, ঘ) নগর অভিবাসন")</f>
        <v>ক) মিডিয়া কভারেজ, খ) সরকারি আগ্রহ, গ) ক্রীড়া ফেডারেশন প্রতিষ্ঠা, ঘ) নগর অভিবাসন</v>
      </c>
      <c r="M97" s="10" t="str">
        <f>IFERROR(__xludf.DUMMYFUNCTION("GOOGLETRANSLATE(D97, ""en"", ""bn"")"),"গ) ক্রীড়া ফেডারেশন প্রতিষ্ঠা")</f>
        <v>গ) ক্রীড়া ফেডারেশন প্রতিষ্ঠা</v>
      </c>
      <c r="N97" s="10" t="str">
        <f>IFERROR(__xludf.DUMMYFUNCTION("GOOGLETRANSLATE(E97, ""en"", ""bn"")"),"বাংলাদেশে ক্রীড়া ফেডারেশন প্রতিষ্ঠার ফলে টুর্নামেন্ট আয়োজনের জন্য মানসম্মত নিয়মকানুন প্রণয়নের প্রয়োজনীয়তা দেখা দেয়।")</f>
        <v>বাংলাদেশে ক্রীড়া ফেডারেশন প্রতিষ্ঠার ফলে টুর্নামেন্ট আয়োজনের জন্য মানসম্মত নিয়মকানুন প্রণয়নের প্রয়োজনীয়তা দেখা দেয়।</v>
      </c>
    </row>
    <row r="98">
      <c r="A98" s="7">
        <v>97.0</v>
      </c>
      <c r="B98" s="7" t="s">
        <v>1361</v>
      </c>
      <c r="C98" s="7" t="s">
        <v>1362</v>
      </c>
      <c r="D98" s="7" t="s">
        <v>1363</v>
      </c>
      <c r="E98" s="7" t="s">
        <v>1364</v>
      </c>
      <c r="J98" s="10" t="str">
        <f>IFERROR(__xludf.DUMMYFUNCTION("GOOGLETRANSLATE(A98, ""en"", ""bn"")"),"৯৭")</f>
        <v>৯৭</v>
      </c>
      <c r="K98" s="10" t="str">
        <f>IFERROR(__xludf.DUMMYFUNCTION("GOOGLETRANSLATE(B98, ""en"", ""bn"")"),"গোল্লা চুটে মাটিতে আঁকা বৃত্তটি ঐতিহাসিকভাবে কীসের প্রতিনিধিত্ব করে?")</f>
        <v>গোল্লা চুটে মাটিতে আঁকা বৃত্তটি ঐতিহাসিকভাবে কীসের প্রতিনিধিত্ব করে?</v>
      </c>
      <c r="L98" s="10" t="str">
        <f>IFERROR(__xludf.DUMMYFUNCTION("GOOGLETRANSLATE(C98, ""en"", ""bn"")"),"ক) সীমানা, খ) লক্ষ্য এলাকা, গ) ""বাড়ি"" বা নিরাপদ অঞ্চল, ঘ) গ্রামের কেন্দ্র")</f>
        <v>ক) সীমানা, খ) লক্ষ্য এলাকা, গ) "বাড়ি" বা নিরাপদ অঞ্চল, ঘ) গ্রামের কেন্দ্র</v>
      </c>
      <c r="M98" s="10" t="str">
        <f>IFERROR(__xludf.DUMMYFUNCTION("GOOGLETRANSLATE(D98, ""en"", ""bn"")"),"গ) ""বাড়ি"" বা নিরাপদ অঞ্চল")</f>
        <v>গ) "বাড়ি" বা নিরাপদ অঞ্চল</v>
      </c>
      <c r="N98" s="10" t="str">
        <f>IFERROR(__xludf.DUMMYFUNCTION("GOOGLETRANSLATE(E98, ""en"", ""bn"")"),"এই বৃত্তটি ডিফেন্ডিং দলের খেলোয়াড়দের জন্য একটি নিরাপদ অঞ্চল হিসেবে কাজ করত, যেখান থেকে তাদের ট্যাগ করা যেত না।")</f>
        <v>এই বৃত্তটি ডিফেন্ডিং দলের খেলোয়াড়দের জন্য একটি নিরাপদ অঞ্চল হিসেবে কাজ করত, যেখান থেকে তাদের ট্যাগ করা যেত না।</v>
      </c>
    </row>
    <row r="99">
      <c r="A99" s="7">
        <v>98.0</v>
      </c>
      <c r="B99" s="7" t="s">
        <v>1365</v>
      </c>
      <c r="C99" s="7" t="s">
        <v>1366</v>
      </c>
      <c r="D99" s="7" t="s">
        <v>1367</v>
      </c>
      <c r="E99" s="7" t="s">
        <v>1368</v>
      </c>
      <c r="J99" s="10" t="str">
        <f>IFERROR(__xludf.DUMMYFUNCTION("GOOGLETRANSLATE(A99, ""en"", ""bn"")"),"৯৮")</f>
        <v>৯৮</v>
      </c>
      <c r="K99" s="10" t="str">
        <f>IFERROR(__xludf.DUMMYFUNCTION("GOOGLETRANSLATE(B99, ""en"", ""bn"")"),"গোল্লা চুটের ঐতিহাসিক গুরুত্ব প্রতিযোগিতার কোন দিকের উপর ছিল?")</f>
        <v>গোল্লা চুটের ঐতিহাসিক গুরুত্ব প্রতিযোগিতার কোন দিকের উপর ছিল?</v>
      </c>
      <c r="L99" s="10" t="str">
        <f>IFERROR(__xludf.DUMMYFUNCTION("GOOGLETRANSLATE(C99, ""en"", ""bn"")"),"ক) যেকোনো মূল্যে জয়লাভ, খ) ন্যায্য খেলা এবং সম্মান, গ) ব্যক্তিগত গৌরব, ঘ) আর্থিক লাভ")</f>
        <v>ক) যেকোনো মূল্যে জয়লাভ, খ) ন্যায্য খেলা এবং সম্মান, গ) ব্যক্তিগত গৌরব, ঘ) আর্থিক লাভ</v>
      </c>
      <c r="M99" s="10" t="str">
        <f>IFERROR(__xludf.DUMMYFUNCTION("GOOGLETRANSLATE(D99, ""en"", ""bn"")"),"খ) ন্যায্যতা এবং সম্মান")</f>
        <v>খ) ন্যায্যতা এবং সম্মান</v>
      </c>
      <c r="N99" s="10" t="str">
        <f>IFERROR(__xludf.DUMMYFUNCTION("GOOGLETRANSLATE(E99, ""en"", ""bn"")"),"ঐতিহাসিকভাবে খেলাটি ন্যায্য খেলা, ক্রীড়ানুরাগী মনোভাব এবং ব্যক্তিগত সম্মানের উপর জোর দিয়ে খেলা হত।")</f>
        <v>ঐতিহাসিকভাবে খেলাটি ন্যায্য খেলা, ক্রীড়ানুরাগী মনোভাব এবং ব্যক্তিগত সম্মানের উপর জোর দিয়ে খেলা হত।</v>
      </c>
    </row>
    <row r="100">
      <c r="A100" s="7">
        <v>99.0</v>
      </c>
      <c r="B100" s="7" t="s">
        <v>1369</v>
      </c>
      <c r="C100" s="7" t="s">
        <v>1370</v>
      </c>
      <c r="D100" s="7" t="s">
        <v>1371</v>
      </c>
      <c r="E100" s="7" t="s">
        <v>1372</v>
      </c>
      <c r="J100" s="10" t="str">
        <f>IFERROR(__xludf.DUMMYFUNCTION("GOOGLETRANSLATE(A100, ""en"", ""bn"")"),"৯৯")</f>
        <v>৯৯</v>
      </c>
      <c r="K100" s="10" t="str">
        <f>IFERROR(__xludf.DUMMYFUNCTION("GOOGLETRANSLATE(B100, ""en"", ""bn"")"),"'গোল্লা' (লক্ষ্য) কাঠের খুঁটি হওয়ার ঐতিহাসিক তাৎপর্য কী ছিল?")</f>
        <v>'গোল্লা' (লক্ষ্য) কাঠের খুঁটি হওয়ার ঐতিহাসিক তাৎপর্য কী ছিল?</v>
      </c>
      <c r="L100" s="10" t="str">
        <f>IFERROR(__xludf.DUMMYFUNCTION("GOOGLETRANSLATE(C100, ""en"", ""bn"")"),"ক) এটি সহজেই প্রতিস্থাপনযোগ্য ছিল, খ) এটি একটি ধর্মীয় প্রতীক ছিল, গ) এটি সম্প্রদায়ের শক্তির প্রতীক ছিল, ঘ) এটি একটি গাছের প্রতিনিধিত্ব করত")</f>
        <v>ক) এটি সহজেই প্রতিস্থাপনযোগ্য ছিল, খ) এটি একটি ধর্মীয় প্রতীক ছিল, গ) এটি সম্প্রদায়ের শক্তির প্রতীক ছিল, ঘ) এটি একটি গাছের প্রতিনিধিত্ব করত</v>
      </c>
      <c r="M100" s="10" t="str">
        <f>IFERROR(__xludf.DUMMYFUNCTION("GOOGLETRANSLATE(D100, ""en"", ""bn"")"),"ক) এটি সহজেই প্রতিস্থাপনযোগ্য ছিল")</f>
        <v>ক) এটি সহজেই প্রতিস্থাপনযোগ্য ছিল</v>
      </c>
      <c r="N100" s="10" t="str">
        <f>IFERROR(__xludf.DUMMYFUNCTION("GOOGLETRANSLATE(E100, ""en"", ""bn"")"),"একটি সাধারণ কাঠের খুঁটির ব্যবহার গ্রামীণ সম্প্রদায়ের জন্য খেলাটিকে ব্যবহারিক এবং টেকসই করে তুলেছে।")</f>
        <v>একটি সাধারণ কাঠের খুঁটির ব্যবহার গ্রামীণ সম্প্রদায়ের জন্য খেলাটিকে ব্যবহারিক এবং টেকসই করে তুলেছে।</v>
      </c>
    </row>
    <row r="101">
      <c r="A101" s="7">
        <v>100.0</v>
      </c>
      <c r="B101" s="7" t="s">
        <v>1373</v>
      </c>
      <c r="C101" s="7" t="s">
        <v>1374</v>
      </c>
      <c r="D101" s="7" t="s">
        <v>1375</v>
      </c>
      <c r="E101" s="7" t="s">
        <v>1376</v>
      </c>
      <c r="J101" s="10" t="str">
        <f>IFERROR(__xludf.DUMMYFUNCTION("GOOGLETRANSLATE(A101, ""en"", ""bn"")"),"১০০")</f>
        <v>১০০</v>
      </c>
      <c r="K101" s="10" t="str">
        <f>IFERROR(__xludf.DUMMYFUNCTION("GOOGLETRANSLATE(B101, ""en"", ""bn"")"),"গোল্লা চুট এবং আধুনিক কন্টাক্ট স্পোর্টসের মধ্যে মূল ঐতিহাসিক পার্থক্য কী ছিল?")</f>
        <v>গোল্লা চুট এবং আধুনিক কন্টাক্ট স্পোর্টসের মধ্যে মূল ঐতিহাসিক পার্থক্য কী ছিল?</v>
      </c>
      <c r="L101" s="10" t="str">
        <f>IFERROR(__xludf.DUMMYFUNCTION("GOOGLETRANSLATE(C101, ""en"", ""bn"")"),"ক) শারীরিক যোগাযোগের অভাব, খ) জটিল নিয়ম, গ) বলের ব্যবহার, ঘ) বৃহত্তর দল")</f>
        <v>ক) শারীরিক যোগাযোগের অভাব, খ) জটিল নিয়ম, গ) বলের ব্যবহার, ঘ) বৃহত্তর দল</v>
      </c>
      <c r="M101" s="10" t="str">
        <f>IFERROR(__xludf.DUMMYFUNCTION("GOOGLETRANSLATE(D101, ""en"", ""bn"")"),"ক) শারীরিক যোগাযোগের অভাব")</f>
        <v>ক) শারীরিক যোগাযোগের অভাব</v>
      </c>
      <c r="N101" s="10" t="str">
        <f>IFERROR(__xludf.DUMMYFUNCTION("GOOGLETRANSLATE(E101, ""en"", ""bn"")"),"গোল্লা চুট, যদিও শারীরিকভাবে স্পর্শ করা যায় এমন খেলা নয়, এবং এর নিয়মগুলি ঐতিহাসিকভাবে সরাসরি শারীরিক সংস্পর্শ এড়িয়ে চলার উপর জোর দিত।")</f>
        <v>গোল্লা চুট, যদিও শারীরিকভাবে স্পর্শ করা যায় এমন খেলা নয়, এবং এর নিয়মগুলি ঐতিহাসিকভাবে সরাসরি শারীরিক সংস্পর্শ এড়িয়ে চলার উপর জোর দিত।</v>
      </c>
    </row>
    <row r="102">
      <c r="A102" s="7">
        <v>101.0</v>
      </c>
      <c r="B102" s="7" t="s">
        <v>1377</v>
      </c>
      <c r="C102" s="7" t="s">
        <v>1378</v>
      </c>
      <c r="D102" s="7" t="s">
        <v>1379</v>
      </c>
      <c r="E102" s="7" t="s">
        <v>1380</v>
      </c>
      <c r="J102" s="10" t="str">
        <f>IFERROR(__xludf.DUMMYFUNCTION("GOOGLETRANSLATE(A102, ""en"", ""bn"")"),"১০১")</f>
        <v>১০১</v>
      </c>
      <c r="K102" s="10" t="str">
        <f>IFERROR(__xludf.DUMMYFUNCTION("GOOGLETRANSLATE(B102, ""en"", ""bn"")"),"কঠোর পরিশ্রমের চক্রের সমাপ্তি উদযাপনে গোল্লা চুট কোন ঐতিহাসিক ভূমিকা পালন করেছিল?")</f>
        <v>কঠোর পরিশ্রমের চক্রের সমাপ্তি উদযাপনে গোল্লা চুট কোন ঐতিহাসিক ভূমিকা পালন করেছিল?</v>
      </c>
      <c r="L102" s="10" t="str">
        <f>IFERROR(__xludf.DUMMYFUNCTION("GOOGLETRANSLATE(C102, ""en"", ""bn"")"),"ক) এটি ছিল এক ধরণের পারিশ্রমিক, খ) এটি ছিল শ্রমিকদের জন্য একটি পুরষ্কার, গ) এটি ছিল বিনোদনের জন্য একটি সামাজিক কার্যকলাপ, ঘ) এটি ছিল একটি ধর্মীয় আচার-অনুষ্ঠান")</f>
        <v>ক) এটি ছিল এক ধরণের পারিশ্রমিক, খ) এটি ছিল শ্রমিকদের জন্য একটি পুরষ্কার, গ) এটি ছিল বিনোদনের জন্য একটি সামাজিক কার্যকলাপ, ঘ) এটি ছিল একটি ধর্মীয় আচার-অনুষ্ঠান</v>
      </c>
      <c r="M102" s="10" t="str">
        <f>IFERROR(__xludf.DUMMYFUNCTION("GOOGLETRANSLATE(D102, ""en"", ""bn"")"),"গ) এটি ছিল বিনোদনের জন্য একটি সামাজিক কার্যকলাপ")</f>
        <v>গ) এটি ছিল বিনোদনের জন্য একটি সামাজিক কার্যকলাপ</v>
      </c>
      <c r="N102" s="10" t="str">
        <f>IFERROR(__xludf.DUMMYFUNCTION("GOOGLETRANSLATE(E102, ""en"", ""bn"")"),"তীব্র কৃষি শ্রমের পর খেলাটি বিশ্রাম এবং সামাজিক কার্যকলাপের এক রূপ হিসেবে কাজ করত।")</f>
        <v>তীব্র কৃষি শ্রমের পর খেলাটি বিশ্রাম এবং সামাজিক কার্যকলাপের এক রূপ হিসেবে কাজ করত।</v>
      </c>
    </row>
    <row r="103">
      <c r="A103" s="7">
        <v>102.0</v>
      </c>
      <c r="B103" s="7" t="s">
        <v>1381</v>
      </c>
      <c r="C103" s="7" t="s">
        <v>1382</v>
      </c>
      <c r="D103" s="7" t="s">
        <v>1383</v>
      </c>
      <c r="E103" s="7" t="s">
        <v>1384</v>
      </c>
      <c r="J103" s="10" t="str">
        <f>IFERROR(__xludf.DUMMYFUNCTION("GOOGLETRANSLATE(A103, ""en"", ""bn"")"),"১০২")</f>
        <v>১০২</v>
      </c>
      <c r="K103" s="10" t="str">
        <f>IFERROR(__xludf.DUMMYFUNCTION("GOOGLETRANSLATE(B103, ""en"", ""bn"")"),"গোল্লা চুটের উপর বঙ্গভঙ্গের ঐতিহাসিক প্রভাব কী ছিল?")</f>
        <v>গোল্লা চুটের উপর বঙ্গভঙ্গের ঐতিহাসিক প্রভাব কী ছিল?</v>
      </c>
      <c r="L103" s="10" t="str">
        <f>IFERROR(__xludf.DUMMYFUNCTION("GOOGLETRANSLATE(C103, ""en"", ""bn"")"),"ক) এটি এর পতনের দিকে পরিচালিত করেছিল, খ) এটি গেমটির বিভিন্ন সংস্করণ তৈরি করেছিল, গ) এটি গেমটিকে নতুন অঞ্চলে ছড়িয়ে দিয়েছিল, ঘ) এর কোনও প্রভাব ছিল না")</f>
        <v>ক) এটি এর পতনের দিকে পরিচালিত করেছিল, খ) এটি গেমটির বিভিন্ন সংস্করণ তৈরি করেছিল, গ) এটি গেমটিকে নতুন অঞ্চলে ছড়িয়ে দিয়েছিল, ঘ) এর কোনও প্রভাব ছিল না</v>
      </c>
      <c r="M103" s="10" t="str">
        <f>IFERROR(__xludf.DUMMYFUNCTION("GOOGLETRANSLATE(D103, ""en"", ""bn"")"),"খ) এটি গেমের বিভিন্ন সংস্করণ তৈরি করেছে")</f>
        <v>খ) এটি গেমের বিভিন্ন সংস্করণ তৈরি করেছে</v>
      </c>
      <c r="N103" s="10" t="str">
        <f>IFERROR(__xludf.DUMMYFUNCTION("GOOGLETRANSLATE(E103, ""en"", ""bn"")"),"দেশভাগের ফলে পূর্ব ও পশ্চিমবঙ্গ উভয় স্থানেই আঞ্চলিক ভিন্নতা এবং খেলার বিভিন্ন নামকরণ শুরু হয়।")</f>
        <v>দেশভাগের ফলে পূর্ব ও পশ্চিমবঙ্গ উভয় স্থানেই আঞ্চলিক ভিন্নতা এবং খেলার বিভিন্ন নামকরণ শুরু হয়।</v>
      </c>
    </row>
    <row r="104">
      <c r="A104" s="7">
        <v>103.0</v>
      </c>
      <c r="B104" s="7" t="s">
        <v>1385</v>
      </c>
      <c r="C104" s="7" t="s">
        <v>1386</v>
      </c>
      <c r="D104" s="7" t="s">
        <v>1387</v>
      </c>
      <c r="E104" s="7" t="s">
        <v>1388</v>
      </c>
      <c r="J104" s="10" t="str">
        <f>IFERROR(__xludf.DUMMYFUNCTION("GOOGLETRANSLATE(A104, ""en"", ""bn"")"),"১০৩")</f>
        <v>১০৩</v>
      </c>
      <c r="K104" s="10" t="str">
        <f>IFERROR(__xludf.DUMMYFUNCTION("GOOGLETRANSLATE(B104, ""en"", ""bn"")"),"গোল্লা চুটের কোন ঐতিহাসিক দিকটি এটিকে গ্রামীণ এলাকার জন্য উপযুক্ত করে তুলেছে?")</f>
        <v>গোল্লা চুটের কোন ঐতিহাসিক দিকটি এটিকে গ্রামীণ এলাকার জন্য উপযুক্ত করে তুলেছে?</v>
      </c>
      <c r="L104" s="10" t="str">
        <f>IFERROR(__xludf.DUMMYFUNCTION("GOOGLETRANSLATE(C104, ""en"", ""bn"")"),"ক) এর জন্য একটি বৃহৎ, সমতল মাঠ প্রয়োজন ছিল, খ) এটি যেকোনো আবহাওয়ায় খেলা যেত, গ) এটি বিভিন্ন ভূখণ্ডের সাথে সহজেই খাপ খাইয়ে নিতে পারত, ঘ) এর জন্য পেশাদার সরঞ্জামের প্রয়োজন ছিল")</f>
        <v>ক) এর জন্য একটি বৃহৎ, সমতল মাঠ প্রয়োজন ছিল, খ) এটি যেকোনো আবহাওয়ায় খেলা যেত, গ) এটি বিভিন্ন ভূখণ্ডের সাথে সহজেই খাপ খাইয়ে নিতে পারত, ঘ) এর জন্য পেশাদার সরঞ্জামের প্রয়োজন ছিল</v>
      </c>
      <c r="M104" s="10" t="str">
        <f>IFERROR(__xludf.DUMMYFUNCTION("GOOGLETRANSLATE(D104, ""en"", ""bn"")"),"ক) এর জন্য একটি বৃহৎ, সমতল ক্ষেত্র প্রয়োজন ছিল")</f>
        <v>ক) এর জন্য একটি বৃহৎ, সমতল ক্ষেত্র প্রয়োজন ছিল</v>
      </c>
      <c r="N104" s="10" t="str">
        <f>IFERROR(__xludf.DUMMYFUNCTION("GOOGLETRANSLATE(E104, ""en"", ""bn"")"),"গ্রামাঞ্চলে বিশাল, খোলা মাঠের প্রাপ্যতা এটিকে খেলা খেলার জন্য একটি আদর্শ স্থান করে তুলেছে।")</f>
        <v>গ্রামাঞ্চলে বিশাল, খোলা মাঠের প্রাপ্যতা এটিকে খেলা খেলার জন্য একটি আদর্শ স্থান করে তুলেছে।</v>
      </c>
    </row>
    <row r="105">
      <c r="A105" s="7">
        <v>104.0</v>
      </c>
      <c r="B105" s="7" t="s">
        <v>1389</v>
      </c>
      <c r="C105" s="7" t="s">
        <v>1390</v>
      </c>
      <c r="D105" s="7" t="s">
        <v>1391</v>
      </c>
      <c r="E105" s="7" t="s">
        <v>1392</v>
      </c>
      <c r="J105" s="10" t="str">
        <f>IFERROR(__xludf.DUMMYFUNCTION("GOOGLETRANSLATE(A105, ""en"", ""bn"")"),"১০৪")</f>
        <v>১০৪</v>
      </c>
      <c r="K105" s="10" t="str">
        <f>IFERROR(__xludf.DUMMYFUNCTION("GOOGLETRANSLATE(B105, ""en"", ""bn"")"),"ঐতিহাসিক প্রেক্ষাপটে, গোল্লা চুটের একজন 'চ্যাম্পিয়ন' কী জন্য পরিচিত ছিল?")</f>
        <v>ঐতিহাসিক প্রেক্ষাপটে, গোল্লা চুটের একজন 'চ্যাম্পিয়ন' কী জন্য পরিচিত ছিল?</v>
      </c>
      <c r="L105" s="10" t="str">
        <f>IFERROR(__xludf.DUMMYFUNCTION("GOOGLETRANSLATE(C105, ""en"", ""bn"")"),"ক) তার সম্পদ, খ) তার গতি এবং ধূর্ততা, গ) তার নেতৃত্বের দক্ষতা, ঘ) তার শিক্ষা")</f>
        <v>ক) তার সম্পদ, খ) তার গতি এবং ধূর্ততা, গ) তার নেতৃত্বের দক্ষতা, ঘ) তার শিক্ষা</v>
      </c>
      <c r="M105" s="10" t="str">
        <f>IFERROR(__xludf.DUMMYFUNCTION("GOOGLETRANSLATE(D105, ""en"", ""bn"")"),"খ) তার গতি এবং ধূর্ততা")</f>
        <v>খ) তার গতি এবং ধূর্ততা</v>
      </c>
      <c r="N105" s="10" t="str">
        <f>IFERROR(__xludf.DUMMYFUNCTION("GOOGLETRANSLATE(E105, ""en"", ""bn"")"),"একজন চ্যাম্পিয়ন হলেন এমন একজন যিনি ধূর্ততা এবং দ্রুততার সাথে প্রতিপক্ষকে ছাড়িয়ে যেতে পারতেন এবং তাদের হাতছাড়া করে দিতেন।")</f>
        <v>একজন চ্যাম্পিয়ন হলেন এমন একজন যিনি ধূর্ততা এবং দ্রুততার সাথে প্রতিপক্ষকে ছাড়িয়ে যেতে পারতেন এবং তাদের হাতছাড়া করে দিতেন।</v>
      </c>
    </row>
    <row r="106">
      <c r="A106" s="7">
        <v>105.0</v>
      </c>
      <c r="B106" s="7" t="s">
        <v>1393</v>
      </c>
      <c r="C106" s="7" t="s">
        <v>1394</v>
      </c>
      <c r="D106" s="7" t="s">
        <v>1395</v>
      </c>
      <c r="E106" s="7" t="s">
        <v>1396</v>
      </c>
      <c r="J106" s="10" t="str">
        <f>IFERROR(__xludf.DUMMYFUNCTION("GOOGLETRANSLATE(A106, ""en"", ""bn"")"),"১০৫")</f>
        <v>১০৫</v>
      </c>
      <c r="K106" s="10" t="str">
        <f>IFERROR(__xludf.DUMMYFUNCTION("GOOGLETRANSLATE(B106, ""en"", ""bn"")"),"গোল্লা চুট ঐতিহাসিকভাবে শারীরিক সুস্থতায় কীভাবে অবদান রেখেছে?")</f>
        <v>গোল্লা চুট ঐতিহাসিকভাবে শারীরিক সুস্থতায় কীভাবে অবদান রেখেছে?</v>
      </c>
      <c r="L106" s="10" t="str">
        <f>IFERROR(__xludf.DUMMYFUNCTION("GOOGLETRANSLATE(C106, ""en"", ""bn"")"),"ক) এটি ছিল একটি কঠোর অনুশীলন, খ) এটি সামরিক প্রশিক্ষণে সাহায্য করেছিল, গ) এটি তত্পরতা এবং সহনশীলতা বিকাশ করেছিল, ঘ) এটি ছিল এক ধরণের ওজন প্রশিক্ষণ।")</f>
        <v>ক) এটি ছিল একটি কঠোর অনুশীলন, খ) এটি সামরিক প্রশিক্ষণে সাহায্য করেছিল, গ) এটি তত্পরতা এবং সহনশীলতা বিকাশ করেছিল, ঘ) এটি ছিল এক ধরণের ওজন প্রশিক্ষণ।</v>
      </c>
      <c r="M106" s="10" t="str">
        <f>IFERROR(__xludf.DUMMYFUNCTION("GOOGLETRANSLATE(D106, ""en"", ""bn"")"),"গ) এটি তত্পরতা এবং সহনশীলতা বিকাশ করেছে")</f>
        <v>গ) এটি তত্পরতা এবং সহনশীলতা বিকাশ করেছে</v>
      </c>
      <c r="N106" s="10" t="str">
        <f>IFERROR(__xludf.DUMMYFUNCTION("GOOGLETRANSLATE(E106, ""en"", ""bn"")"),"ক্রমাগত দৌড়ানো, তাড়া করা এবং এড়িয়ে চলা খেলোয়াড়দের উচ্চ স্তরের তত্পরতা এবং সহনশীলতা বিকাশে সহায়তা করেছে।")</f>
        <v>ক্রমাগত দৌড়ানো, তাড়া করা এবং এড়িয়ে চলা খেলোয়াড়দের উচ্চ স্তরের তত্পরতা এবং সহনশীলতা বিকাশে সহায়তা করেছে।</v>
      </c>
    </row>
    <row r="107">
      <c r="A107" s="7">
        <v>106.0</v>
      </c>
      <c r="B107" s="7" t="s">
        <v>1397</v>
      </c>
      <c r="C107" s="7" t="s">
        <v>1398</v>
      </c>
      <c r="D107" s="7" t="s">
        <v>1399</v>
      </c>
      <c r="E107" s="7" t="s">
        <v>1400</v>
      </c>
      <c r="J107" s="10" t="str">
        <f>IFERROR(__xludf.DUMMYFUNCTION("GOOGLETRANSLATE(A107, ""en"", ""bn"")"),"১০৬")</f>
        <v>১০৬</v>
      </c>
      <c r="K107" s="10" t="str">
        <f>IFERROR(__xludf.DUMMYFUNCTION("GOOGLETRANSLATE(B107, ""en"", ""bn"")"),"গোল্লা চুট খেলার সময় বিরোধ নিষ্পত্তির ঐতিহ্যবাহী পদ্ধতি কী ছিল?")</f>
        <v>গোল্লা চুট খেলার সময় বিরোধ নিষ্পত্তির ঐতিহ্যবাহী পদ্ধতি কী ছিল?</v>
      </c>
      <c r="L107" s="10" t="str">
        <f>IFERROR(__xludf.DUMMYFUNCTION("GOOGLETRANSLATE(C107, ""en"", ""bn"")"),"ক) লড়াই করে, খ) একজন আনুষ্ঠানিক বিচারককে ডেকে, গ) খেলোয়াড় এবং প্রবীণদের মধ্যে আলোচনার মাধ্যমে, ঘ) মুদ্রা ছুঁড়ে মারার মাধ্যমে")</f>
        <v>ক) লড়াই করে, খ) একজন আনুষ্ঠানিক বিচারককে ডেকে, গ) খেলোয়াড় এবং প্রবীণদের মধ্যে আলোচনার মাধ্যমে, ঘ) মুদ্রা ছুঁড়ে মারার মাধ্যমে</v>
      </c>
      <c r="M107" s="10" t="str">
        <f>IFERROR(__xludf.DUMMYFUNCTION("GOOGLETRANSLATE(D107, ""en"", ""bn"")"),"গ) খেলোয়াড় এবং প্রবীণদের মধ্যে আলোচনার মাধ্যমে")</f>
        <v>গ) খেলোয়াড় এবং প্রবীণদের মধ্যে আলোচনার মাধ্যমে</v>
      </c>
      <c r="N107" s="10" t="str">
        <f>IFERROR(__xludf.DUMMYFUNCTION("GOOGLETRANSLATE(E107, ""en"", ""bn"")"),"সাধারণত সম্মিলিত আলোচনার মাধ্যমে বিরোধ নিষ্পত্তি করা হত, সম্প্রদায়ভিত্তিক দ্বন্দ্ব সমাধানের উপর জোর দেওয়া হত।")</f>
        <v>সাধারণত সম্মিলিত আলোচনার মাধ্যমে বিরোধ নিষ্পত্তি করা হত, সম্প্রদায়ভিত্তিক দ্বন্দ্ব সমাধানের উপর জোর দেওয়া হত।</v>
      </c>
    </row>
    <row r="108">
      <c r="A108" s="7">
        <v>107.0</v>
      </c>
      <c r="B108" s="7" t="s">
        <v>1401</v>
      </c>
      <c r="C108" s="7" t="s">
        <v>1402</v>
      </c>
      <c r="D108" s="7" t="s">
        <v>1403</v>
      </c>
      <c r="E108" s="7" t="s">
        <v>1404</v>
      </c>
      <c r="J108" s="10" t="str">
        <f>IFERROR(__xludf.DUMMYFUNCTION("GOOGLETRANSLATE(A108, ""en"", ""bn"")"),"১০৭")</f>
        <v>১০৭</v>
      </c>
      <c r="K108" s="10" t="str">
        <f>IFERROR(__xludf.DUMMYFUNCTION("GOOGLETRANSLATE(B108, ""en"", ""bn"")"),"ঐতিহাসিকভাবে, গোল্লাছুট গ্রামীণ বাংলাদেশের তরুণদের জন্য কীসের প্রতীক ছিল?")</f>
        <v>ঐতিহাসিকভাবে, গোল্লাছুট গ্রামীণ বাংলাদেশের তরুণদের জন্য কীসের প্রতীক ছিল?</v>
      </c>
      <c r="L108" s="10" t="str">
        <f>IFERROR(__xludf.DUMMYFUNCTION("GOOGLETRANSLATE(C108, ""en"", ""bn"")"),"ক) সম্পদের পথ, খ) শক্তি প্রদর্শন, গ) প্রাপ্তবয়স্ক হওয়ার এক রীতি, ঘ) বিনোদনের এক রূপ")</f>
        <v>ক) সম্পদের পথ, খ) শক্তি প্রদর্শন, গ) প্রাপ্তবয়স্ক হওয়ার এক রীতি, ঘ) বিনোদনের এক রূপ</v>
      </c>
      <c r="M108" s="10" t="str">
        <f>IFERROR(__xludf.DUMMYFUNCTION("GOOGLETRANSLATE(D108, ""en"", ""bn"")"),"ঘ) বিনোদনের একটি রূপ")</f>
        <v>ঘ) বিনোদনের একটি রূপ</v>
      </c>
      <c r="N108" s="10" t="str">
        <f>IFERROR(__xludf.DUMMYFUNCTION("GOOGLETRANSLATE(E108, ""en"", ""bn"")"),"তরুণদের জন্য, খেলাটি ছিল বিনোদনের একটি প্রধান উৎস এবং সময় কাটানোর একটি উপায়।")</f>
        <v>তরুণদের জন্য, খেলাটি ছিল বিনোদনের একটি প্রধান উৎস এবং সময় কাটানোর একটি উপায়।</v>
      </c>
    </row>
    <row r="109">
      <c r="A109" s="7">
        <v>108.0</v>
      </c>
      <c r="B109" s="7" t="s">
        <v>1405</v>
      </c>
      <c r="C109" s="7" t="s">
        <v>1406</v>
      </c>
      <c r="D109" s="7" t="s">
        <v>1407</v>
      </c>
      <c r="E109" s="7" t="s">
        <v>1408</v>
      </c>
      <c r="J109" s="10" t="str">
        <f>IFERROR(__xludf.DUMMYFUNCTION("GOOGLETRANSLATE(A109, ""en"", ""bn"")"),"১০৮")</f>
        <v>১০৮</v>
      </c>
      <c r="K109" s="10" t="str">
        <f>IFERROR(__xludf.DUMMYFUNCTION("GOOGLETRANSLATE(B109, ""en"", ""bn"")"),"'গোল্লা চুট' নামটি খেলার কোন দিকের উপর ঐতিহাসিক গুরুত্বারোপ করে?")</f>
        <v>'গোল্লা চুট' নামটি খেলার কোন দিকের উপর ঐতিহাসিক গুরুত্বারোপ করে?</v>
      </c>
      <c r="L109" s="10" t="str">
        <f>IFERROR(__xludf.DUMMYFUNCTION("GOOGLETRANSLATE(C109, ""en"", ""bn"")"),"ক) লক্ষ্য, খ) গতিবিধি, গ) খেলোয়াড়রা, ঘ) মাঠ")</f>
        <v>ক) লক্ষ্য, খ) গতিবিধি, গ) খেলোয়াড়রা, ঘ) মাঠ</v>
      </c>
      <c r="M109" s="10" t="str">
        <f>IFERROR(__xludf.DUMMYFUNCTION("GOOGLETRANSLATE(D109, ""en"", ""bn"")"),"খ) আন্দোলন")</f>
        <v>খ) আন্দোলন</v>
      </c>
      <c r="N109" s="10" t="str">
        <f>IFERROR(__xludf.DUMMYFUNCTION("GOOGLETRANSLATE(E109, ""en"", ""bn"")"),"নামটির সরাসরি অনুবাদ ""বৃত্তাকার দৌড়"", যা চক্কর দেওয়া এবং দৌড়ানোর কেন্দ্রীয় গতিবিধির উপর জোর দেয়।")</f>
        <v>নামটির সরাসরি অনুবাদ "বৃত্তাকার দৌড়", যা চক্কর দেওয়া এবং দৌড়ানোর কেন্দ্রীয় গতিবিধির উপর জোর দেয়।</v>
      </c>
    </row>
    <row r="110">
      <c r="A110" s="7">
        <v>109.0</v>
      </c>
      <c r="B110" s="7" t="s">
        <v>1409</v>
      </c>
      <c r="C110" s="7" t="s">
        <v>1410</v>
      </c>
      <c r="D110" s="7" t="s">
        <v>1411</v>
      </c>
      <c r="E110" s="7" t="s">
        <v>1412</v>
      </c>
      <c r="J110" s="10" t="str">
        <f>IFERROR(__xludf.DUMMYFUNCTION("GOOGLETRANSLATE(A110, ""en"", ""bn"")"),"১০৯")</f>
        <v>১০৯</v>
      </c>
      <c r="K110" s="10" t="str">
        <f>IFERROR(__xludf.DUMMYFUNCTION("GOOGLETRANSLATE(B110, ""en"", ""bn"")"),"প্রাক-আধুনিক যুগে গোল্লা চুট টুর্নামেন্ট কোন ঐতিহাসিক ভূমিকা পালন করত?")</f>
        <v>প্রাক-আধুনিক যুগে গোল্লা চুট টুর্নামেন্ট কোন ঐতিহাসিক ভূমিকা পালন করত?</v>
      </c>
      <c r="L110" s="10" t="str">
        <f>IFERROR(__xludf.DUMMYFUNCTION("GOOGLETRANSLATE(C110, ""en"", ""bn"")"),"ক) পেশাদার ক্রীড়া অনুষ্ঠান, খ) সামাজিক সমাবেশ এবং উৎসব, গ) রাজনৈতিক সমাবেশ, ঘ) ধর্মীয় অনুষ্ঠান")</f>
        <v>ক) পেশাদার ক্রীড়া অনুষ্ঠান, খ) সামাজিক সমাবেশ এবং উৎসব, গ) রাজনৈতিক সমাবেশ, ঘ) ধর্মীয় অনুষ্ঠান</v>
      </c>
      <c r="M110" s="10" t="str">
        <f>IFERROR(__xludf.DUMMYFUNCTION("GOOGLETRANSLATE(D110, ""en"", ""bn"")"),"খ) সামাজিক সমাবেশ এবং উৎসব")</f>
        <v>খ) সামাজিক সমাবেশ এবং উৎসব</v>
      </c>
      <c r="N110" s="10" t="str">
        <f>IFERROR(__xludf.DUMMYFUNCTION("GOOGLETRANSLATE(E110, ""en"", ""bn"")"),"টুর্নামেন্টগুলি ছিল প্রধান সামাজিক অনুষ্ঠান, যা পার্শ্ববর্তী গ্রামগুলি থেকে ভিড় জমাত এবং সম্প্রদায়ের উৎসবগুলির কেন্দ্রবিন্দু হিসেবে কাজ করত।")</f>
        <v>টুর্নামেন্টগুলি ছিল প্রধান সামাজিক অনুষ্ঠান, যা পার্শ্ববর্তী গ্রামগুলি থেকে ভিড় জমাত এবং সম্প্রদায়ের উৎসবগুলির কেন্দ্রবিন্দু হিসেবে কাজ করত।</v>
      </c>
    </row>
    <row r="111">
      <c r="A111" s="7">
        <v>110.0</v>
      </c>
      <c r="B111" s="7" t="s">
        <v>1413</v>
      </c>
      <c r="C111" s="7" t="s">
        <v>1414</v>
      </c>
      <c r="D111" s="7" t="s">
        <v>1415</v>
      </c>
      <c r="E111" s="7" t="s">
        <v>1416</v>
      </c>
      <c r="J111" s="10" t="str">
        <f>IFERROR(__xludf.DUMMYFUNCTION("GOOGLETRANSLATE(A111, ""en"", ""bn"")"),"১১০")</f>
        <v>১১০</v>
      </c>
      <c r="K111" s="10" t="str">
        <f>IFERROR(__xludf.DUMMYFUNCTION("GOOGLETRANSLATE(B111, ""en"", ""bn"")"),"খোলা জায়গায় গোল্লা চুট খেলার ঐতিহাসিক তাৎপর্য কী ছিল?")</f>
        <v>খোলা জায়গায় গোল্লা চুট খেলার ঐতিহাসিক তাৎপর্য কী ছিল?</v>
      </c>
      <c r="L111" s="10" t="str">
        <f>IFERROR(__xludf.DUMMYFUNCTION("GOOGLETRANSLATE(C111, ""en"", ""bn"")"),"ক) এটি ছিল সম্পদের প্রতীক, খ) এটি আরও বেশি দর্শকের জন্য সুযোগ করে দিয়েছিল, গ) এটি স্বাধীনতা এবং অবসরের প্রতীক, ঘ) এটি ছিল নিরাপত্তার কারণে")</f>
        <v>ক) এটি ছিল সম্পদের প্রতীক, খ) এটি আরও বেশি দর্শকের জন্য সুযোগ করে দিয়েছিল, গ) এটি স্বাধীনতা এবং অবসরের প্রতীক, ঘ) এটি ছিল নিরাপত্তার কারণে</v>
      </c>
      <c r="M111" s="10" t="str">
        <f>IFERROR(__xludf.DUMMYFUNCTION("GOOGLETRANSLATE(D111, ""en"", ""bn"")"),"গ) এর অর্থ স্বাধীনতা এবং অবসর")</f>
        <v>গ) এর অর্থ স্বাধীনতা এবং অবসর</v>
      </c>
      <c r="N111" s="10" t="str">
        <f>IFERROR(__xludf.DUMMYFUNCTION("GOOGLETRANSLATE(E111, ""en"", ""bn"")"),"ফসল কাটার পর খোলা জায়গায় খেলাধুলা ঐতিহাসিকভাবে শ্রম এবং অবসর থেকে মুক্তির সময়ের প্রতীক।")</f>
        <v>ফসল কাটার পর খোলা জায়গায় খেলাধুলা ঐতিহাসিকভাবে শ্রম এবং অবসর থেকে মুক্তির সময়ের প্রতীক।</v>
      </c>
    </row>
    <row r="112">
      <c r="A112" s="7">
        <v>111.0</v>
      </c>
      <c r="B112" s="7" t="s">
        <v>1417</v>
      </c>
      <c r="C112" s="7" t="s">
        <v>1418</v>
      </c>
      <c r="D112" s="7" t="s">
        <v>1419</v>
      </c>
      <c r="E112" s="7" t="s">
        <v>1420</v>
      </c>
      <c r="J112" s="10" t="str">
        <f>IFERROR(__xludf.DUMMYFUNCTION("GOOGLETRANSLATE(A112, ""en"", ""bn"")"),"১১১")</f>
        <v>১১১</v>
      </c>
      <c r="K112" s="10" t="str">
        <f>IFERROR(__xludf.DUMMYFUNCTION("GOOGLETRANSLATE(B112, ""en"", ""bn"")"),"যে গ্রামের গোল্লা চুট দল চ্যাম্পিয়ন হয়েছিল, তাদের ঐতিহাসিক পুরষ্কার কী ছিল?")</f>
        <v>যে গ্রামের গোল্লা চুট দল চ্যাম্পিয়ন হয়েছিল, তাদের ঐতিহাসিক পুরষ্কার কী ছিল?</v>
      </c>
      <c r="L112" s="10" t="str">
        <f>IFERROR(__xludf.DUMMYFUNCTION("GOOGLETRANSLATE(C112, ""en"", ""bn"")"),"ক) একটি ট্রফি, খ) সম্মান ও মর্যাদা, গ) আর্থিক অনুদান, ঘ) একটি নতুন গ্রামের স্মৃতিস্তম্ভ")</f>
        <v>ক) একটি ট্রফি, খ) সম্মান ও মর্যাদা, গ) আর্থিক অনুদান, ঘ) একটি নতুন গ্রামের স্মৃতিস্তম্ভ</v>
      </c>
      <c r="M112" s="10" t="str">
        <f>IFERROR(__xludf.DUMMYFUNCTION("GOOGLETRANSLATE(D112, ""en"", ""bn"")"),"খ) সম্মান এবং মর্যাদা")</f>
        <v>খ) সম্মান এবং মর্যাদা</v>
      </c>
      <c r="N112" s="10" t="str">
        <f>IFERROR(__xludf.DUMMYFUNCTION("GOOGLETRANSLATE(E112, ""en"", ""bn"")"),"গ্রামটি এই অঞ্চলে অপরিসীম সম্মান এবং মর্যাদা অর্জন করবে এবং এর খেলোয়াড়রা প্রশংসিত হবে।")</f>
        <v>গ্রামটি এই অঞ্চলে অপরিসীম সম্মান এবং মর্যাদা অর্জন করবে এবং এর খেলোয়াড়রা প্রশংসিত হবে।</v>
      </c>
    </row>
    <row r="113">
      <c r="A113" s="7">
        <v>112.0</v>
      </c>
      <c r="B113" s="7" t="s">
        <v>1421</v>
      </c>
      <c r="C113" s="7" t="s">
        <v>1422</v>
      </c>
      <c r="D113" s="7" t="s">
        <v>1423</v>
      </c>
      <c r="E113" s="7" t="s">
        <v>1424</v>
      </c>
      <c r="J113" s="10" t="str">
        <f>IFERROR(__xludf.DUMMYFUNCTION("GOOGLETRANSLATE(A113, ""en"", ""bn"")"),"১১২")</f>
        <v>১১২</v>
      </c>
      <c r="K113" s="10" t="str">
        <f>IFERROR(__xludf.DUMMYFUNCTION("GOOGLETRANSLATE(B113, ""en"", ""bn"")"),"ঐতিহাসিক গোল্লা চুট নিয়মের অনানুষ্ঠানিক প্রকৃতির অর্থ কী?")</f>
        <v>ঐতিহাসিক গোল্লা চুট নিয়মের অনানুষ্ঠানিক প্রকৃতির অর্থ কী?</v>
      </c>
      <c r="L113" s="10" t="str">
        <f>IFERROR(__xludf.DUMMYFUNCTION("GOOGLETRANSLATE(C113, ""en"", ""bn"")"),"ক) তারা গুরুতর ছিল না, খ) তারা নমনীয় ছিল এবং অঞ্চলভেদে বৈচিত্র্যপূর্ণ ছিল, গ) তারা খুব জটিল ছিল, ঘ) কোনও নিয়ম ছিল না")</f>
        <v>ক) তারা গুরুতর ছিল না, খ) তারা নমনীয় ছিল এবং অঞ্চলভেদে বৈচিত্র্যপূর্ণ ছিল, গ) তারা খুব জটিল ছিল, ঘ) কোনও নিয়ম ছিল না</v>
      </c>
      <c r="M113" s="10" t="str">
        <f>IFERROR(__xludf.DUMMYFUNCTION("GOOGLETRANSLATE(D113, ""en"", ""bn"")"),"খ) তারা নমনীয় এবং অঞ্চলভেদে বৈচিত্র্যময় ছিল")</f>
        <v>খ) তারা নমনীয় এবং অঞ্চলভেদে বৈচিত্র্যময় ছিল</v>
      </c>
      <c r="N113" s="10" t="str">
        <f>IFERROR(__xludf.DUMMYFUNCTION("GOOGLETRANSLATE(E113, ""en"", ""bn"")"),"নিয়মগুলি লিখিত ছিল না এবং মৌখিকভাবে পাস করা হয়েছিল, যার ফলে বিভিন্ন অঞ্চলে খেলাটি কীভাবে খেলা হত তাতে ভিন্নতা দেখা দেয়।")</f>
        <v>নিয়মগুলি লিখিত ছিল না এবং মৌখিকভাবে পাস করা হয়েছিল, যার ফলে বিভিন্ন অঞ্চলে খেলাটি কীভাবে খেলা হত তাতে ভিন্নতা দেখা দেয়।</v>
      </c>
    </row>
    <row r="114">
      <c r="A114" s="7">
        <v>113.0</v>
      </c>
      <c r="B114" s="7" t="s">
        <v>1425</v>
      </c>
      <c r="C114" s="7" t="s">
        <v>1426</v>
      </c>
      <c r="D114" s="7" t="s">
        <v>1427</v>
      </c>
      <c r="E114" s="7" t="s">
        <v>1428</v>
      </c>
      <c r="J114" s="10" t="str">
        <f>IFERROR(__xludf.DUMMYFUNCTION("GOOGLETRANSLATE(A114, ""en"", ""bn"")"),"১১৩")</f>
        <v>১১৩</v>
      </c>
      <c r="K114" s="10" t="str">
        <f>IFERROR(__xludf.DUMMYFUNCTION("GOOGLETRANSLATE(B114, ""en"", ""bn"")"),"গোল্লা চুট খেলার ধরণে কোন ঐতিহাসিক পরিবর্তন প্রভাব ফেলেছিল?")</f>
        <v>গোল্লা চুট খেলার ধরণে কোন ঐতিহাসিক পরিবর্তন প্রভাব ফেলেছিল?</v>
      </c>
      <c r="L114" s="10" t="str">
        <f>IFERROR(__xludf.DUMMYFUNCTION("GOOGLETRANSLATE(C114, ""en"", ""bn"")"),"ক) নতুন যন্ত্রপাতির আবিষ্কার, খ) কাদা থেকে ঘাসের মাঠে স্থানান্তর, গ) আধুনিক স্কোরিংয়ের প্রবর্তন, ঘ) ক্রীড়া ক্লাবের উত্থান")</f>
        <v>ক) নতুন যন্ত্রপাতির আবিষ্কার, খ) কাদা থেকে ঘাসের মাঠে স্থানান্তর, গ) আধুনিক স্কোরিংয়ের প্রবর্তন, ঘ) ক্রীড়া ক্লাবের উত্থান</v>
      </c>
      <c r="M114" s="10" t="str">
        <f>IFERROR(__xludf.DUMMYFUNCTION("GOOGLETRANSLATE(D114, ""en"", ""bn"")"),"ঘ) স্পোর্টস ক্লাবের উত্থান")</f>
        <v>ঘ) স্পোর্টস ক্লাবের উত্থান</v>
      </c>
      <c r="N114" s="10" t="str">
        <f>IFERROR(__xludf.DUMMYFUNCTION("GOOGLETRANSLATE(E114, ""en"", ""bn"")"),"স্পোর্টস ক্লাব গঠনের ফলে খেলার আরও কাঠামোগত এবং আনুষ্ঠানিক সংস্করণ তৈরি হয়।")</f>
        <v>স্পোর্টস ক্লাব গঠনের ফলে খেলার আরও কাঠামোগত এবং আনুষ্ঠানিক সংস্করণ তৈরি হয়।</v>
      </c>
    </row>
    <row r="115">
      <c r="A115" s="7">
        <v>114.0</v>
      </c>
      <c r="B115" s="7" t="s">
        <v>1429</v>
      </c>
      <c r="C115" s="7" t="s">
        <v>1430</v>
      </c>
      <c r="D115" s="7" t="s">
        <v>1431</v>
      </c>
      <c r="E115" s="7" t="s">
        <v>1432</v>
      </c>
      <c r="J115" s="10" t="str">
        <f>IFERROR(__xludf.DUMMYFUNCTION("GOOGLETRANSLATE(A115, ""en"", ""bn"")"),"১১৪")</f>
        <v>১১৪</v>
      </c>
      <c r="K115" s="10" t="str">
        <f>IFERROR(__xludf.DUMMYFUNCTION("GOOGLETRANSLATE(B115, ""en"", ""bn"")"),"গোল্লা চুটের সাথে গল্প বলার ঐতিহাসিক ভূমিকা কী ছিল?")</f>
        <v>গোল্লা চুটের সাথে গল্প বলার ঐতিহাসিক ভূমিকা কী ছিল?</v>
      </c>
      <c r="L115" s="10" t="str">
        <f>IFERROR(__xludf.DUMMYFUNCTION("GOOGLETRANSLATE(C115, ""en"", ""bn"")"),"ক) কোন গল্প ছিল না, খ) মহান খেলোয়াড় এবং ম্যাচ সম্পর্কে গল্প বলা হত, গ) নিয়ম শেখানোর জন্য গল্প ব্যবহার করা হত, ঘ) খেলার উৎপত্তি সম্পর্কে গল্প বলা হত")</f>
        <v>ক) কোন গল্প ছিল না, খ) মহান খেলোয়াড় এবং ম্যাচ সম্পর্কে গল্প বলা হত, গ) নিয়ম শেখানোর জন্য গল্প ব্যবহার করা হত, ঘ) খেলার উৎপত্তি সম্পর্কে গল্প বলা হত</v>
      </c>
      <c r="M115" s="10" t="str">
        <f>IFERROR(__xludf.DUMMYFUNCTION("GOOGLETRANSLATE(D115, ""en"", ""bn"")"),"খ) দুর্দান্ত খেলোয়াড় এবং ম্যাচ সম্পর্কে গল্প বলা হত")</f>
        <v>খ) দুর্দান্ত খেলোয়াড় এবং ম্যাচ সম্পর্কে গল্প বলা হত</v>
      </c>
      <c r="N115" s="10" t="str">
        <f>IFERROR(__xludf.DUMMYFUNCTION("GOOGLETRANSLATE(E115, ""en"", ""bn"")"),"কিংবদন্তি খেলোয়াড়দের গল্প এবং মহাকাব্যিক ম্যাচগুলি ছড়িয়ে দেওয়া হয়েছিল, যা খেলার লোককাহিনীর অংশ হয়ে উঠেছে।")</f>
        <v>কিংবদন্তি খেলোয়াড়দের গল্প এবং মহাকাব্যিক ম্যাচগুলি ছড়িয়ে দেওয়া হয়েছিল, যা খেলার লোককাহিনীর অংশ হয়ে উঠেছে।</v>
      </c>
    </row>
    <row r="116">
      <c r="A116" s="7">
        <v>115.0</v>
      </c>
      <c r="B116" s="7" t="s">
        <v>1433</v>
      </c>
      <c r="C116" s="7" t="s">
        <v>1434</v>
      </c>
      <c r="D116" s="7" t="s">
        <v>1435</v>
      </c>
      <c r="E116" s="7" t="s">
        <v>1436</v>
      </c>
      <c r="J116" s="10" t="str">
        <f>IFERROR(__xludf.DUMMYFUNCTION("GOOGLETRANSLATE(A116, ""en"", ""bn"")"),"১১৫")</f>
        <v>১১৫</v>
      </c>
      <c r="K116" s="10" t="str">
        <f>IFERROR(__xludf.DUMMYFUNCTION("GOOGLETRANSLATE(B116, ""en"", ""bn"")"),"গোল্লা চুটের ঐতিহাসিক সংস্করণটি প্রায়শই কীসের একটি রূপ হিসেবে বাজানো হত?")</f>
        <v>গোল্লা চুটের ঐতিহাসিক সংস্করণটি প্রায়শই কীসের একটি রূপ হিসেবে বাজানো হত?</v>
      </c>
      <c r="L116" s="10" t="str">
        <f>IFERROR(__xludf.DUMMYFUNCTION("GOOGLETRANSLATE(C116, ""en"", ""bn"")"),"ক) একটি পেশাদার খেলাধুলা, খ) একটি আনুষ্ঠানিক অনুষ্ঠান, গ) একটি অবসর কার্যকলাপ, ঘ) একটি ধর্মীয় অনুশীলন")</f>
        <v>ক) একটি পেশাদার খেলাধুলা, খ) একটি আনুষ্ঠানিক অনুষ্ঠান, গ) একটি অবসর কার্যকলাপ, ঘ) একটি ধর্মীয় অনুশীলন</v>
      </c>
      <c r="M116" s="10" t="str">
        <f>IFERROR(__xludf.DUMMYFUNCTION("GOOGLETRANSLATE(D116, ""en"", ""bn"")"),"গ) একটি অবসর কার্যকলাপ")</f>
        <v>গ) একটি অবসর কার্যকলাপ</v>
      </c>
      <c r="N116" s="10" t="str">
        <f>IFERROR(__xludf.DUMMYFUNCTION("GOOGLETRANSLATE(E116, ""en"", ""bn"")"),"খেলাটি মূলত মানুষের দৈনন্দিন কাজ শেষ করার পর অবসর এবং বিনোদনের এক ধরণের মাধ্যম ছিল।")</f>
        <v>খেলাটি মূলত মানুষের দৈনন্দিন কাজ শেষ করার পর অবসর এবং বিনোদনের এক ধরণের মাধ্যম ছিল।</v>
      </c>
    </row>
    <row r="117">
      <c r="A117" s="7">
        <v>116.0</v>
      </c>
      <c r="B117" s="7" t="s">
        <v>1437</v>
      </c>
      <c r="C117" s="7" t="s">
        <v>1438</v>
      </c>
      <c r="D117" s="7" t="s">
        <v>1439</v>
      </c>
      <c r="E117" s="7" t="s">
        <v>1440</v>
      </c>
      <c r="J117" s="10" t="str">
        <f>IFERROR(__xludf.DUMMYFUNCTION("GOOGLETRANSLATE(A117, ""en"", ""bn"")"),"১১৬")</f>
        <v>১১৬</v>
      </c>
      <c r="K117" s="10" t="str">
        <f>IFERROR(__xludf.DUMMYFUNCTION("GOOGLETRANSLATE(B117, ""en"", ""bn"")"),"গোল্লা চুটের কোন ঐতিহাসিক দিকটি এটিকে সম্প্রদায়ের মধ্যে বন্ধনের অভিজ্ঞতা করে তুলেছে?")</f>
        <v>গোল্লা চুটের কোন ঐতিহাসিক দিকটি এটিকে সম্প্রদায়ের মধ্যে বন্ধনের অভিজ্ঞতা করে তুলেছে?</v>
      </c>
      <c r="L117" s="10" t="str">
        <f>IFERROR(__xludf.DUMMYFUNCTION("GOOGLETRANSLATE(C117, ""en"", ""bn"")"),"ক) প্রতিযোগিতামূলক প্রকৃতি, খ) দলগত কাজ এবং বিশ্বাসের উপর নির্ভরতা, গ) ব্যক্তিগত কর্মক্ষমতা, ঘ) কঠোর নিয়ম")</f>
        <v>ক) প্রতিযোগিতামূলক প্রকৃতি, খ) দলগত কাজ এবং বিশ্বাসের উপর নির্ভরতা, গ) ব্যক্তিগত কর্মক্ষমতা, ঘ) কঠোর নিয়ম</v>
      </c>
      <c r="M117" s="10" t="str">
        <f>IFERROR(__xludf.DUMMYFUNCTION("GOOGLETRANSLATE(D117, ""en"", ""bn"")"),"খ) দলগত কাজ এবং বিশ্বাসের উপর নির্ভরতা")</f>
        <v>খ) দলগত কাজ এবং বিশ্বাসের উপর নির্ভরতা</v>
      </c>
      <c r="N117" s="10" t="str">
        <f>IFERROR(__xludf.DUMMYFUNCTION("GOOGLETRANSLATE(E117, ""en"", ""bn"")"),"এই গেমটির জন্য খেলোয়াড়দের বিশ্বাস এবং একসাথে কাজ করা প্রয়োজন, যা সম্প্রদায়ের বন্ধনকে শক্তিশালী করে।")</f>
        <v>এই গেমটির জন্য খেলোয়াড়দের বিশ্বাস এবং একসাথে কাজ করা প্রয়োজন, যা সম্প্রদায়ের বন্ধনকে শক্তিশালী করে।</v>
      </c>
    </row>
    <row r="118">
      <c r="A118" s="7">
        <v>117.0</v>
      </c>
      <c r="B118" s="7" t="s">
        <v>1441</v>
      </c>
      <c r="C118" s="7" t="s">
        <v>1442</v>
      </c>
      <c r="D118" s="7" t="s">
        <v>1443</v>
      </c>
      <c r="E118" s="7" t="s">
        <v>1444</v>
      </c>
      <c r="J118" s="10" t="str">
        <f>IFERROR(__xludf.DUMMYFUNCTION("GOOGLETRANSLATE(A118, ""en"", ""bn"")"),"১১৭")</f>
        <v>১১৭</v>
      </c>
      <c r="K118" s="10" t="str">
        <f>IFERROR(__xludf.DUMMYFUNCTION("GOOGLETRANSLATE(B118, ""en"", ""bn"")"),"ঐতিহাসিক গোল্লা চুট টুর্নামেন্টগুলি স্থানীয় অর্থনীতিতে কীভাবে অবদান রেখেছে?")</f>
        <v>ঐতিহাসিক গোল্লা চুট টুর্নামেন্টগুলি স্থানীয় অর্থনীতিতে কীভাবে অবদান রেখেছে?</v>
      </c>
      <c r="L118" s="10" t="str">
        <f>IFERROR(__xludf.DUMMYFUNCTION("GOOGLETRANSLATE(C118, ""en"", ""bn"")"),"ক) তারা টিকিট বিক্রির সুযোগ করে দিয়েছিল, খ) তারা অনুষ্ঠানস্থলে খাবার এবং জিনিসপত্র বিক্রির সুযোগ করে দিয়েছিল, গ) তাদের কোনও অর্থনৈতিক প্রভাব ছিল না, ঘ) তারা চাকরির সুযোগ করে দিয়েছিল")</f>
        <v>ক) তারা টিকিট বিক্রির সুযোগ করে দিয়েছিল, খ) তারা অনুষ্ঠানস্থলে খাবার এবং জিনিসপত্র বিক্রির সুযোগ করে দিয়েছিল, গ) তাদের কোনও অর্থনৈতিক প্রভাব ছিল না, ঘ) তারা চাকরির সুযোগ করে দিয়েছিল</v>
      </c>
      <c r="M118" s="10" t="str">
        <f>IFERROR(__xludf.DUMMYFUNCTION("GOOGLETRANSLATE(D118, ""en"", ""bn"")"),"খ) তারা অনুষ্ঠানস্থলে খাবার এবং জিনিসপত্র বিক্রির দিকে পরিচালিত করেছিল")</f>
        <v>খ) তারা অনুষ্ঠানস্থলে খাবার এবং জিনিসপত্র বিক্রির দিকে পরিচালিত করেছিল</v>
      </c>
      <c r="N118" s="10" t="str">
        <f>IFERROR(__xludf.DUMMYFUNCTION("GOOGLETRANSLATE(E118, ""en"", ""bn"")"),"টুর্নামেন্টগুলিতে প্রচুর দর্শক সমাগম ঘটে, যার ফলে পানীয় এবং অন্যান্য পণ্য বিক্রির মাধ্যমে স্থানীয় অর্থনীতিতে সাময়িকভাবে চাঙ্গাভাব দেখা দেয়।")</f>
        <v>টুর্নামেন্টগুলিতে প্রচুর দর্শক সমাগম ঘটে, যার ফলে পানীয় এবং অন্যান্য পণ্য বিক্রির মাধ্যমে স্থানীয় অর্থনীতিতে সাময়িকভাবে চাঙ্গাভাব দেখা দেয়।</v>
      </c>
    </row>
    <row r="119">
      <c r="A119" s="7">
        <v>118.0</v>
      </c>
      <c r="B119" s="7" t="s">
        <v>1445</v>
      </c>
      <c r="C119" s="7" t="s">
        <v>1446</v>
      </c>
      <c r="D119" s="7" t="s">
        <v>1447</v>
      </c>
      <c r="E119" s="7" t="s">
        <v>1448</v>
      </c>
      <c r="J119" s="10" t="str">
        <f>IFERROR(__xludf.DUMMYFUNCTION("GOOGLETRANSLATE(A119, ""en"", ""bn"")"),"১১৮")</f>
        <v>১১৮</v>
      </c>
      <c r="K119" s="10" t="str">
        <f>IFERROR(__xludf.DUMMYFUNCTION("GOOGLETRANSLATE(B119, ""en"", ""bn"")"),"গোল্লা চুটের ঐতিহাসিক রূপটি কোন ধরণের শারীরিক কার্যকলাপের উদাহরণ ছিল?")</f>
        <v>গোল্লা চুটের ঐতিহাসিক রূপটি কোন ধরণের শারীরিক কার্যকলাপের উদাহরণ ছিল?</v>
      </c>
      <c r="L119" s="10" t="str">
        <f>IFERROR(__xludf.DUMMYFUNCTION("GOOGLETRANSLATE(C119, ""en"", ""bn"")"),"ক) উচ্চ-প্রভাব, খ) নিম্ন-প্রভাব, গ) অ-বায়ুসংক্রান্ত, ঘ) বায়বীয়")</f>
        <v>ক) উচ্চ-প্রভাব, খ) নিম্ন-প্রভাব, গ) অ-বায়ুসংক্রান্ত, ঘ) বায়বীয়</v>
      </c>
      <c r="M119" s="10" t="str">
        <f>IFERROR(__xludf.DUMMYFUNCTION("GOOGLETRANSLATE(D119, ""en"", ""bn"")"),"ঘ) অ্যারোবিক")</f>
        <v>ঘ) অ্যারোবিক</v>
      </c>
      <c r="N119" s="10" t="str">
        <f>IFERROR(__xludf.DUMMYFUNCTION("GOOGLETRANSLATE(E119, ""en"", ""bn"")"),"একটানা দৌড়ানো এবং তাড়া করা গোল্লা চুটকে একটি উচ্চ-তীব্রতার অ্যারোবিক ব্যায়ামে পরিণত করে।")</f>
        <v>একটানা দৌড়ানো এবং তাড়া করা গোল্লা চুটকে একটি উচ্চ-তীব্রতার অ্যারোবিক ব্যায়ামে পরিণত করে।</v>
      </c>
    </row>
    <row r="120">
      <c r="A120" s="7">
        <v>119.0</v>
      </c>
      <c r="B120" s="7" t="s">
        <v>1449</v>
      </c>
      <c r="C120" s="7" t="s">
        <v>1450</v>
      </c>
      <c r="D120" s="7" t="s">
        <v>1451</v>
      </c>
      <c r="E120" s="7" t="s">
        <v>1452</v>
      </c>
      <c r="J120" s="10" t="str">
        <f>IFERROR(__xludf.DUMMYFUNCTION("GOOGLETRANSLATE(A120, ""en"", ""bn"")"),"১১৯")</f>
        <v>১১৯</v>
      </c>
      <c r="K120" s="10" t="str">
        <f>IFERROR(__xludf.DUMMYFUNCTION("GOOGLETRANSLATE(B120, ""en"", ""bn"")"),"গোল্লা চুট-এ ক্যাপ্টেনের ভূমিকার ঐতিহাসিক তাৎপর্য কী ছিল?")</f>
        <v>গোল্লা চুট-এ ক্যাপ্টেনের ভূমিকার ঐতিহাসিক তাৎপর্য কী ছিল?</v>
      </c>
      <c r="L120" s="10" t="str">
        <f>IFERROR(__xludf.DUMMYFUNCTION("GOOGLETRANSLATE(C120, ""en"", ""bn"")"),"ক) তিনি ছিলেন দ্রুততম খেলোয়াড়, খ) তিনি ছিলেন রেফারি, গ) তিনি ছিলেন কৌশলবিদ এবং নেতা, ঘ) তিনি ছিলেন সবচেয়ে শক্তিশালী খেলোয়াড়")</f>
        <v>ক) তিনি ছিলেন দ্রুততম খেলোয়াড়, খ) তিনি ছিলেন রেফারি, গ) তিনি ছিলেন কৌশলবিদ এবং নেতা, ঘ) তিনি ছিলেন সবচেয়ে শক্তিশালী খেলোয়াড়</v>
      </c>
      <c r="M120" s="10" t="str">
        <f>IFERROR(__xludf.DUMMYFUNCTION("GOOGLETRANSLATE(D120, ""en"", ""bn"")"),"গ) তিনি ছিলেন কৌশলবিদ এবং নেতা")</f>
        <v>গ) তিনি ছিলেন কৌশলবিদ এবং নেতা</v>
      </c>
      <c r="N120" s="10" t="str">
        <f>IFERROR(__xludf.DUMMYFUNCTION("GOOGLETRANSLATE(E120, ""en"", ""bn"")"),"ঐতিহাসিকভাবে দলের কৌশল প্রণয়ন এবং তাদের জয়ের দিকে নিয়ে যাওয়ার জন্য অধিনায়কের দায়িত্ব ছিল।")</f>
        <v>ঐতিহাসিকভাবে দলের কৌশল প্রণয়ন এবং তাদের জয়ের দিকে নিয়ে যাওয়ার জন্য অধিনায়কের দায়িত্ব ছিল।</v>
      </c>
    </row>
    <row r="121">
      <c r="A121" s="7">
        <v>120.0</v>
      </c>
      <c r="B121" s="7" t="s">
        <v>1453</v>
      </c>
      <c r="C121" s="7" t="s">
        <v>1454</v>
      </c>
      <c r="D121" s="7" t="s">
        <v>1455</v>
      </c>
      <c r="E121" s="7" t="s">
        <v>1456</v>
      </c>
      <c r="J121" s="10" t="str">
        <f>IFERROR(__xludf.DUMMYFUNCTION("GOOGLETRANSLATE(A121, ""en"", ""bn"")"),"১২০")</f>
        <v>১২০</v>
      </c>
      <c r="K121" s="10" t="str">
        <f>IFERROR(__xludf.DUMMYFUNCTION("GOOGLETRANSLATE(B121, ""en"", ""bn"")"),"গ্রামীণ সামাজিক শ্রেণিবিন্যাসের উপর গোল্লা চুটের ঐতিহাসিক প্রভাব কী ছিল?")</f>
        <v>গ্রামীণ সামাজিক শ্রেণিবিন্যাসের উপর গোল্লা চুটের ঐতিহাসিক প্রভাব কী ছিল?</v>
      </c>
      <c r="L121" s="10" t="str">
        <f>IFERROR(__xludf.DUMMYFUNCTION("GOOGLETRANSLATE(C121, ""en"", ""bn"")"),"ক) এটি সামাজিক মর্যাদাকে শক্তিশালী করেছে, খ) এটি সামাজিক মর্যাদাকে অতিক্রম করেছে, গ) এটি একটি নতুন সামাজিক শ্রেণী তৈরি করেছে, ঘ) এর কোনও প্রভাব ছিল না")</f>
        <v>ক) এটি সামাজিক মর্যাদাকে শক্তিশালী করেছে, খ) এটি সামাজিক মর্যাদাকে অতিক্রম করেছে, গ) এটি একটি নতুন সামাজিক শ্রেণী তৈরি করেছে, ঘ) এর কোনও প্রভাব ছিল না</v>
      </c>
      <c r="M121" s="10" t="str">
        <f>IFERROR(__xludf.DUMMYFUNCTION("GOOGLETRANSLATE(D121, ""en"", ""bn"")"),"খ) এটি সামাজিক মর্যাদাকে অতিক্রম করেছে")</f>
        <v>খ) এটি সামাজিক মর্যাদাকে অতিক্রম করেছে</v>
      </c>
      <c r="N121" s="10" t="str">
        <f>IFERROR(__xludf.DUMMYFUNCTION("GOOGLETRANSLATE(E121, ""en"", ""bn"")"),"এই খেলাটি খেলোয়াড়দের তাদের দক্ষতা এবং প্রচেষ্টার উপর ভিত্তি করে সম্মান এবং স্বীকৃতি অর্জনের সুযোগ করে দেয়, তাদের সামাজিক অবস্থান নির্বিশেষে।")</f>
        <v>এই খেলাটি খেলোয়াড়দের তাদের দক্ষতা এবং প্রচেষ্টার উপর ভিত্তি করে সম্মান এবং স্বীকৃতি অর্জনের সুযোগ করে দেয়, তাদের সামাজিক অবস্থান নির্বিশেষে।</v>
      </c>
    </row>
    <row r="122">
      <c r="A122" s="7">
        <v>121.0</v>
      </c>
      <c r="B122" s="7" t="s">
        <v>1457</v>
      </c>
      <c r="C122" s="7" t="s">
        <v>1458</v>
      </c>
      <c r="D122" s="7" t="s">
        <v>1459</v>
      </c>
      <c r="E122" s="7" t="s">
        <v>1460</v>
      </c>
      <c r="J122" s="10" t="str">
        <f>IFERROR(__xludf.DUMMYFUNCTION("GOOGLETRANSLATE(A122, ""en"", ""bn"")"),"১২১")</f>
        <v>১২১</v>
      </c>
      <c r="K122" s="10" t="str">
        <f>IFERROR(__xludf.DUMMYFUNCTION("GOOGLETRANSLATE(B122, ""en"", ""bn"")"),"ঐতিহাসিক প্রেক্ষাপটে, গোল্লা চুটের একটি 'সফল' ম্যাচ কেমন দেখাচ্ছিল?")</f>
        <v>ঐতিহাসিক প্রেক্ষাপটে, গোল্লা চুটের একটি 'সফল' ম্যাচ কেমন দেখাচ্ছিল?</v>
      </c>
      <c r="L122" s="10" t="str">
        <f>IFERROR(__xludf.DUMMYFUNCTION("GOOGLETRANSLATE(C122, ""en"", ""bn"")"),"ক) বিজয়ী দলের পয়েন্ট সবচেয়ে বেশি ছিল, খ) খেলাটি কোনও আঘাত ছাড়াই শেষ হয়েছিল, গ) এটি একটি বিশাল সম্প্রদায়ের উদযাপনের মাধ্যমে শেষ হয়েছিল, ঘ) খেলাটি খুব দীর্ঘ ছিল")</f>
        <v>ক) বিজয়ী দলের পয়েন্ট সবচেয়ে বেশি ছিল, খ) খেলাটি কোনও আঘাত ছাড়াই শেষ হয়েছিল, গ) এটি একটি বিশাল সম্প্রদায়ের উদযাপনের মাধ্যমে শেষ হয়েছিল, ঘ) খেলাটি খুব দীর্ঘ ছিল</v>
      </c>
      <c r="M122" s="10" t="str">
        <f>IFERROR(__xludf.DUMMYFUNCTION("GOOGLETRANSLATE(D122, ""en"", ""bn"")"),"গ) এটি একটি বিশাল সম্প্রদায়ের উদযাপনের মাধ্যমে শেষ হয়েছিল")</f>
        <v>গ) এটি একটি বিশাল সম্প্রদায়ের উদযাপনের মাধ্যমে শেষ হয়েছিল</v>
      </c>
      <c r="N122" s="10" t="str">
        <f>IFERROR(__xludf.DUMMYFUNCTION("GOOGLETRANSLATE(E122, ""en"", ""bn"")"),"একটি সফল ম্যাচ ছিল এমন একটি ম্যাচ যা উৎসবমুখর পরিবেশের সাথে শেষ হয়েছিল, যেখানে সম্প্রদায় এবং খেলাধুলা উদযাপন করা হয়েছিল।")</f>
        <v>একটি সফল ম্যাচ ছিল এমন একটি ম্যাচ যা উৎসবমুখর পরিবেশের সাথে শেষ হয়েছিল, যেখানে সম্প্রদায় এবং খেলাধুলা উদযাপন করা হয়েছিল।</v>
      </c>
    </row>
    <row r="123">
      <c r="A123" s="7">
        <v>122.0</v>
      </c>
      <c r="B123" s="7" t="s">
        <v>1461</v>
      </c>
      <c r="C123" s="7" t="s">
        <v>1462</v>
      </c>
      <c r="D123" s="7" t="s">
        <v>1463</v>
      </c>
      <c r="E123" s="7" t="s">
        <v>1464</v>
      </c>
      <c r="J123" s="10" t="str">
        <f>IFERROR(__xludf.DUMMYFUNCTION("GOOGLETRANSLATE(A123, ""en"", ""bn"")"),"১২২")</f>
        <v>১২২</v>
      </c>
      <c r="K123" s="10" t="str">
        <f>IFERROR(__xludf.DUMMYFUNCTION("GOOGLETRANSLATE(B123, ""en"", ""bn"")"),"কোন ঐতিহাসিক বিকাশের ফলে ঐতিহ্যবাহী গোল্লা চুটের পতন ঘটে এবং আধুনিক সংস্করণের উত্থান ঘটে?")</f>
        <v>কোন ঐতিহাসিক বিকাশের ফলে ঐতিহ্যবাহী গোল্লা চুটের পতন ঘটে এবং আধুনিক সংস্করণের উত্থান ঘটে?</v>
      </c>
      <c r="L123" s="10" t="str">
        <f>IFERROR(__xludf.DUMMYFUNCTION("GOOGLETRANSLATE(C123, ""en"", ""bn"")"),"ক) টেলিভিশনের জনপ্রিয়তা, খ) আনুষ্ঠানিক ক্রীড়া লীগ প্রতিষ্ঠা, গ) গ্রামীণ জনসংখ্যার হ্রাস, ঘ) পেশাদার ক্রীড়াবিদদের উত্থান")</f>
        <v>ক) টেলিভিশনের জনপ্রিয়তা, খ) আনুষ্ঠানিক ক্রীড়া লীগ প্রতিষ্ঠা, গ) গ্রামীণ জনসংখ্যার হ্রাস, ঘ) পেশাদার ক্রীড়াবিদদের উত্থান</v>
      </c>
      <c r="M123" s="10" t="str">
        <f>IFERROR(__xludf.DUMMYFUNCTION("GOOGLETRANSLATE(D123, ""en"", ""bn"")"),"খ) আনুষ্ঠানিক ক্রীড়া লীগ প্রতিষ্ঠা")</f>
        <v>খ) আনুষ্ঠানিক ক্রীড়া লীগ প্রতিষ্ঠা</v>
      </c>
      <c r="N123" s="10" t="str">
        <f>IFERROR(__xludf.DUMMYFUNCTION("GOOGLETRANSLATE(E123, ""en"", ""bn"")"),"আনুষ্ঠানিক ক্রীড়া লীগগুলি মানসম্মত নিয়ম এবং পেশাদার খেলার প্রয়োজনীয়তা তৈরি করে, যার ফলে খেলার একটি আধুনিক সংস্করণ তৈরি হয়।")</f>
        <v>আনুষ্ঠানিক ক্রীড়া লীগগুলি মানসম্মত নিয়ম এবং পেশাদার খেলার প্রয়োজনীয়তা তৈরি করে, যার ফলে খেলার একটি আধুনিক সংস্করণ তৈরি হয়।</v>
      </c>
    </row>
    <row r="124">
      <c r="A124" s="7">
        <v>123.0</v>
      </c>
      <c r="B124" s="7" t="s">
        <v>1465</v>
      </c>
      <c r="C124" s="7" t="s">
        <v>1466</v>
      </c>
      <c r="D124" s="7" t="s">
        <v>1467</v>
      </c>
      <c r="E124" s="7" t="s">
        <v>1468</v>
      </c>
      <c r="J124" s="10" t="str">
        <f>IFERROR(__xludf.DUMMYFUNCTION("GOOGLETRANSLATE(A124, ""en"", ""bn"")"),"১২৩")</f>
        <v>১২৩</v>
      </c>
      <c r="K124" s="10" t="str">
        <f>IFERROR(__xludf.DUMMYFUNCTION("GOOGLETRANSLATE(B124, ""en"", ""bn"")"),"গোল্লা চুট বাজানো ঐতিহাসিকভাবে এক প্রজন্ম থেকে অন্য প্রজন্মে কীভাবে সঞ্চারিত হয়েছিল?")</f>
        <v>গোল্লা চুট বাজানো ঐতিহাসিকভাবে এক প্রজন্ম থেকে অন্য প্রজন্মে কীভাবে সঞ্চারিত হয়েছিল?</v>
      </c>
      <c r="L124" s="10" t="str">
        <f>IFERROR(__xludf.DUMMYFUNCTION("GOOGLETRANSLATE(C124, ""en"", ""bn"")"),"ক) লিখিত ম্যানুয়ালগুলির মাধ্যমে, খ) আনুষ্ঠানিক প্রশিক্ষণের মাধ্যমে, গ) পর্যবেক্ষণ এবং অনুশীলনের মাধ্যমে, ঘ) সরকার পরিচালিত কর্মসূচির মাধ্যমে")</f>
        <v>ক) লিখিত ম্যানুয়ালগুলির মাধ্যমে, খ) আনুষ্ঠানিক প্রশিক্ষণের মাধ্যমে, গ) পর্যবেক্ষণ এবং অনুশীলনের মাধ্যমে, ঘ) সরকার পরিচালিত কর্মসূচির মাধ্যমে</v>
      </c>
      <c r="M124" s="10" t="str">
        <f>IFERROR(__xludf.DUMMYFUNCTION("GOOGLETRANSLATE(D124, ""en"", ""bn"")"),"গ) পর্যবেক্ষণ এবং অনুশীলনের মাধ্যমে")</f>
        <v>গ) পর্যবেক্ষণ এবং অনুশীলনের মাধ্যমে</v>
      </c>
      <c r="N124" s="10" t="str">
        <f>IFERROR(__xludf.DUMMYFUNCTION("GOOGLETRANSLATE(E124, ""en"", ""bn"")"),"খেলাটি অনানুষ্ঠানিকভাবে বড় বাচ্চাদের এবং প্রাপ্তবয়স্কদের সাথে দেখে এবং খেলে শেখা হয়েছিল।")</f>
        <v>খেলাটি অনানুষ্ঠানিকভাবে বড় বাচ্চাদের এবং প্রাপ্তবয়স্কদের সাথে দেখে এবং খেলে শেখা হয়েছিল।</v>
      </c>
    </row>
    <row r="125">
      <c r="A125" s="7">
        <v>124.0</v>
      </c>
      <c r="B125" s="7" t="s">
        <v>1469</v>
      </c>
      <c r="C125" s="7" t="s">
        <v>1470</v>
      </c>
      <c r="D125" s="7" t="s">
        <v>1471</v>
      </c>
      <c r="E125" s="7" t="s">
        <v>1472</v>
      </c>
      <c r="J125" s="10" t="str">
        <f>IFERROR(__xludf.DUMMYFUNCTION("GOOGLETRANSLATE(A125, ""en"", ""bn"")"),"১২৪")</f>
        <v>১২৪</v>
      </c>
      <c r="K125" s="10" t="str">
        <f>IFERROR(__xludf.DUMMYFUNCTION("GOOGLETRANSLATE(B125, ""en"", ""bn"")"),"স্থানীয় বীরদের উদযাপনে গোল্লা চুটের ঐতিহাসিক ভূমিকা কী ছিল?")</f>
        <v>স্থানীয় বীরদের উদযাপনে গোল্লা চুটের ঐতিহাসিক ভূমিকা কী ছিল?</v>
      </c>
      <c r="L125" s="10" t="str">
        <f>IFERROR(__xludf.DUMMYFUNCTION("GOOGLETRANSLATE(C125, ""en"", ""bn"")"),"ক) এটি শুধুমাত্র বীরদের জন্য একটি খেলা ছিল, খ) এটি স্থানীয় বীরদের চিহ্নিত করার জন্য ব্যবহৃত হত, গ) এটি বীরদের সম্মান জানানোর একটি প্ল্যাটফর্ম ছিল, ঘ) এর কোনও ভূমিকা ছিল না")</f>
        <v>ক) এটি শুধুমাত্র বীরদের জন্য একটি খেলা ছিল, খ) এটি স্থানীয় বীরদের চিহ্নিত করার জন্য ব্যবহৃত হত, গ) এটি বীরদের সম্মান জানানোর একটি প্ল্যাটফর্ম ছিল, ঘ) এর কোনও ভূমিকা ছিল না</v>
      </c>
      <c r="M125" s="10" t="str">
        <f>IFERROR(__xludf.DUMMYFUNCTION("GOOGLETRANSLATE(D125, ""en"", ""bn"")"),"খ) এটি স্থানীয় বীরদের সনাক্ত করতে ব্যবহৃত হত")</f>
        <v>খ) এটি স্থানীয় বীরদের সনাক্ত করতে ব্যবহৃত হত</v>
      </c>
      <c r="N125" s="10" t="str">
        <f>IFERROR(__xludf.DUMMYFUNCTION("GOOGLETRANSLATE(E125, ""en"", ""bn"")"),"এই খেলাটি ব্যতিক্রমী দক্ষতা সম্পন্ন খেলোয়াড়দের স্থানীয় বীর হিসেবে আবির্ভূত হওয়ার এবং তাদের সম্প্রদায়ের দ্বারা প্রশংসিত হওয়ার একটি প্ল্যাটফর্ম হিসেবে কাজ করেছিল।")</f>
        <v>এই খেলাটি ব্যতিক্রমী দক্ষতা সম্পন্ন খেলোয়াড়দের স্থানীয় বীর হিসেবে আবির্ভূত হওয়ার এবং তাদের সম্প্রদায়ের দ্বারা প্রশংসিত হওয়ার একটি প্ল্যাটফর্ম হিসেবে কাজ করেছিল।</v>
      </c>
    </row>
    <row r="126">
      <c r="A126" s="7">
        <v>125.0</v>
      </c>
      <c r="B126" s="7" t="s">
        <v>1473</v>
      </c>
      <c r="C126" s="7" t="s">
        <v>1474</v>
      </c>
      <c r="D126" s="7" t="s">
        <v>1475</v>
      </c>
      <c r="E126" s="7" t="s">
        <v>1476</v>
      </c>
      <c r="J126" s="10" t="str">
        <f>IFERROR(__xludf.DUMMYFUNCTION("GOOGLETRANSLATE(A126, ""en"", ""bn"")"),"১২৫")</f>
        <v>১২৫</v>
      </c>
      <c r="K126" s="10" t="str">
        <f>IFERROR(__xludf.DUMMYFUNCTION("GOOGLETRANSLATE(B126, ""en"", ""bn"")"),"নগরায়নের আবির্ভাবের সাথে সাথে গোল্লা চুট কোন ঐতিহাসিক চ্যালেঞ্জের মুখোমুখি হয়েছিল?")</f>
        <v>নগরায়নের আবির্ভাবের সাথে সাথে গোল্লা চুট কোন ঐতিহাসিক চ্যালেঞ্জের মুখোমুখি হয়েছিল?</v>
      </c>
      <c r="L126" s="10" t="str">
        <f>IFERROR(__xludf.DUMMYFUNCTION("GOOGLETRANSLATE(C126, ""en"", ""bn"")"),"ক) খেলার মাঠের অভাব, খ) খেলোয়াড়ের অভাব, গ) আগ্রহের অভাব, ঘ) সরঞ্জামের অভাব")</f>
        <v>ক) খেলার মাঠের অভাব, খ) খেলোয়াড়ের অভাব, গ) আগ্রহের অভাব, ঘ) সরঞ্জামের অভাব</v>
      </c>
      <c r="M126" s="10" t="str">
        <f>IFERROR(__xludf.DUMMYFUNCTION("GOOGLETRANSLATE(D126, ""en"", ""bn"")"),"ক) খেলার মাঠের অভাব")</f>
        <v>ক) খেলার মাঠের অভাব</v>
      </c>
      <c r="N126" s="10" t="str">
        <f>IFERROR(__xludf.DUMMYFUNCTION("GOOGLETRANSLATE(E126, ""en"", ""bn"")"),"শহুরে পরিবেশে বিশাল, খোলা জায়গার অভাবের কারণে ঐতিহ্যবাহী এই খেলাটি খেলা কঠিন হয়ে পড়ে, যার ফলে শহরগুলিতে এর পতন ঘটে।")</f>
        <v>শহুরে পরিবেশে বিশাল, খোলা জায়গার অভাবের কারণে ঐতিহ্যবাহী এই খেলাটি খেলা কঠিন হয়ে পড়ে, যার ফলে শহরগুলিতে এর পতন ঘটে।</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5" width="37.63"/>
    <col customWidth="1" min="11" max="14" width="37.63"/>
  </cols>
  <sheetData>
    <row r="1">
      <c r="A1" s="1" t="s">
        <v>0</v>
      </c>
      <c r="B1" s="1" t="s">
        <v>1</v>
      </c>
      <c r="C1" s="1" t="s">
        <v>2</v>
      </c>
      <c r="D1" s="1" t="s">
        <v>3</v>
      </c>
      <c r="E1" s="1" t="s">
        <v>4</v>
      </c>
      <c r="J1" s="9" t="s">
        <v>5</v>
      </c>
      <c r="K1" s="9" t="s">
        <v>6</v>
      </c>
      <c r="L1" s="9" t="s">
        <v>7</v>
      </c>
      <c r="M1" s="9" t="s">
        <v>8</v>
      </c>
      <c r="N1" s="9" t="s">
        <v>9</v>
      </c>
    </row>
    <row r="2">
      <c r="A2" s="4">
        <v>1.0</v>
      </c>
      <c r="B2" s="4" t="s">
        <v>1477</v>
      </c>
      <c r="C2" s="4" t="s">
        <v>1478</v>
      </c>
      <c r="D2" s="4" t="s">
        <v>1479</v>
      </c>
      <c r="E2" s="4" t="s">
        <v>1480</v>
      </c>
      <c r="J2" s="10" t="str">
        <f>IFERROR(__xludf.DUMMYFUNCTION("GOOGLETRANSLATE(A2, ""en"", ""bn"")"),"১")</f>
        <v>১</v>
      </c>
      <c r="K2" s="10" t="str">
        <f>IFERROR(__xludf.DUMMYFUNCTION("GOOGLETRANSLATE(B2, ""en"", ""bn"")"),"বাংলাদেশে হা-ডু-ডুকে সাধারণত কী বলা হয়?")</f>
        <v>বাংলাদেশে হা-ডু-ডুকে সাধারণত কী বলা হয়?</v>
      </c>
      <c r="L2" s="10" t="str">
        <f>IFERROR(__xludf.DUMMYFUNCTION("GOOGLETRANSLATE(C2, ""en"", ""bn"")"),"ক) কাবাডি, খ) বেঙ্গল রাগবি, গ) বেঙ্গল ফুটবল, ঘ) বাংলাদেশি কুস্তি")</f>
        <v>ক) কাবাডি, খ) বেঙ্গল রাগবি, গ) বেঙ্গল ফুটবল, ঘ) বাংলাদেশি কুস্তি</v>
      </c>
      <c r="M2" s="10" t="str">
        <f>IFERROR(__xludf.DUMMYFUNCTION("GOOGLETRANSLATE(D2, ""en"", ""bn"")"),"খ) বেঙ্গল রাগবি")</f>
        <v>খ) বেঙ্গল রাগবি</v>
      </c>
      <c r="N2" s="10" t="str">
        <f>IFERROR(__xludf.DUMMYFUNCTION("GOOGLETRANSLATE(E2, ""en"", ""bn"")"),"হা-ডু-ডুকে প্রায়শই 'দ্য বেঙ্গল রাগবি' বলা হয় কারণ এর ভৌগোলিক প্রকৃতি এবং ঐতিহাসিক শিকড় রয়েছে।")</f>
        <v>হা-ডু-ডুকে প্রায়শই 'দ্য বেঙ্গল রাগবি' বলা হয় কারণ এর ভৌগোলিক প্রকৃতি এবং ঐতিহাসিক শিকড় রয়েছে।</v>
      </c>
    </row>
    <row r="3">
      <c r="A3" s="4">
        <v>2.0</v>
      </c>
      <c r="B3" s="4" t="s">
        <v>1481</v>
      </c>
      <c r="C3" s="4" t="s">
        <v>1482</v>
      </c>
      <c r="D3" s="4" t="s">
        <v>290</v>
      </c>
      <c r="E3" s="4" t="s">
        <v>1483</v>
      </c>
      <c r="J3" s="10" t="str">
        <f>IFERROR(__xludf.DUMMYFUNCTION("GOOGLETRANSLATE(A3, ""en"", ""bn"")"),"২")</f>
        <v>২</v>
      </c>
      <c r="K3" s="10" t="str">
        <f>IFERROR(__xludf.DUMMYFUNCTION("GOOGLETRANSLATE(B3, ""en"", ""bn"")"),"বাংলাদেশের কোন অঞ্চলে হা-ডু-ডু সবচেয়ে বেশি খেলা হয়?")</f>
        <v>বাংলাদেশের কোন অঞ্চলে হা-ডু-ডু সবচেয়ে বেশি খেলা হয়?</v>
      </c>
      <c r="L3" s="10" t="str">
        <f>IFERROR(__xludf.DUMMYFUNCTION("GOOGLETRANSLATE(C3, ""en"", ""bn"")"),"ক) সিলেট, খ) চট্টগ্রাম, গ) খুলনা, ঘ) রাজশাহী")</f>
        <v>ক) সিলেট, খ) চট্টগ্রাম, গ) খুলনা, ঘ) রাজশাহী</v>
      </c>
      <c r="M3" s="10" t="str">
        <f>IFERROR(__xludf.DUMMYFUNCTION("GOOGLETRANSLATE(D3, ""en"", ""bn"")"),"খ) চট্টগ্রাম")</f>
        <v>খ) চট্টগ্রাম</v>
      </c>
      <c r="N3" s="10" t="str">
        <f>IFERROR(__xludf.DUMMYFUNCTION("GOOGLETRANSLATE(E3, ""en"", ""bn"")"),"হা-ডু-ডু মূলত বাংলাদেশের চট্টগ্রাম অঞ্চলে বাজানো হয়, যেখানে এর গভীর সাংস্কৃতিক শিকড় রয়েছে।")</f>
        <v>হা-ডু-ডু মূলত বাংলাদেশের চট্টগ্রাম অঞ্চলে বাজানো হয়, যেখানে এর গভীর সাংস্কৃতিক শিকড় রয়েছে।</v>
      </c>
    </row>
    <row r="4">
      <c r="A4" s="4">
        <v>3.0</v>
      </c>
      <c r="B4" s="4" t="s">
        <v>1484</v>
      </c>
      <c r="C4" s="4" t="s">
        <v>1485</v>
      </c>
      <c r="D4" s="4" t="s">
        <v>1486</v>
      </c>
      <c r="E4" s="4" t="s">
        <v>1487</v>
      </c>
      <c r="J4" s="10" t="str">
        <f>IFERROR(__xludf.DUMMYFUNCTION("GOOGLETRANSLATE(A4, ""en"", ""bn"")"),"৩")</f>
        <v>৩</v>
      </c>
      <c r="K4" s="10" t="str">
        <f>IFERROR(__xludf.DUMMYFUNCTION("GOOGLETRANSLATE(B4, ""en"", ""bn"")"),"হা-ডু-ডু কোন শতাব্দীতে উদ্ভূত বলে মনে করা হয়?")</f>
        <v>হা-ডু-ডু কোন শতাব্দীতে উদ্ভূত বলে মনে করা হয়?</v>
      </c>
      <c r="L4" s="10" t="str">
        <f>IFERROR(__xludf.DUMMYFUNCTION("GOOGLETRANSLATE(C4, ""en"", ""bn"")"),"ক) ১৫ শতক, খ) ১৬ শতক, গ) ১৭ শতক, ঘ) ১৮ শতক")</f>
        <v>ক) ১৫ শতক, খ) ১৬ শতক, গ) ১৭ শতক, ঘ) ১৮ শতক</v>
      </c>
      <c r="M4" s="10" t="str">
        <f>IFERROR(__xludf.DUMMYFUNCTION("GOOGLETRANSLATE(D4, ""en"", ""bn"")"),"খ) ষোড়শ শতাব্দী")</f>
        <v>খ) ষোড়শ শতাব্দী</v>
      </c>
      <c r="N4" s="10" t="str">
        <f>IFERROR(__xludf.DUMMYFUNCTION("GOOGLETRANSLATE(E4, ""en"", ""bn"")"),"হা-ডু-ডু ষোড়শ শতাব্দীতে বাংলার একটি ঐতিহ্যবাহী গ্রামীণ খেলা হিসেবে উদ্ভূত বলে মনে করা হয়।")</f>
        <v>হা-ডু-ডু ষোড়শ শতাব্দীতে বাংলার একটি ঐতিহ্যবাহী গ্রামীণ খেলা হিসেবে উদ্ভূত বলে মনে করা হয়।</v>
      </c>
    </row>
    <row r="5">
      <c r="A5" s="4">
        <v>4.0</v>
      </c>
      <c r="B5" s="4" t="s">
        <v>1488</v>
      </c>
      <c r="C5" s="4" t="s">
        <v>1489</v>
      </c>
      <c r="D5" s="4" t="s">
        <v>1490</v>
      </c>
      <c r="E5" s="4" t="s">
        <v>1491</v>
      </c>
      <c r="J5" s="10" t="str">
        <f>IFERROR(__xludf.DUMMYFUNCTION("GOOGLETRANSLATE(A5, ""en"", ""bn"")"),"৪")</f>
        <v>৪</v>
      </c>
      <c r="K5" s="10" t="str">
        <f>IFERROR(__xludf.DUMMYFUNCTION("GOOGLETRANSLATE(B5, ""en"", ""bn"")"),"হা-ডু-ডু অন্য কোন সুপরিচিত খেলার সাথে সাদৃশ্যপূর্ণ?")</f>
        <v>হা-ডু-ডু অন্য কোন সুপরিচিত খেলার সাথে সাদৃশ্যপূর্ণ?</v>
      </c>
      <c r="L5" s="10" t="str">
        <f>IFERROR(__xludf.DUMMYFUNCTION("GOOGLETRANSLATE(C5, ""en"", ""bn"")"),"ক) কাবাডি, খ) ক্রিকেট, গ) ফুটবল, ঘ) ভলিবল")</f>
        <v>ক) কাবাডি, খ) ক্রিকেট, গ) ফুটবল, ঘ) ভলিবল</v>
      </c>
      <c r="M5" s="10" t="str">
        <f>IFERROR(__xludf.DUMMYFUNCTION("GOOGLETRANSLATE(D5, ""en"", ""bn"")"),"ক) কাবাডি")</f>
        <v>ক) কাবাডি</v>
      </c>
      <c r="N5" s="10" t="str">
        <f>IFERROR(__xludf.DUMMYFUNCTION("GOOGLETRANSLATE(E5, ""en"", ""bn"")"),"হা-ডু-ডু কাবাডির সাথে মিল রয়েছে, বিশেষ করে দল-ভিত্তিক শারীরিক খেলার ক্ষেত্রে।")</f>
        <v>হা-ডু-ডু কাবাডির সাথে মিল রয়েছে, বিশেষ করে দল-ভিত্তিক শারীরিক খেলার ক্ষেত্রে।</v>
      </c>
    </row>
    <row r="6">
      <c r="A6" s="4">
        <v>5.0</v>
      </c>
      <c r="B6" s="4" t="s">
        <v>1492</v>
      </c>
      <c r="C6" s="4" t="s">
        <v>1493</v>
      </c>
      <c r="D6" s="4" t="s">
        <v>1494</v>
      </c>
      <c r="E6" s="4" t="s">
        <v>1495</v>
      </c>
      <c r="J6" s="10" t="str">
        <f>IFERROR(__xludf.DUMMYFUNCTION("GOOGLETRANSLATE(A6, ""en"", ""bn"")"),"৫")</f>
        <v>৫</v>
      </c>
      <c r="K6" s="10" t="str">
        <f>IFERROR(__xludf.DUMMYFUNCTION("GOOGLETRANSLATE(B6, ""en"", ""bn"")"),"কোন প্রাচীন সভ্যতাকে হা-ডু-ডু-এর প্রাথমিক রূপের কৃতিত্ব দেওয়া হয়?")</f>
        <v>কোন প্রাচীন সভ্যতাকে হা-ডু-ডু-এর প্রাথমিক রূপের কৃতিত্ব দেওয়া হয়?</v>
      </c>
      <c r="L6" s="10" t="str">
        <f>IFERROR(__xludf.DUMMYFUNCTION("GOOGLETRANSLATE(C6, ""en"", ""bn"")"),"ক) মৌর্য সাম্রাজ্য, খ) গুপ্ত সাম্রাজ্য, গ) বাংলা রাজ্য, ঘ) মুঘল সাম্রাজ্য")</f>
        <v>ক) মৌর্য সাম্রাজ্য, খ) গুপ্ত সাম্রাজ্য, গ) বাংলা রাজ্য, ঘ) মুঘল সাম্রাজ্য</v>
      </c>
      <c r="M6" s="10" t="str">
        <f>IFERROR(__xludf.DUMMYFUNCTION("GOOGLETRANSLATE(D6, ""en"", ""bn"")"),"গ) বাংলা রাজ্য")</f>
        <v>গ) বাংলা রাজ্য</v>
      </c>
      <c r="N6" s="10" t="str">
        <f>IFERROR(__xludf.DUMMYFUNCTION("GOOGLETRANSLATE(E6, ""en"", ""bn"")"),"বাংলা রাজ্যে হা-ডু-ডুর প্রাথমিক রূপের কৃতিত্ব দেওয়া হয়, যা আধুনিক খেলায় রূপান্তরিত হয়েছিল।")</f>
        <v>বাংলা রাজ্যে হা-ডু-ডুর প্রাথমিক রূপের কৃতিত্ব দেওয়া হয়, যা আধুনিক খেলায় রূপান্তরিত হয়েছিল।</v>
      </c>
    </row>
    <row r="7">
      <c r="A7" s="4">
        <v>6.0</v>
      </c>
      <c r="B7" s="4" t="s">
        <v>1496</v>
      </c>
      <c r="C7" s="4" t="s">
        <v>1497</v>
      </c>
      <c r="D7" s="4" t="s">
        <v>202</v>
      </c>
      <c r="E7" s="4" t="s">
        <v>1498</v>
      </c>
      <c r="J7" s="10" t="str">
        <f>IFERROR(__xludf.DUMMYFUNCTION("GOOGLETRANSLATE(A7, ""en"", ""bn"")"),"৬")</f>
        <v>৬</v>
      </c>
      <c r="K7" s="10" t="str">
        <f>IFERROR(__xludf.DUMMYFUNCTION("GOOGLETRANSLATE(B7, ""en"", ""bn"")"),"ঐতিহাসিকভাবে কোন গুরুত্বপূর্ণ ঘটনার সময় হা-ডু-ডু খেলা হত?")</f>
        <v>ঐতিহাসিকভাবে কোন গুরুত্বপূর্ণ ঘটনার সময় হা-ডু-ডু খেলা হত?</v>
      </c>
      <c r="L7" s="10" t="str">
        <f>IFERROR(__xludf.DUMMYFUNCTION("GOOGLETRANSLATE(C7, ""en"", ""bn"")"),"ক) রাজকীয় উৎসব, খ) ফসল উৎসব, গ) বিবাহ, ঘ) রাজনৈতিক সভা")</f>
        <v>ক) রাজকীয় উৎসব, খ) ফসল উৎসব, গ) বিবাহ, ঘ) রাজনৈতিক সভা</v>
      </c>
      <c r="M7" s="10" t="str">
        <f>IFERROR(__xludf.DUMMYFUNCTION("GOOGLETRANSLATE(D7, ""en"", ""bn"")"),"খ) ফসল কাটার উৎসব")</f>
        <v>খ) ফসল কাটার উৎসব</v>
      </c>
      <c r="N7" s="10" t="str">
        <f>IFERROR(__xludf.DUMMYFUNCTION("GOOGLETRANSLATE(E7, ""en"", ""bn"")"),"ফসল কাটার উৎসবে প্রায়শই সম্প্রদায়ের উদযাপন এবং শারীরিক সুস্থতার জন্য হা-ডু-ডু বাজানো হত।")</f>
        <v>ফসল কাটার উৎসবে প্রায়শই সম্প্রদায়ের উদযাপন এবং শারীরিক সুস্থতার জন্য হা-ডু-ডু বাজানো হত।</v>
      </c>
    </row>
    <row r="8">
      <c r="A8" s="4">
        <v>7.0</v>
      </c>
      <c r="B8" s="4" t="s">
        <v>1499</v>
      </c>
      <c r="C8" s="4" t="s">
        <v>1500</v>
      </c>
      <c r="D8" s="4" t="s">
        <v>1501</v>
      </c>
      <c r="E8" s="4" t="s">
        <v>1502</v>
      </c>
      <c r="J8" s="10" t="str">
        <f>IFERROR(__xludf.DUMMYFUNCTION("GOOGLETRANSLATE(A8, ""en"", ""bn"")"),"৭")</f>
        <v>৭</v>
      </c>
      <c r="K8" s="10" t="str">
        <f>IFERROR(__xludf.DUMMYFUNCTION("GOOGLETRANSLATE(B8, ""en"", ""bn"")"),"হা-ডু-ডুতে, প্রতিটি দলে কতজন খেলোয়াড় থাকে?")</f>
        <v>হা-ডু-ডুতে, প্রতিটি দলে কতজন খেলোয়াড় থাকে?</v>
      </c>
      <c r="L8" s="10" t="str">
        <f>IFERROR(__xludf.DUMMYFUNCTION("GOOGLETRANSLATE(C8, ""en"", ""bn"")"),"ক) ৫, খ) ৬, গ) ৭, ঘ) ৮")</f>
        <v>ক) ৫, খ) ৬, গ) ৭, ঘ) ৮</v>
      </c>
      <c r="M8" s="10" t="str">
        <f>IFERROR(__xludf.DUMMYFUNCTION("GOOGLETRANSLATE(D8, ""en"", ""bn"")"),"গ) ৭")</f>
        <v>গ) ৭</v>
      </c>
      <c r="N8" s="10" t="str">
        <f>IFERROR(__xludf.DUMMYFUNCTION("GOOGLETRANSLATE(E8, ""en"", ""bn"")"),"হা-ডু-ডুতে প্রতিটি দলে ৭ জন খেলোয়াড় থাকে, যার মধ্যে একজন আক্রমণাত্মক এবং একজন রক্ষণাত্মক দল থাকে।")</f>
        <v>হা-ডু-ডুতে প্রতিটি দলে ৭ জন খেলোয়াড় থাকে, যার মধ্যে একজন আক্রমণাত্মক এবং একজন রক্ষণাত্মক দল থাকে।</v>
      </c>
    </row>
    <row r="9">
      <c r="A9" s="4">
        <v>8.0</v>
      </c>
      <c r="B9" s="4" t="s">
        <v>1503</v>
      </c>
      <c r="C9" s="4" t="s">
        <v>1504</v>
      </c>
      <c r="D9" s="4" t="s">
        <v>1505</v>
      </c>
      <c r="E9" s="4" t="s">
        <v>1506</v>
      </c>
      <c r="J9" s="10" t="str">
        <f>IFERROR(__xludf.DUMMYFUNCTION("GOOGLETRANSLATE(A9, ""en"", ""bn"")"),"৮")</f>
        <v>৮</v>
      </c>
      <c r="K9" s="10" t="str">
        <f>IFERROR(__xludf.DUMMYFUNCTION("GOOGLETRANSLATE(B9, ""en"", ""bn"")"),"কোন ঐতিহাসিক ব্যক্তিত্ব হা-ডু-ডু খেলেছেন বলে মনে করা হয়?")</f>
        <v>কোন ঐতিহাসিক ব্যক্তিত্ব হা-ডু-ডু খেলেছেন বলে মনে করা হয়?</v>
      </c>
      <c r="L9" s="10" t="str">
        <f>IFERROR(__xludf.DUMMYFUNCTION("GOOGLETRANSLATE(C9, ""en"", ""bn"")"),"A) রাজা শশাঙ্ক, B) রাজা কৃষ্ণচন্দ্র, C) শের শাহ সুরি, D) সুলতান গিয়াসউদ্দিন")</f>
        <v>A) রাজা শশাঙ্ক, B) রাজা কৃষ্ণচন্দ্র, C) শের শাহ সুরি, D) সুলতান গিয়াসউদ্দিন</v>
      </c>
      <c r="M9" s="10" t="str">
        <f>IFERROR(__xludf.DUMMYFUNCTION("GOOGLETRANSLATE(D9, ""en"", ""bn"")"),"ক) রাজা শশাঙ্ক")</f>
        <v>ক) রাজা শশাঙ্ক</v>
      </c>
      <c r="N9" s="10" t="str">
        <f>IFERROR(__xludf.DUMMYFUNCTION("GOOGLETRANSLATE(E9, ""en"", ""bn"")"),"রাজা শশাঙ্ক প্রায়শই বাংলায় তাঁর রাজত্বকালে হা-ডু-ডু প্রচারের সাথে যুক্ত ছিলেন।")</f>
        <v>রাজা শশাঙ্ক প্রায়শই বাংলায় তাঁর রাজত্বকালে হা-ডু-ডু প্রচারের সাথে যুক্ত ছিলেন।</v>
      </c>
    </row>
    <row r="10">
      <c r="A10" s="4">
        <v>9.0</v>
      </c>
      <c r="B10" s="4" t="s">
        <v>1507</v>
      </c>
      <c r="C10" s="4" t="s">
        <v>1508</v>
      </c>
      <c r="D10" s="4" t="s">
        <v>1509</v>
      </c>
      <c r="E10" s="4" t="s">
        <v>1510</v>
      </c>
      <c r="J10" s="10" t="str">
        <f>IFERROR(__xludf.DUMMYFUNCTION("GOOGLETRANSLATE(A10, ""en"", ""bn"")"),"৯")</f>
        <v>৯</v>
      </c>
      <c r="K10" s="10" t="str">
        <f>IFERROR(__xludf.DUMMYFUNCTION("GOOGLETRANSLATE(B10, ""en"", ""bn"")"),"হা-ডু-ডু খেলার মূল লক্ষ্য কী?")</f>
        <v>হা-ডু-ডু খেলার মূল লক্ষ্য কী?</v>
      </c>
      <c r="L10" s="10" t="str">
        <f>IFERROR(__xludf.DUMMYFUNCTION("GOOGLETRANSLATE(C10, ""en"", ""bn"")"),"ক) গোল করা, খ) প্রতিপক্ষকে চিহ্নিত করা, গ) বল তাড়া করা, ঘ) শারীরিক প্রতিযোগিতায় প্রতিপক্ষ দলকে পরাজিত করা")</f>
        <v>ক) গোল করা, খ) প্রতিপক্ষকে চিহ্নিত করা, গ) বল তাড়া করা, ঘ) শারীরিক প্রতিযোগিতায় প্রতিপক্ষ দলকে পরাজিত করা</v>
      </c>
      <c r="M10" s="10" t="str">
        <f>IFERROR(__xludf.DUMMYFUNCTION("GOOGLETRANSLATE(D10, ""en"", ""bn"")"),"ঘ) শারীরিক প্রতিযোগিতায় প্রতিপক্ষ দলকে পরাজিত করা")</f>
        <v>ঘ) শারীরিক প্রতিযোগিতায় প্রতিপক্ষ দলকে পরাজিত করা</v>
      </c>
      <c r="N10" s="10" t="str">
        <f>IFERROR(__xludf.DUMMYFUNCTION("GOOGLETRANSLATE(E10, ""en"", ""bn"")"),"হা-ডু-ডু-তে মূল উদ্দেশ্য হল খেলোয়াড়রা ট্যাগ হওয়া এড়িয়ে প্রতিপক্ষকে ট্যাগ করা বা মোকাবেলা করা।")</f>
        <v>হা-ডু-ডু-তে মূল উদ্দেশ্য হল খেলোয়াড়রা ট্যাগ হওয়া এড়িয়ে প্রতিপক্ষকে ট্যাগ করা বা মোকাবেলা করা।</v>
      </c>
    </row>
    <row r="11">
      <c r="A11" s="4">
        <v>10.0</v>
      </c>
      <c r="B11" s="4" t="s">
        <v>1511</v>
      </c>
      <c r="C11" s="4" t="s">
        <v>1512</v>
      </c>
      <c r="D11" s="4" t="s">
        <v>1513</v>
      </c>
      <c r="E11" s="4" t="s">
        <v>1514</v>
      </c>
      <c r="J11" s="10" t="str">
        <f>IFERROR(__xludf.DUMMYFUNCTION("GOOGLETRANSLATE(A11, ""en"", ""bn"")"),"১০")</f>
        <v>১০</v>
      </c>
      <c r="K11" s="10" t="str">
        <f>IFERROR(__xludf.DUMMYFUNCTION("GOOGLETRANSLATE(B11, ""en"", ""bn"")"),"কৌশলগত দিক থেকে হা-ডু-ডু কোন ঐতিহ্যবাহী খেলার সাথে প্রায়শই তুলনা করা হয়?")</f>
        <v>কৌশলগত দিক থেকে হা-ডু-ডু কোন ঐতিহ্যবাহী খেলার সাথে প্রায়শই তুলনা করা হয়?</v>
      </c>
      <c r="L11" s="10" t="str">
        <f>IFERROR(__xludf.DUMMYFUNCTION("GOOGLETRANSLATE(C11, ""en"", ""bn"")"),"ক) দাবা, খ) কাবাডি, গ) রাগবি, ঘ) বাস্কেটবল")</f>
        <v>ক) দাবা, খ) কাবাডি, গ) রাগবি, ঘ) বাস্কেটবল</v>
      </c>
      <c r="M11" s="10" t="str">
        <f>IFERROR(__xludf.DUMMYFUNCTION("GOOGLETRANSLATE(D11, ""en"", ""bn"")"),"খ) কাবাডি")</f>
        <v>খ) কাবাডি</v>
      </c>
      <c r="N11" s="10" t="str">
        <f>IFERROR(__xludf.DUMMYFUNCTION("GOOGLETRANSLATE(E11, ""en"", ""bn"")"),"কাবাডির মতোই, হা-ডু-ডুতে কৌশল, দলগত কাজ এবং শারীরিক সহনশীলতা জড়িত।")</f>
        <v>কাবাডির মতোই, হা-ডু-ডুতে কৌশল, দলগত কাজ এবং শারীরিক সহনশীলতা জড়িত।</v>
      </c>
    </row>
    <row r="12">
      <c r="A12" s="4">
        <v>11.0</v>
      </c>
      <c r="B12" s="4" t="s">
        <v>1515</v>
      </c>
      <c r="C12" s="4" t="s">
        <v>1516</v>
      </c>
      <c r="D12" s="4" t="s">
        <v>1517</v>
      </c>
      <c r="E12" s="4" t="s">
        <v>1518</v>
      </c>
      <c r="J12" s="10" t="str">
        <f>IFERROR(__xludf.DUMMYFUNCTION("GOOGLETRANSLATE(A12, ""en"", ""bn"")"),"১১")</f>
        <v>১১</v>
      </c>
      <c r="K12" s="10" t="str">
        <f>IFERROR(__xludf.DUMMYFUNCTION("GOOGLETRANSLATE(B12, ""en"", ""bn"")"),"যখন একজন হা-ডু-ডু খেলোয়াড় তার প্রতিপক্ষকে ট্যাগ করে তখন খেলার নাম কী?")</f>
        <v>যখন একজন হা-ডু-ডু খেলোয়াড় তার প্রতিপক্ষকে ট্যাগ করে তখন খেলার নাম কী?</v>
      </c>
      <c r="L12" s="10" t="str">
        <f>IFERROR(__xludf.DUMMYFUNCTION("GOOGLETRANSLATE(C12, ""en"", ""bn"")"),"ক) হা-ডু, খ) দুদু, গ) হুডু, ঘ) ডু-ডু")</f>
        <v>ক) হা-ডু, খ) দুদু, গ) হুডু, ঘ) ডু-ডু</v>
      </c>
      <c r="M12" s="10" t="str">
        <f>IFERROR(__xludf.DUMMYFUNCTION("GOOGLETRANSLATE(D12, ""en"", ""bn"")"),"ক) হা-ডু")</f>
        <v>ক) হা-ডু</v>
      </c>
      <c r="N12" s="10" t="str">
        <f>IFERROR(__xludf.DUMMYFUNCTION("GOOGLETRANSLATE(E12, ""en"", ""bn"")"),"যখন একজন খেলোয়াড় হা-ডু-ডুতে প্রতিপক্ষকে ট্যাগ করে, তখন এটি 'হা-ডু' নামে পরিচিত।")</f>
        <v>যখন একজন খেলোয়াড় হা-ডু-ডুতে প্রতিপক্ষকে ট্যাগ করে, তখন এটি 'হা-ডু' নামে পরিচিত।</v>
      </c>
    </row>
    <row r="13">
      <c r="A13" s="4">
        <v>12.0</v>
      </c>
      <c r="B13" s="4" t="s">
        <v>1519</v>
      </c>
      <c r="C13" s="4" t="s">
        <v>1222</v>
      </c>
      <c r="D13" s="4" t="s">
        <v>1520</v>
      </c>
      <c r="E13" s="4" t="s">
        <v>1521</v>
      </c>
      <c r="J13" s="10" t="str">
        <f>IFERROR(__xludf.DUMMYFUNCTION("GOOGLETRANSLATE(A13, ""en"", ""bn"")"),"১২")</f>
        <v>১২</v>
      </c>
      <c r="K13" s="10" t="str">
        <f>IFERROR(__xludf.DUMMYFUNCTION("GOOGLETRANSLATE(B13, ""en"", ""bn"")"),"কোন শতাব্দীতে হা-ডু-ডু-এর প্রথম লিখিত উল্লেখ পাওয়া যায়?")</f>
        <v>কোন শতাব্দীতে হা-ডু-ডু-এর প্রথম লিখিত উল্লেখ পাওয়া যায়?</v>
      </c>
      <c r="L13" s="10" t="str">
        <f>IFERROR(__xludf.DUMMYFUNCTION("GOOGLETRANSLATE(C13, ""en"", ""bn"")"),"ক) ১৮শ শতাব্দী, খ) ১৯শ শতাব্দী, গ) ২০শ শতাব্দী, ঘ) ২১শ শতাব্দী")</f>
        <v>ক) ১৮শ শতাব্দী, খ) ১৯শ শতাব্দী, গ) ২০শ শতাব্দী, ঘ) ২১শ শতাব্দী</v>
      </c>
      <c r="M13" s="10" t="str">
        <f>IFERROR(__xludf.DUMMYFUNCTION("GOOGLETRANSLATE(D13, ""en"", ""bn"")"),"খ) উনবিংশ শতাব্দী")</f>
        <v>খ) উনবিংশ শতাব্দী</v>
      </c>
      <c r="N13" s="10" t="str">
        <f>IFERROR(__xludf.DUMMYFUNCTION("GOOGLETRANSLATE(E13, ""en"", ""bn"")"),"১৯ শতকে বাংলায় ঐতিহাসিক গ্রন্থে হা-ডু-ডু প্রথম আনুষ্ঠানিকভাবে উল্লেখ করা হয়েছিল।")</f>
        <v>১৯ শতকে বাংলায় ঐতিহাসিক গ্রন্থে হা-ডু-ডু প্রথম আনুষ্ঠানিকভাবে উল্লেখ করা হয়েছিল।</v>
      </c>
    </row>
    <row r="14">
      <c r="A14" s="4">
        <v>13.0</v>
      </c>
      <c r="B14" s="4" t="s">
        <v>1522</v>
      </c>
      <c r="C14" s="4" t="s">
        <v>1523</v>
      </c>
      <c r="D14" s="4" t="s">
        <v>1524</v>
      </c>
      <c r="E14" s="4" t="s">
        <v>1525</v>
      </c>
      <c r="J14" s="10" t="str">
        <f>IFERROR(__xludf.DUMMYFUNCTION("GOOGLETRANSLATE(A14, ""en"", ""bn"")"),"১৩")</f>
        <v>১৩</v>
      </c>
      <c r="K14" s="10" t="str">
        <f>IFERROR(__xludf.DUMMYFUNCTION("GOOGLETRANSLATE(B14, ""en"", ""bn"")"),"হা-ডু-ডু-তে কোন খেলার উপাদানের জন্য খেলোয়াড়দের দম আটকে রাখতে হয়?")</f>
        <v>হা-ডু-ডু-তে কোন খেলার উপাদানের জন্য খেলোয়াড়দের দম আটকে রাখতে হয়?</v>
      </c>
      <c r="L14" s="10" t="str">
        <f>IFERROR(__xludf.DUMMYFUNCTION("GOOGLETRANSLATE(C14, ""en"", ""bn"")"),"ক) আক্রমণ পর্ব, খ) প্রতিরক্ষা পর্ব, গ) ট্যাকল পর্ব, ঘ) স্প্রিন্ট পর্ব")</f>
        <v>ক) আক্রমণ পর্ব, খ) প্রতিরক্ষা পর্ব, গ) ট্যাকল পর্ব, ঘ) স্প্রিন্ট পর্ব</v>
      </c>
      <c r="M14" s="10" t="str">
        <f>IFERROR(__xludf.DUMMYFUNCTION("GOOGLETRANSLATE(D14, ""en"", ""bn"")"),"ক) আক্রমণের পর্যায়")</f>
        <v>ক) আক্রমণের পর্যায়</v>
      </c>
      <c r="N14" s="10" t="str">
        <f>IFERROR(__xludf.DUMMYFUNCTION("GOOGLETRANSLATE(E14, ""en"", ""bn"")"),"হা-ডু-ডুতে, আক্রমণাত্মক খেলোয়াড়কে প্রতিপক্ষ দলের এলাকায় প্রবেশের সময় তার শ্বাস আটকে রাখতে হবে।")</f>
        <v>হা-ডু-ডুতে, আক্রমণাত্মক খেলোয়াড়কে প্রতিপক্ষ দলের এলাকায় প্রবেশের সময় তার শ্বাস আটকে রাখতে হবে।</v>
      </c>
    </row>
    <row r="15">
      <c r="A15" s="4">
        <v>14.0</v>
      </c>
      <c r="B15" s="4" t="s">
        <v>1526</v>
      </c>
      <c r="C15" s="4" t="s">
        <v>1527</v>
      </c>
      <c r="D15" s="4" t="s">
        <v>1528</v>
      </c>
      <c r="E15" s="4" t="s">
        <v>1529</v>
      </c>
      <c r="J15" s="10" t="str">
        <f>IFERROR(__xludf.DUMMYFUNCTION("GOOGLETRANSLATE(A15, ""en"", ""bn"")"),"১৪")</f>
        <v>১৪</v>
      </c>
      <c r="K15" s="10" t="str">
        <f>IFERROR(__xludf.DUMMYFUNCTION("GOOGLETRANSLATE(B15, ""en"", ""bn"")"),"ভারতে ঔপনিবেশিক শাসনামলে কোন শাসক কর্তৃপক্ষ হা-ডু-ডু নিষিদ্ধ করেছিল?")</f>
        <v>ভারতে ঔপনিবেশিক শাসনামলে কোন শাসক কর্তৃপক্ষ হা-ডু-ডু নিষিদ্ধ করেছিল?</v>
      </c>
      <c r="L15" s="10" t="str">
        <f>IFERROR(__xludf.DUMMYFUNCTION("GOOGLETRANSLATE(C15, ""en"", ""bn"")"),"ক) ব্রিটিশ সরকার, খ) মুঘল সাম্রাজ্য, গ) ভারতীয় জাতীয় কংগ্রেস, ঘ) মারাঠা কনফেডারেসি")</f>
        <v>ক) ব্রিটিশ সরকার, খ) মুঘল সাম্রাজ্য, গ) ভারতীয় জাতীয় কংগ্রেস, ঘ) মারাঠা কনফেডারেসি</v>
      </c>
      <c r="M15" s="10" t="str">
        <f>IFERROR(__xludf.DUMMYFUNCTION("GOOGLETRANSLATE(D15, ""en"", ""bn"")"),"ক) ব্রিটিশ সরকার")</f>
        <v>ক) ব্রিটিশ সরকার</v>
      </c>
      <c r="N15" s="10" t="str">
        <f>IFERROR(__xludf.DUMMYFUNCTION("GOOGLETRANSLATE(E15, ""en"", ""bn"")"),"ব্রিটিশ ঔপনিবেশিক সরকার কিছু সময়ের জন্য হা-ডু-ডু নিষিদ্ধ করে, কারণ এটিকে অত্যধিক শারীরিক এবং বিঘ্নিতকারী হিসেবে দেখা হত।")</f>
        <v>ব্রিটিশ ঔপনিবেশিক সরকার কিছু সময়ের জন্য হা-ডু-ডু নিষিদ্ধ করে, কারণ এটিকে অত্যধিক শারীরিক এবং বিঘ্নিতকারী হিসেবে দেখা হত।</v>
      </c>
    </row>
    <row r="16">
      <c r="A16" s="4">
        <v>15.0</v>
      </c>
      <c r="B16" s="4" t="s">
        <v>1530</v>
      </c>
      <c r="C16" s="4" t="s">
        <v>1531</v>
      </c>
      <c r="D16" s="4" t="s">
        <v>1532</v>
      </c>
      <c r="E16" s="4" t="s">
        <v>1533</v>
      </c>
      <c r="J16" s="10" t="str">
        <f>IFERROR(__xludf.DUMMYFUNCTION("GOOGLETRANSLATE(A16, ""en"", ""bn"")"),"১৫")</f>
        <v>১৫</v>
      </c>
      <c r="K16" s="10" t="str">
        <f>IFERROR(__xludf.DUMMYFUNCTION("GOOGLETRANSLATE(B16, ""en"", ""bn"")"),"বিংশ শতাব্দীতে কোন আন্তর্জাতিক ক্রীড়া ইভেন্টে হা-ডু-ডু খেলা হত?")</f>
        <v>বিংশ শতাব্দীতে কোন আন্তর্জাতিক ক্রীড়া ইভেন্টে হা-ডু-ডু খেলা হত?</v>
      </c>
      <c r="L16" s="10" t="str">
        <f>IFERROR(__xludf.DUMMYFUNCTION("GOOGLETRANSLATE(C16, ""en"", ""bn"")"),"ক) কমনওয়েলথ গেমস, খ) দক্ষিণ এশীয় গেমস, গ) এশিয়ান গেমস, ঘ) অলিম্পিক")</f>
        <v>ক) কমনওয়েলথ গেমস, খ) দক্ষিণ এশীয় গেমস, গ) এশিয়ান গেমস, ঘ) অলিম্পিক</v>
      </c>
      <c r="M16" s="10" t="str">
        <f>IFERROR(__xludf.DUMMYFUNCTION("GOOGLETRANSLATE(D16, ""en"", ""bn"")"),"খ) দক্ষিণ এশীয় গেমস")</f>
        <v>খ) দক্ষিণ এশীয় গেমস</v>
      </c>
      <c r="N16" s="10" t="str">
        <f>IFERROR(__xludf.DUMMYFUNCTION("GOOGLETRANSLATE(E16, ""en"", ""bn"")"),"দক্ষিণ এশীয় গেমসে হা-ডু-ডু প্রদর্শিত হয়েছিল, যা ঐতিহ্যবাহী বাংলাদেশী খেলাধুলাকে প্রচারে সহায়তা করেছিল।")</f>
        <v>দক্ষিণ এশীয় গেমসে হা-ডু-ডু প্রদর্শিত হয়েছিল, যা ঐতিহ্যবাহী বাংলাদেশী খেলাধুলাকে প্রচারে সহায়তা করেছিল।</v>
      </c>
    </row>
    <row r="17">
      <c r="A17" s="4">
        <v>16.0</v>
      </c>
      <c r="B17" s="4" t="s">
        <v>1534</v>
      </c>
      <c r="C17" s="4" t="s">
        <v>1535</v>
      </c>
      <c r="D17" s="4" t="s">
        <v>1536</v>
      </c>
      <c r="E17" s="4" t="s">
        <v>1537</v>
      </c>
      <c r="J17" s="10" t="str">
        <f>IFERROR(__xludf.DUMMYFUNCTION("GOOGLETRANSLATE(A17, ""en"", ""bn"")"),"১৬")</f>
        <v>১৬</v>
      </c>
      <c r="K17" s="10" t="str">
        <f>IFERROR(__xludf.DUMMYFUNCTION("GOOGLETRANSLATE(B17, ""en"", ""bn"")"),"হা-ডু-ডু সাধারণত কোন ধরণের মাঠে খেলা হয়?")</f>
        <v>হা-ডু-ডু সাধারণত কোন ধরণের মাঠে খেলা হয়?</v>
      </c>
      <c r="L17" s="10" t="str">
        <f>IFERROR(__xludf.DUMMYFUNCTION("GOOGLETRANSLATE(C17, ""en"", ""bn"")"),"ক) ঘাসের মাঠ, খ) কংক্রিটের মাঠ, গ) বালির মাঠ, ঘ) কর্দমাক্ত মাঠ")</f>
        <v>ক) ঘাসের মাঠ, খ) কংক্রিটের মাঠ, গ) বালির মাঠ, ঘ) কর্দমাক্ত মাঠ</v>
      </c>
      <c r="M17" s="10" t="str">
        <f>IFERROR(__xludf.DUMMYFUNCTION("GOOGLETRANSLATE(D17, ""en"", ""bn"")"),"ঘ) কর্দমাক্ত মাটি")</f>
        <v>ঘ) কর্দমাক্ত মাটি</v>
      </c>
      <c r="N17" s="10" t="str">
        <f>IFERROR(__xludf.DUMMYFUNCTION("GOOGLETRANSLATE(E17, ""en"", ""bn"")"),"হা-ডু-ডু ঐতিহ্যগতভাবে কর্দমাক্ত মাটিতে খেলা হয়, যা এই খেলার শারীরিক চ্যালেঞ্জকে আরও বাড়িয়ে তোলে।")</f>
        <v>হা-ডু-ডু ঐতিহ্যগতভাবে কর্দমাক্ত মাটিতে খেলা হয়, যা এই খেলার শারীরিক চ্যালেঞ্জকে আরও বাড়িয়ে তোলে।</v>
      </c>
    </row>
    <row r="18">
      <c r="A18" s="4">
        <v>17.0</v>
      </c>
      <c r="B18" s="4" t="s">
        <v>1538</v>
      </c>
      <c r="C18" s="4" t="s">
        <v>1539</v>
      </c>
      <c r="D18" s="4" t="s">
        <v>1540</v>
      </c>
      <c r="E18" s="4" t="s">
        <v>1541</v>
      </c>
      <c r="J18" s="10" t="str">
        <f>IFERROR(__xludf.DUMMYFUNCTION("GOOGLETRANSLATE(A18, ""en"", ""bn"")"),"১৭")</f>
        <v>১৭</v>
      </c>
      <c r="K18" s="10" t="str">
        <f>IFERROR(__xludf.DUMMYFUNCTION("GOOGLETRANSLATE(B18, ""en"", ""bn"")"),"কোন বাংলাদেশী ক্রীড়া ইভেন্টে বার্ষিক হা-ডু-ডু টুর্নামেন্ট অনুষ্ঠিত হয়?")</f>
        <v>কোন বাংলাদেশী ক্রীড়া ইভেন্টে বার্ষিক হা-ডু-ডু টুর্নামেন্ট অনুষ্ঠিত হয়?</v>
      </c>
      <c r="L18" s="10" t="str">
        <f>IFERROR(__xludf.DUMMYFUNCTION("GOOGLETRANSLATE(C18, ""en"", ""bn"")"),"ক) ঢাকা ওপেন, খ) বাংলাদেশ জাতীয় গেমস, গ) চট্টগ্রাম ক্রীড়া প্রতিযোগিতা, ঘ) সিলেট কাপ")</f>
        <v>ক) ঢাকা ওপেন, খ) বাংলাদেশ জাতীয় গেমস, গ) চট্টগ্রাম ক্রীড়া প্রতিযোগিতা, ঘ) সিলেট কাপ</v>
      </c>
      <c r="M18" s="10" t="str">
        <f>IFERROR(__xludf.DUMMYFUNCTION("GOOGLETRANSLATE(D18, ""en"", ""bn"")"),"খ) বাংলাদেশ জাতীয় গেমস")</f>
        <v>খ) বাংলাদেশ জাতীয় গেমস</v>
      </c>
      <c r="N18" s="10" t="str">
        <f>IFERROR(__xludf.DUMMYFUNCTION("GOOGLETRANSLATE(E18, ""en"", ""bn"")"),"বাংলাদেশ জাতীয় গেমসের সময় নিয়মিতভাবে হা-ডু-ডু খেলা হয়, যা দেশের ঐতিহ্যবাহী খেলাধুলা উদযাপন করে।")</f>
        <v>বাংলাদেশ জাতীয় গেমসের সময় নিয়মিতভাবে হা-ডু-ডু খেলা হয়, যা দেশের ঐতিহ্যবাহী খেলাধুলা উদযাপন করে।</v>
      </c>
    </row>
    <row r="19">
      <c r="A19" s="4">
        <v>18.0</v>
      </c>
      <c r="B19" s="4" t="s">
        <v>1542</v>
      </c>
      <c r="C19" s="4" t="s">
        <v>1543</v>
      </c>
      <c r="D19" s="4" t="s">
        <v>1544</v>
      </c>
      <c r="E19" s="4" t="s">
        <v>1545</v>
      </c>
      <c r="J19" s="10" t="str">
        <f>IFERROR(__xludf.DUMMYFUNCTION("GOOGLETRANSLATE(A19, ""en"", ""bn"")"),"১৮")</f>
        <v>১৮</v>
      </c>
      <c r="K19" s="10" t="str">
        <f>IFERROR(__xludf.DUMMYFUNCTION("GOOGLETRANSLATE(B19, ""en"", ""bn"")"),"হা-ডু-ডু বাদকরা সাধারণত কোন ধরণের পোশাক পরেন?")</f>
        <v>হা-ডু-ডু বাদকরা সাধারণত কোন ধরণের পোশাক পরেন?</v>
      </c>
      <c r="L19" s="10" t="str">
        <f>IFERROR(__xludf.DUMMYFUNCTION("GOOGLETRANSLATE(C19, ""en"", ""bn"")"),"ক) ঐতিহ্যবাহী শাড়ি, খ) টাইট-ফিটিং শর্টস, গ) ঢিলেঢালা সুতির পোশাক, ঘ) কুস্তির পোশাক")</f>
        <v>ক) ঐতিহ্যবাহী শাড়ি, খ) টাইট-ফিটিং শর্টস, গ) ঢিলেঢালা সুতির পোশাক, ঘ) কুস্তির পোশাক</v>
      </c>
      <c r="M19" s="10" t="str">
        <f>IFERROR(__xludf.DUMMYFUNCTION("GOOGLETRANSLATE(D19, ""en"", ""bn"")"),"গ) ঢিলেঢালা সুতির পোশাক")</f>
        <v>গ) ঢিলেঢালা সুতির পোশাক</v>
      </c>
      <c r="N19" s="10" t="str">
        <f>IFERROR(__xludf.DUMMYFUNCTION("GOOGLETRANSLATE(E19, ""en"", ""bn"")"),"খেলোয়াড়রা সাধারণত ঢিলেঢালা সুতির পোশাক পরেন যা খেলার সময় তাদের অবাধ চলাচলের সুযোগ করে দেয়।")</f>
        <v>খেলোয়াড়রা সাধারণত ঢিলেঢালা সুতির পোশাক পরেন যা খেলার সময় তাদের অবাধ চলাচলের সুযোগ করে দেয়।</v>
      </c>
    </row>
    <row r="20">
      <c r="A20" s="4">
        <v>19.0</v>
      </c>
      <c r="B20" s="4" t="s">
        <v>1546</v>
      </c>
      <c r="C20" s="4" t="s">
        <v>1547</v>
      </c>
      <c r="D20" s="4" t="s">
        <v>1548</v>
      </c>
      <c r="E20" s="4" t="s">
        <v>1549</v>
      </c>
      <c r="J20" s="10" t="str">
        <f>IFERROR(__xludf.DUMMYFUNCTION("GOOGLETRANSLATE(A20, ""en"", ""bn"")"),"১৯")</f>
        <v>১৯</v>
      </c>
      <c r="K20" s="10" t="str">
        <f>IFERROR(__xludf.DUMMYFUNCTION("GOOGLETRANSLATE(B20, ""en"", ""bn"")"),"হা-ডু-ডু কোন সালে বাংলাদেশে আনুষ্ঠানিকভাবে একটি খেলা হিসেবে স্বীকৃতি পায়?")</f>
        <v>হা-ডু-ডু কোন সালে বাংলাদেশে আনুষ্ঠানিকভাবে একটি খেলা হিসেবে স্বীকৃতি পায়?</v>
      </c>
      <c r="L20" s="10" t="str">
        <f>IFERROR(__xludf.DUMMYFUNCTION("GOOGLETRANSLATE(C20, ""en"", ""bn"")"),"ক) ১৯৫৫, খ) ১৯৭১, গ) ১৯৮৫, ঘ) ১৯৯০")</f>
        <v>ক) ১৯৫৫, খ) ১৯৭১, গ) ১৯৮৫, ঘ) ১৯৯০</v>
      </c>
      <c r="M20" s="10" t="str">
        <f>IFERROR(__xludf.DUMMYFUNCTION("GOOGLETRANSLATE(D20, ""en"", ""bn"")"),"গ) ১৯৮৫")</f>
        <v>গ) ১৯৮৫</v>
      </c>
      <c r="N20" s="10" t="str">
        <f>IFERROR(__xludf.DUMMYFUNCTION("GOOGLETRANSLATE(E20, ""en"", ""bn"")"),"১৯৮৫ সালে বাংলাদেশে হা-ডু-ডু আনুষ্ঠানিকভাবে একটি খেলা হিসেবে স্বীকৃতি পায়, যা এর জনপ্রিয়তা বৃদ্ধির লক্ষণ।")</f>
        <v>১৯৮৫ সালে বাংলাদেশে হা-ডু-ডু আনুষ্ঠানিকভাবে একটি খেলা হিসেবে স্বীকৃতি পায়, যা এর জনপ্রিয়তা বৃদ্ধির লক্ষণ।</v>
      </c>
    </row>
    <row r="21">
      <c r="A21" s="4">
        <v>20.0</v>
      </c>
      <c r="B21" s="4" t="s">
        <v>1550</v>
      </c>
      <c r="C21" s="4" t="s">
        <v>1551</v>
      </c>
      <c r="D21" s="4" t="s">
        <v>1552</v>
      </c>
      <c r="E21" s="4" t="s">
        <v>1553</v>
      </c>
      <c r="J21" s="10" t="str">
        <f>IFERROR(__xludf.DUMMYFUNCTION("GOOGLETRANSLATE(A21, ""en"", ""bn"")"),"২০")</f>
        <v>২০</v>
      </c>
      <c r="K21" s="10" t="str">
        <f>IFERROR(__xludf.DUMMYFUNCTION("GOOGLETRANSLATE(B21, ""en"", ""bn"")"),"হা-ডু-ডু দক্ষিণ এশিয়ার কোন অঞ্চলের সাংস্কৃতিক ঐতিহ্যের অংশ?")</f>
        <v>হা-ডু-ডু দক্ষিণ এশিয়ার কোন অঞ্চলের সাংস্কৃতিক ঐতিহ্যের অংশ?</v>
      </c>
      <c r="L21" s="10" t="str">
        <f>IFERROR(__xludf.DUMMYFUNCTION("GOOGLETRANSLATE(C21, ""en"", ""bn"")"),"ক) পাঞ্জাব, খ) বাংলা, গ) কেরালা, ঘ) গুজরাট")</f>
        <v>ক) পাঞ্জাব, খ) বাংলা, গ) কেরালা, ঘ) গুজরাট</v>
      </c>
      <c r="M21" s="10" t="str">
        <f>IFERROR(__xludf.DUMMYFUNCTION("GOOGLETRANSLATE(D21, ""en"", ""bn"")"),"খ) বাংলা")</f>
        <v>খ) বাংলা</v>
      </c>
      <c r="N21" s="10" t="str">
        <f>IFERROR(__xludf.DUMMYFUNCTION("GOOGLETRANSLATE(E21, ""en"", ""bn"")"),"হা-ডু-ডু বাংলা অঞ্চলের, বিশেষ করে বাংলাদেশের সাংস্কৃতিক ঐতিহ্যের একটি অবিচ্ছেদ্য অংশ।")</f>
        <v>হা-ডু-ডু বাংলা অঞ্চলের, বিশেষ করে বাংলাদেশের সাংস্কৃতিক ঐতিহ্যের একটি অবিচ্ছেদ্য অংশ।</v>
      </c>
    </row>
    <row r="22">
      <c r="A22" s="4">
        <v>21.0</v>
      </c>
      <c r="B22" s="4" t="s">
        <v>1554</v>
      </c>
      <c r="C22" s="4" t="s">
        <v>1555</v>
      </c>
      <c r="D22" s="4" t="s">
        <v>1556</v>
      </c>
      <c r="E22" s="4" t="s">
        <v>1557</v>
      </c>
      <c r="J22" s="10" t="str">
        <f>IFERROR(__xludf.DUMMYFUNCTION("GOOGLETRANSLATE(A22, ""en"", ""bn"")"),"২১")</f>
        <v>২১</v>
      </c>
      <c r="K22" s="10" t="str">
        <f>IFERROR(__xludf.DUMMYFUNCTION("GOOGLETRANSLATE(B22, ""en"", ""bn"")"),"হা-ডু-ডু টুর্নামেন্টে কোন প্রাণীকে কখনও কখনও প্রতীক হিসেবে ব্যবহার করা হয়?")</f>
        <v>হা-ডু-ডু টুর্নামেন্টে কোন প্রাণীকে কখনও কখনও প্রতীক হিসেবে ব্যবহার করা হয়?</v>
      </c>
      <c r="L22" s="10" t="str">
        <f>IFERROR(__xludf.DUMMYFUNCTION("GOOGLETRANSLATE(C22, ""en"", ""bn"")"),"ক) হাতি, খ) সিংহ, গ) বাঘ, ঘ) ঘোড়া")</f>
        <v>ক) হাতি, খ) সিংহ, গ) বাঘ, ঘ) ঘোড়া</v>
      </c>
      <c r="M22" s="10" t="str">
        <f>IFERROR(__xludf.DUMMYFUNCTION("GOOGLETRANSLATE(D22, ""en"", ""bn"")"),"গ) বাঘ")</f>
        <v>গ) বাঘ</v>
      </c>
      <c r="N22" s="10" t="str">
        <f>IFERROR(__xludf.DUMMYFUNCTION("GOOGLETRANSLATE(E22, ""en"", ""bn"")"),"বাঘ শক্তি এবং সাহসের প্রতীক, যা প্রায়শই হা-ডু-ডু টুর্নামেন্টে খেলার চেতনার প্রতিনিধিত্ব করতে ব্যবহৃত হয়।")</f>
        <v>বাঘ শক্তি এবং সাহসের প্রতীক, যা প্রায়শই হা-ডু-ডু টুর্নামেন্টে খেলার চেতনার প্রতিনিধিত্ব করতে ব্যবহৃত হয়।</v>
      </c>
    </row>
    <row r="23">
      <c r="A23" s="4">
        <v>22.0</v>
      </c>
      <c r="B23" s="4" t="s">
        <v>1558</v>
      </c>
      <c r="C23" s="4" t="s">
        <v>1559</v>
      </c>
      <c r="D23" s="4" t="s">
        <v>1560</v>
      </c>
      <c r="E23" s="4" t="s">
        <v>1561</v>
      </c>
      <c r="J23" s="10" t="str">
        <f>IFERROR(__xludf.DUMMYFUNCTION("GOOGLETRANSLATE(A23, ""en"", ""bn"")"),"২২")</f>
        <v>২২</v>
      </c>
      <c r="K23" s="10" t="str">
        <f>IFERROR(__xludf.DUMMYFUNCTION("GOOGLETRANSLATE(B23, ""en"", ""bn"")"),"হা-ডু-ডু খেলায় দর্শকদের ভূমিকা কী?")</f>
        <v>হা-ডু-ডু খেলায় দর্শকদের ভূমিকা কী?</v>
      </c>
      <c r="L23" s="10" t="str">
        <f>IFERROR(__xludf.DUMMYFUNCTION("GOOGLETRANSLATE(C23, ""en"", ""bn"")"),"ক) তারা বিচারক হিসেবে কাজ করে, খ) তারা দলকে উৎসাহিত করে এবং অনুপ্রাণিত করে, গ) তারা খেলোয়াড়দের বিকল্প হিসেবে কাজ করে, ঘ) তারা কৌশলগত পরামর্শ প্রদান করে")</f>
        <v>ক) তারা বিচারক হিসেবে কাজ করে, খ) তারা দলকে উৎসাহিত করে এবং অনুপ্রাণিত করে, গ) তারা খেলোয়াড়দের বিকল্প হিসেবে কাজ করে, ঘ) তারা কৌশলগত পরামর্শ প্রদান করে</v>
      </c>
      <c r="M23" s="10" t="str">
        <f>IFERROR(__xludf.DUMMYFUNCTION("GOOGLETRANSLATE(D23, ""en"", ""bn"")"),"খ) তারা দলগুলিকে উৎসাহিত করে এবং অনুপ্রাণিত করে")</f>
        <v>খ) তারা দলগুলিকে উৎসাহিত করে এবং অনুপ্রাণিত করে</v>
      </c>
      <c r="N23" s="10" t="str">
        <f>IFERROR(__xludf.DUMMYFUNCTION("GOOGLETRANSLATE(E23, ""en"", ""bn"")"),"তীব্র ম্যাচের সময় খেলোয়াড়দের উৎসাহিত করে এবং মনোবল বৃদ্ধিকারী সহায়তা প্রদান করে দর্শকরা গুরুত্বপূর্ণ ভূমিকা পালন করে।")</f>
        <v>তীব্র ম্যাচের সময় খেলোয়াড়দের উৎসাহিত করে এবং মনোবল বৃদ্ধিকারী সহায়তা প্রদান করে দর্শকরা গুরুত্বপূর্ণ ভূমিকা পালন করে।</v>
      </c>
    </row>
    <row r="24">
      <c r="A24" s="4">
        <v>23.0</v>
      </c>
      <c r="B24" s="4" t="s">
        <v>1562</v>
      </c>
      <c r="C24" s="4" t="s">
        <v>1563</v>
      </c>
      <c r="D24" s="4" t="s">
        <v>1564</v>
      </c>
      <c r="E24" s="4" t="s">
        <v>1565</v>
      </c>
      <c r="J24" s="10" t="str">
        <f>IFERROR(__xludf.DUMMYFUNCTION("GOOGLETRANSLATE(A24, ""en"", ""bn"")"),"২৩")</f>
        <v>২৩</v>
      </c>
      <c r="K24" s="10" t="str">
        <f>IFERROR(__xludf.DUMMYFUNCTION("GOOGLETRANSLATE(B24, ""en"", ""bn"")"),"হা-ডু-ডুতে, প্রতিপক্ষের দলকে আক্রমণকারী খেলোয়াড়কে কী শব্দটি ব্যবহার করা হয়?")</f>
        <v>হা-ডু-ডুতে, প্রতিপক্ষের দলকে আক্রমণকারী খেলোয়াড়কে কী শব্দটি ব্যবহার করা হয়?</v>
      </c>
      <c r="L24" s="10" t="str">
        <f>IFERROR(__xludf.DUMMYFUNCTION("GOOGLETRANSLATE(C24, ""en"", ""bn"")"),"ক) রাইডার, খ) রানার, গ) ট্যাগার, ঘ) চেজার")</f>
        <v>ক) রাইডার, খ) রানার, গ) ট্যাগার, ঘ) চেজার</v>
      </c>
      <c r="M24" s="10" t="str">
        <f>IFERROR(__xludf.DUMMYFUNCTION("GOOGLETRANSLATE(D24, ""en"", ""bn"")"),"ক) দ্য রেইডার")</f>
        <v>ক) দ্য রেইডার</v>
      </c>
      <c r="N24" s="10" t="str">
        <f>IFERROR(__xludf.DUMMYFUNCTION("GOOGLETRANSLATE(E24, ""en"", ""bn"")"),"হা-ডু-ডুতে আক্রমণাত্মক খেলোয়াড়কে রেইডার বলা হয়, যা কাবাডিতে ব্যবহৃত শব্দটির অনুরূপ।")</f>
        <v>হা-ডু-ডুতে আক্রমণাত্মক খেলোয়াড়কে রেইডার বলা হয়, যা কাবাডিতে ব্যবহৃত শব্দটির অনুরূপ।</v>
      </c>
    </row>
    <row r="25">
      <c r="A25" s="4">
        <v>24.0</v>
      </c>
      <c r="B25" s="4" t="s">
        <v>1566</v>
      </c>
      <c r="C25" s="4" t="s">
        <v>1567</v>
      </c>
      <c r="D25" s="4" t="s">
        <v>1568</v>
      </c>
      <c r="E25" s="4" t="s">
        <v>1569</v>
      </c>
      <c r="J25" s="10" t="str">
        <f>IFERROR(__xludf.DUMMYFUNCTION("GOOGLETRANSLATE(A25, ""en"", ""bn"")"),"২৪")</f>
        <v>২৪</v>
      </c>
      <c r="K25" s="10" t="str">
        <f>IFERROR(__xludf.DUMMYFUNCTION("GOOGLETRANSLATE(B25, ""en"", ""bn"")"),"কোন ঘটনার ফলে বাংলাদেশের বাইরে হা-ডু-ডু জনপ্রিয় হয়ে ওঠে?")</f>
        <v>কোন ঘটনার ফলে বাংলাদেশের বাইরে হা-ডু-ডু জনপ্রিয় হয়ে ওঠে?</v>
      </c>
      <c r="L25" s="10" t="str">
        <f>IFERROR(__xludf.DUMMYFUNCTION("GOOGLETRANSLATE(C25, ""en"", ""bn"")"),"ক) ১৯৯০ সালের বিশ্বকাপ, খ) ২০০০ সালের এশিয়ান চ্যাম্পিয়নশিপ, গ) আন্তর্জাতিক হা-ডু-ডু চ্যাম্পিয়নশিপ, ঘ) ২০১৪ সালের দক্ষিণ এশীয় গেমস")</f>
        <v>ক) ১৯৯০ সালের বিশ্বকাপ, খ) ২০০০ সালের এশিয়ান চ্যাম্পিয়নশিপ, গ) আন্তর্জাতিক হা-ডু-ডু চ্যাম্পিয়নশিপ, ঘ) ২০১৪ সালের দক্ষিণ এশীয় গেমস</v>
      </c>
      <c r="M25" s="10" t="str">
        <f>IFERROR(__xludf.DUMMYFUNCTION("GOOGLETRANSLATE(D25, ""en"", ""bn"")"),"গ) আন্তর্জাতিক হা-ডু-ডু চ্যাম্পিয়নশিপ")</f>
        <v>গ) আন্তর্জাতিক হা-ডু-ডু চ্যাম্পিয়নশিপ</v>
      </c>
      <c r="N25" s="10" t="str">
        <f>IFERROR(__xludf.DUMMYFUNCTION("GOOGLETRANSLATE(E25, ""en"", ""bn"")"),"আন্তর্জাতিক হা-ডু-ডু চ্যাম্পিয়নশিপ বাংলাদেশের বাইরেও এই খেলাটিকে জনপ্রিয় করে তোলে, আঞ্চলিক অংশগ্রহণকে উৎসাহিত করে।")</f>
        <v>আন্তর্জাতিক হা-ডু-ডু চ্যাম্পিয়নশিপ বাংলাদেশের বাইরেও এই খেলাটিকে জনপ্রিয় করে তোলে, আঞ্চলিক অংশগ্রহণকে উৎসাহিত করে।</v>
      </c>
    </row>
    <row r="26">
      <c r="A26" s="4">
        <v>25.0</v>
      </c>
      <c r="B26" s="4" t="s">
        <v>1570</v>
      </c>
      <c r="C26" s="4" t="s">
        <v>1571</v>
      </c>
      <c r="D26" s="4" t="s">
        <v>1572</v>
      </c>
      <c r="E26" s="4" t="s">
        <v>1573</v>
      </c>
      <c r="J26" s="10" t="str">
        <f>IFERROR(__xludf.DUMMYFUNCTION("GOOGLETRANSLATE(A26, ""en"", ""bn"")"),"২৫")</f>
        <v>২৫</v>
      </c>
      <c r="K26" s="10" t="str">
        <f>IFERROR(__xludf.DUMMYFUNCTION("GOOGLETRANSLATE(B26, ""en"", ""bn"")"),"কোন নিয়ন্ত্রক সংস্থা হা-ডু-ডু-এর সরকারী নিয়মকানুন তত্ত্বাবধান করে?")</f>
        <v>কোন নিয়ন্ত্রক সংস্থা হা-ডু-ডু-এর সরকারী নিয়মকানুন তত্ত্বাবধান করে?</v>
      </c>
      <c r="L26" s="10" t="str">
        <f>IFERROR(__xludf.DUMMYFUNCTION("GOOGLETRANSLATE(C26, ""en"", ""bn"")"),"ক) বাংলাদেশ হা-ডু-ডু অ্যাসোসিয়েশন, খ) বাংলাদেশ ক্রীড়া ফেডারেশন, গ) বাংলাদেশ কাবাডি ফেডারেশন, ঘ) আন্তর্জাতিক হা-ডু-ডু ফেডারেশন")</f>
        <v>ক) বাংলাদেশ হা-ডু-ডু অ্যাসোসিয়েশন, খ) বাংলাদেশ ক্রীড়া ফেডারেশন, গ) বাংলাদেশ কাবাডি ফেডারেশন, ঘ) আন্তর্জাতিক হা-ডু-ডু ফেডারেশন</v>
      </c>
      <c r="M26" s="10" t="str">
        <f>IFERROR(__xludf.DUMMYFUNCTION("GOOGLETRANSLATE(D26, ""en"", ""bn"")"),"ক) বাংলাদেশ হা-ডু-ডু অ্যাসোসিয়েশন")</f>
        <v>ক) বাংলাদেশ হা-ডু-ডু অ্যাসোসিয়েশন</v>
      </c>
      <c r="N26" s="10" t="str">
        <f>IFERROR(__xludf.DUMMYFUNCTION("GOOGLETRANSLATE(E26, ""en"", ""bn"")"),"বাংলাদেশ হা-ডু-ডু অ্যাসোসিয়েশন নিয়ম বজায় রাখা এবং অফিসিয়াল টুর্নামেন্ট আয়োজনের জন্য দায়ী।")</f>
        <v>বাংলাদেশ হা-ডু-ডু অ্যাসোসিয়েশন নিয়ম বজায় রাখা এবং অফিসিয়াল টুর্নামেন্ট আয়োজনের জন্য দায়ী।</v>
      </c>
    </row>
    <row r="27">
      <c r="A27" s="4">
        <v>26.0</v>
      </c>
      <c r="B27" s="4" t="s">
        <v>1574</v>
      </c>
      <c r="C27" s="4" t="s">
        <v>1575</v>
      </c>
      <c r="D27" s="4" t="s">
        <v>1576</v>
      </c>
      <c r="E27" s="4" t="s">
        <v>1577</v>
      </c>
      <c r="J27" s="10" t="str">
        <f>IFERROR(__xludf.DUMMYFUNCTION("GOOGLETRANSLATE(A27, ""en"", ""bn"")"),"২৬")</f>
        <v>২৬</v>
      </c>
      <c r="K27" s="10" t="str">
        <f>IFERROR(__xludf.DUMMYFUNCTION("GOOGLETRANSLATE(B27, ""en"", ""bn"")"),"ব্রিটিশ ঔপনিবেশিক আমলে বাংলায় হা-ডু-ডু ছড়িয়ে দেওয়ার কৃতিত্ব কাকে দেওয়া হয়?")</f>
        <v>ব্রিটিশ ঔপনিবেশিক আমলে বাংলায় হা-ডু-ডু ছড়িয়ে দেওয়ার কৃতিত্ব কাকে দেওয়া হয়?</v>
      </c>
      <c r="L27" s="10" t="str">
        <f>IFERROR(__xludf.DUMMYFUNCTION("GOOGLETRANSLATE(C27, ""en"", ""bn"")"),"A) স্বামী বিবেকানন্দ, B) রবীন্দ্রনাথ ঠাকুর, C) সুভাষ চন্দ্র বসু, D) সিরাজ-উদ-দৌলা")</f>
        <v>A) স্বামী বিবেকানন্দ, B) রবীন্দ্রনাথ ঠাকুর, C) সুভাষ চন্দ্র বসু, D) সিরাজ-উদ-দৌলা</v>
      </c>
      <c r="M27" s="10" t="str">
        <f>IFERROR(__xludf.DUMMYFUNCTION("GOOGLETRANSLATE(D27, ""en"", ""bn"")"),"ঘ) সিরাজ-উদ-দৌলা")</f>
        <v>ঘ) সিরাজ-উদ-দৌলা</v>
      </c>
      <c r="N27" s="10" t="str">
        <f>IFERROR(__xludf.DUMMYFUNCTION("GOOGLETRANSLATE(E27, ""en"", ""bn"")"),"বাংলার শেষ নবাব সিরাজ-উদ-দৌলা তাঁর রাজত্বকালে হা-দু-দু প্রচারের কৃতিত্ব পান।")</f>
        <v>বাংলার শেষ নবাব সিরাজ-উদ-দৌলা তাঁর রাজত্বকালে হা-দু-দু প্রচারের কৃতিত্ব পান।</v>
      </c>
    </row>
    <row r="28">
      <c r="A28" s="4">
        <v>27.0</v>
      </c>
      <c r="B28" s="4" t="s">
        <v>1578</v>
      </c>
      <c r="C28" s="4" t="s">
        <v>1579</v>
      </c>
      <c r="D28" s="4" t="s">
        <v>1580</v>
      </c>
      <c r="E28" s="4" t="s">
        <v>1581</v>
      </c>
      <c r="J28" s="10" t="str">
        <f>IFERROR(__xludf.DUMMYFUNCTION("GOOGLETRANSLATE(A28, ""en"", ""bn"")"),"২৭")</f>
        <v>২৭</v>
      </c>
      <c r="K28" s="10" t="str">
        <f>IFERROR(__xludf.DUMMYFUNCTION("GOOGLETRANSLATE(B28, ""en"", ""bn"")"),"হা-ডু-ডু মূলত কোন ধরণের সামাজিক পরিবেশে খেলা হত?")</f>
        <v>হা-ডু-ডু মূলত কোন ধরণের সামাজিক পরিবেশে খেলা হত?</v>
      </c>
      <c r="L28" s="10" t="str">
        <f>IFERROR(__xludf.DUMMYFUNCTION("GOOGLETRANSLATE(C28, ""en"", ""bn"")"),"ক) রাজসভা, খ) গ্রামীণ গ্রাম, গ) নগর শহর, ঘ) ধর্মীয় মন্দির")</f>
        <v>ক) রাজসভা, খ) গ্রামীণ গ্রাম, গ) নগর শহর, ঘ) ধর্মীয় মন্দির</v>
      </c>
      <c r="M28" s="10" t="str">
        <f>IFERROR(__xludf.DUMMYFUNCTION("GOOGLETRANSLATE(D28, ""en"", ""bn"")"),"খ) গ্রামীণ গ্রাম")</f>
        <v>খ) গ্রামীণ গ্রাম</v>
      </c>
      <c r="N28" s="10" t="str">
        <f>IFERROR(__xludf.DUMMYFUNCTION("GOOGLETRANSLATE(E28, ""en"", ""bn"")"),"স্থানীয় উৎসবের সময় খেলাধুলা হিসেবে বাংলার গ্রামাঞ্চলে হা-ডু-ডুর উৎপত্তি।")</f>
        <v>স্থানীয় উৎসবের সময় খেলাধুলা হিসেবে বাংলার গ্রামাঞ্চলে হা-ডু-ডুর উৎপত্তি।</v>
      </c>
    </row>
    <row r="29">
      <c r="A29" s="4">
        <v>28.0</v>
      </c>
      <c r="B29" s="4" t="s">
        <v>1582</v>
      </c>
      <c r="C29" s="4" t="s">
        <v>1583</v>
      </c>
      <c r="D29" s="4" t="s">
        <v>1584</v>
      </c>
      <c r="E29" s="4" t="s">
        <v>1585</v>
      </c>
      <c r="J29" s="10" t="str">
        <f>IFERROR(__xludf.DUMMYFUNCTION("GOOGLETRANSLATE(A29, ""en"", ""bn"")"),"২৮")</f>
        <v>২৮</v>
      </c>
      <c r="K29" s="10" t="str">
        <f>IFERROR(__xludf.DUMMYFUNCTION("GOOGLETRANSLATE(B29, ""en"", ""bn"")"),"হা-ডু-ডুতে প্রতিপক্ষকে সফলভাবে ট্যাগ করা খেলোয়াড়ের ঐতিহ্যবাহী বাংলা শব্দটি কী?")</f>
        <v>হা-ডু-ডুতে প্রতিপক্ষকে সফলভাবে ট্যাগ করা খেলোয়াড়ের ঐতিহ্যবাহী বাংলা শব্দটি কী?</v>
      </c>
      <c r="L29" s="10" t="str">
        <f>IFERROR(__xludf.DUMMYFUNCTION("GOOGLETRANSLATE(C29, ""en"", ""bn"")"),"ক) ছা, খ) দুদা, গ) হা-ডু, ঘ) গাদা")</f>
        <v>ক) ছা, খ) দুদা, গ) হা-ডু, ঘ) গাদা</v>
      </c>
      <c r="M29" s="10" t="str">
        <f>IFERROR(__xludf.DUMMYFUNCTION("GOOGLETRANSLATE(D29, ""en"", ""bn"")"),"গ) হা-ডু")</f>
        <v>গ) হা-ডু</v>
      </c>
      <c r="N29" s="10" t="str">
        <f>IFERROR(__xludf.DUMMYFUNCTION("GOOGLETRANSLATE(E29, ""en"", ""bn"")"),"'হা-ডু' শব্দটি খেলার একটি সফল ট্যাগ বা অ্যাকশনকে বোঝায়, যা প্রতিপক্ষের উপর জয়ের প্রতীক।")</f>
        <v>'হা-ডু' শব্দটি খেলার একটি সফল ট্যাগ বা অ্যাকশনকে বোঝায়, যা প্রতিপক্ষের উপর জয়ের প্রতীক।</v>
      </c>
    </row>
    <row r="30">
      <c r="A30" s="4">
        <v>29.0</v>
      </c>
      <c r="B30" s="4" t="s">
        <v>1586</v>
      </c>
      <c r="C30" s="4" t="s">
        <v>1587</v>
      </c>
      <c r="D30" s="4" t="s">
        <v>1588</v>
      </c>
      <c r="E30" s="4" t="s">
        <v>1589</v>
      </c>
      <c r="J30" s="10" t="str">
        <f>IFERROR(__xludf.DUMMYFUNCTION("GOOGLETRANSLATE(A30, ""en"", ""bn"")"),"২৯")</f>
        <v>২৯</v>
      </c>
      <c r="K30" s="10" t="str">
        <f>IFERROR(__xludf.DUMMYFUNCTION("GOOGLETRANSLATE(B30, ""en"", ""bn"")"),"কোন বিখ্যাত বাঙালি কবি তাঁর একটি কবিতায় হা-ডু-ডু সম্পর্কে লিখেছেন?")</f>
        <v>কোন বিখ্যাত বাঙালি কবি তাঁর একটি কবিতায় হা-ডু-ডু সম্পর্কে লিখেছেন?</v>
      </c>
      <c r="L30" s="10" t="str">
        <f>IFERROR(__xludf.DUMMYFUNCTION("GOOGLETRANSLATE(C30, ""en"", ""bn"")"),"A) কাজী নজরুল ইসলাম, B) রবীন্দ্রনাথ ঠাকুর, C) জীবনানন্দ দাশ, D) মাইকেল মধুসূদন দত্ত")</f>
        <v>A) কাজী নজরুল ইসলাম, B) রবীন্দ্রনাথ ঠাকুর, C) জীবনানন্দ দাশ, D) মাইকেল মধুসূদন দত্ত</v>
      </c>
      <c r="M30" s="10" t="str">
        <f>IFERROR(__xludf.DUMMYFUNCTION("GOOGLETRANSLATE(D30, ""en"", ""bn"")"),"খ) রবীন্দ্রনাথ ঠাকুর")</f>
        <v>খ) রবীন্দ্রনাথ ঠাকুর</v>
      </c>
      <c r="N30" s="10" t="str">
        <f>IFERROR(__xludf.DUMMYFUNCTION("GOOGLETRANSLATE(E30, ""en"", ""bn"")"),"রবীন্দ্রনাথ ঠাকুর তাঁর লেখায় হা-ডু-ডুর উল্লেখ করেছেন, এর সাংস্কৃতিক তাৎপর্য উদযাপন করেছেন।")</f>
        <v>রবীন্দ্রনাথ ঠাকুর তাঁর লেখায় হা-ডু-ডুর উল্লেখ করেছেন, এর সাংস্কৃতিক তাৎপর্য উদযাপন করেছেন।</v>
      </c>
    </row>
    <row r="31">
      <c r="A31" s="4">
        <v>30.0</v>
      </c>
      <c r="B31" s="4" t="s">
        <v>1590</v>
      </c>
      <c r="C31" s="4" t="s">
        <v>1591</v>
      </c>
      <c r="D31" s="4" t="s">
        <v>1592</v>
      </c>
      <c r="E31" s="4" t="s">
        <v>1593</v>
      </c>
      <c r="J31" s="10" t="str">
        <f>IFERROR(__xludf.DUMMYFUNCTION("GOOGLETRANSLATE(A31, ""en"", ""bn"")"),"৩০")</f>
        <v>৩০</v>
      </c>
      <c r="K31" s="10" t="str">
        <f>IFERROR(__xludf.DUMMYFUNCTION("GOOGLETRANSLATE(B31, ""en"", ""bn"")"),"কোন রাজবংশ তাদের রাজকীয় বিনোদনের অংশ হিসেবে হা-ডু-ডু উপভোগ করত বলে মনে করা হয়?")</f>
        <v>কোন রাজবংশ তাদের রাজকীয় বিনোদনের অংশ হিসেবে হা-ডু-ডু উপভোগ করত বলে মনে করা হয়?</v>
      </c>
      <c r="L31" s="10" t="str">
        <f>IFERROR(__xludf.DUMMYFUNCTION("GOOGLETRANSLATE(C31, ""en"", ""bn"")"),"ক) গুপ্ত রাজবংশ, খ) মৌর্য রাজবংশ, গ) বাংলার সালতানাত, ঘ) মুঘলরা")</f>
        <v>ক) গুপ্ত রাজবংশ, খ) মৌর্য রাজবংশ, গ) বাংলার সালতানাত, ঘ) মুঘলরা</v>
      </c>
      <c r="M31" s="10" t="str">
        <f>IFERROR(__xludf.DUMMYFUNCTION("GOOGLETRANSLATE(D31, ""en"", ""bn"")"),"গ) বাংলার সালতানাত")</f>
        <v>গ) বাংলার সালতানাত</v>
      </c>
      <c r="N31" s="10" t="str">
        <f>IFERROR(__xludf.DUMMYFUNCTION("GOOGLETRANSLATE(E31, ""en"", ""bn"")"),"বাংলার সুলতানি আমলে তাদের অভিজাতদের জন্য বিনোদনমূলক কার্যকলাপ হিসেবে হা-ডু-ডু চালু করা হয়েছিল বলে মনে করা হয়।")</f>
        <v>বাংলার সুলতানি আমলে তাদের অভিজাতদের জন্য বিনোদনমূলক কার্যকলাপ হিসেবে হা-ডু-ডু চালু করা হয়েছিল বলে মনে করা হয়।</v>
      </c>
    </row>
    <row r="32">
      <c r="A32" s="4">
        <v>31.0</v>
      </c>
      <c r="B32" s="4" t="s">
        <v>1594</v>
      </c>
      <c r="C32" s="4" t="s">
        <v>1595</v>
      </c>
      <c r="D32" s="4" t="s">
        <v>1596</v>
      </c>
      <c r="E32" s="4" t="s">
        <v>1597</v>
      </c>
      <c r="J32" s="10" t="str">
        <f>IFERROR(__xludf.DUMMYFUNCTION("GOOGLETRANSLATE(A32, ""en"", ""bn"")"),"৩১")</f>
        <v>৩১</v>
      </c>
      <c r="K32" s="10" t="str">
        <f>IFERROR(__xludf.DUMMYFUNCTION("GOOGLETRANSLATE(B32, ""en"", ""bn"")"),"১৯৬০-এর দশকে কোন ধরণের গণমাধ্যমের উত্থানের ফলে হা-ডু-ডু-এর জনপ্রিয়তা বৃদ্ধি পায়?")</f>
        <v>১৯৬০-এর দশকে কোন ধরণের গণমাধ্যমের উত্থানের ফলে হা-ডু-ডু-এর জনপ্রিয়তা বৃদ্ধি পায়?</v>
      </c>
      <c r="L32" s="10" t="str">
        <f>IFERROR(__xludf.DUMMYFUNCTION("GOOGLETRANSLATE(C32, ""en"", ""bn"")"),"ক) রেডিও সম্প্রচার, খ) টেলিভিশন সম্প্রচার, গ) মুদ্রণ মাধ্যম, ঘ) ইন্টারনেট")</f>
        <v>ক) রেডিও সম্প্রচার, খ) টেলিভিশন সম্প্রচার, গ) মুদ্রণ মাধ্যম, ঘ) ইন্টারনেট</v>
      </c>
      <c r="M32" s="10" t="str">
        <f>IFERROR(__xludf.DUMMYFUNCTION("GOOGLETRANSLATE(D32, ""en"", ""bn"")"),"খ) টেলিভিশন সম্প্রচার")</f>
        <v>খ) টেলিভিশন সম্প্রচার</v>
      </c>
      <c r="N32" s="10" t="str">
        <f>IFERROR(__xludf.DUMMYFUNCTION("GOOGLETRANSLATE(E32, ""en"", ""bn"")"),"১৯৬০-এর দশকে টেলিভিশন সম্প্রচারগুলি দেশজুড়ে হা-ডু-ডু জনপ্রিয় করতে সাহায্য করেছিল, এটিকে একটি ঘরোয়া খেলায় পরিণত করেছিল।")</f>
        <v>১৯৬০-এর দশকে টেলিভিশন সম্প্রচারগুলি দেশজুড়ে হা-ডু-ডু জনপ্রিয় করতে সাহায্য করেছিল, এটিকে একটি ঘরোয়া খেলায় পরিণত করেছিল।</v>
      </c>
    </row>
    <row r="33">
      <c r="A33" s="4">
        <v>32.0</v>
      </c>
      <c r="B33" s="4" t="s">
        <v>1598</v>
      </c>
      <c r="C33" s="4" t="s">
        <v>1599</v>
      </c>
      <c r="D33" s="4" t="s">
        <v>1600</v>
      </c>
      <c r="E33" s="4" t="s">
        <v>1601</v>
      </c>
      <c r="J33" s="10" t="str">
        <f>IFERROR(__xludf.DUMMYFUNCTION("GOOGLETRANSLATE(A33, ""en"", ""bn"")"),"৩২")</f>
        <v>৩২</v>
      </c>
      <c r="K33" s="10" t="str">
        <f>IFERROR(__xludf.DUMMYFUNCTION("GOOGLETRANSLATE(B33, ""en"", ""bn"")"),"হা-ডু-ডুর কোন অনন্য নিয়ম এটিকে কাবাডির মতো অনুরূপ খেলা থেকে আলাদা করে?")</f>
        <v>হা-ডু-ডুর কোন অনন্য নিয়ম এটিকে কাবাডির মতো অনুরূপ খেলা থেকে আলাদা করে?</v>
      </c>
      <c r="L33" s="10" t="str">
        <f>IFERROR(__xludf.DUMMYFUNCTION("GOOGLETRANSLATE(C33, ""en"", ""bn"")"),"ক) খেলোয়াড়রা দৌড়াতে পারে না, খ) আক্রমণকারী তাদের শ্বাস আটকে রাখে, গ) খেলোয়াড়রা অস্ত্র ব্যবহার করে, ঘ) মাঠটি জল দ্বারা বিভক্ত")</f>
        <v>ক) খেলোয়াড়রা দৌড়াতে পারে না, খ) আক্রমণকারী তাদের শ্বাস আটকে রাখে, গ) খেলোয়াড়রা অস্ত্র ব্যবহার করে, ঘ) মাঠটি জল দ্বারা বিভক্ত</v>
      </c>
      <c r="M33" s="10" t="str">
        <f>IFERROR(__xludf.DUMMYFUNCTION("GOOGLETRANSLATE(D33, ""en"", ""bn"")"),"খ) আক্রমণকারী তাদের নিঃশ্বাস আটকে রাখে")</f>
        <v>খ) আক্রমণকারী তাদের নিঃশ্বাস আটকে রাখে</v>
      </c>
      <c r="N33" s="10" t="str">
        <f>IFERROR(__xludf.DUMMYFUNCTION("GOOGLETRANSLATE(E33, ""en"", ""bn"")"),"হা-ডু-ডুতে, প্রতিপক্ষের অঞ্চলে প্রবেশের সময় আক্রমণকারীকে অবশ্যই তার শ্বাস ধরে রাখতে হবে, যা একটি অনন্য বৈশিষ্ট্য।")</f>
        <v>হা-ডু-ডুতে, প্রতিপক্ষের অঞ্চলে প্রবেশের সময় আক্রমণকারীকে অবশ্যই তার শ্বাস ধরে রাখতে হবে, যা একটি অনন্য বৈশিষ্ট্য।</v>
      </c>
    </row>
    <row r="34">
      <c r="A34" s="4">
        <v>33.0</v>
      </c>
      <c r="B34" s="4" t="s">
        <v>1602</v>
      </c>
      <c r="C34" s="4" t="s">
        <v>1603</v>
      </c>
      <c r="D34" s="4" t="s">
        <v>1604</v>
      </c>
      <c r="E34" s="4" t="s">
        <v>1605</v>
      </c>
      <c r="J34" s="10" t="str">
        <f>IFERROR(__xludf.DUMMYFUNCTION("GOOGLETRANSLATE(A34, ""en"", ""bn"")"),"৩৩")</f>
        <v>৩৩</v>
      </c>
      <c r="K34" s="10" t="str">
        <f>IFERROR(__xludf.DUMMYFUNCTION("GOOGLETRANSLATE(B34, ""en"", ""bn"")"),"হা-ডু-ডুতে, পয়েন্ট অর্জনকারী দলটি সাধারণত কীভাবে নির্ধারিত হয়?")</f>
        <v>হা-ডু-ডুতে, পয়েন্ট অর্জনকারী দলটি সাধারণত কীভাবে নির্ধারিত হয়?</v>
      </c>
      <c r="L34" s="10" t="str">
        <f>IFERROR(__xludf.DUMMYFUNCTION("GOOGLETRANSLATE(C34, ""en"", ""bn"")"),"ক) গোলের মাধ্যমে, খ) প্রতিপক্ষকে ট্যাগ করে, গ) বল দখল করে, ঘ) সময় নিয়ে")</f>
        <v>ক) গোলের মাধ্যমে, খ) প্রতিপক্ষকে ট্যাগ করে, গ) বল দখল করে, ঘ) সময় নিয়ে</v>
      </c>
      <c r="M34" s="10" t="str">
        <f>IFERROR(__xludf.DUMMYFUNCTION("GOOGLETRANSLATE(D34, ""en"", ""bn"")"),"খ) বিরোধীদের ট্যাগ করে")</f>
        <v>খ) বিরোধীদের ট্যাগ করে</v>
      </c>
      <c r="N34" s="10" t="str">
        <f>IFERROR(__xludf.DUMMYFUNCTION("GOOGLETRANSLATE(E34, ""en"", ""bn"")"),"যখন একজন খেলোয়াড় দক্ষতা এবং সময়ের উপর জোর দিয়ে প্রতিপক্ষকে সফলভাবে ট্যাগ করে তখন পয়েন্ট পাওয়া যায়।")</f>
        <v>যখন একজন খেলোয়াড় দক্ষতা এবং সময়ের উপর জোর দিয়ে প্রতিপক্ষকে সফলভাবে ট্যাগ করে তখন পয়েন্ট পাওয়া যায়।</v>
      </c>
    </row>
    <row r="35">
      <c r="A35" s="4">
        <v>34.0</v>
      </c>
      <c r="B35" s="4" t="s">
        <v>1606</v>
      </c>
      <c r="C35" s="4" t="s">
        <v>1607</v>
      </c>
      <c r="D35" s="4" t="s">
        <v>1608</v>
      </c>
      <c r="E35" s="4" t="s">
        <v>1609</v>
      </c>
      <c r="J35" s="10" t="str">
        <f>IFERROR(__xludf.DUMMYFUNCTION("GOOGLETRANSLATE(A35, ""en"", ""bn"")"),"৩৪")</f>
        <v>৩৪</v>
      </c>
      <c r="K35" s="10" t="str">
        <f>IFERROR(__xludf.DUMMYFUNCTION("GOOGLETRANSLATE(B35, ""en"", ""bn"")"),"হা-ডু-ডু কোন প্রাচীন যুদ্ধ খেলার ধরণ থেকে উদ্ভূত বলে মনে করা হয়?")</f>
        <v>হা-ডু-ডু কোন প্রাচীন যুদ্ধ খেলার ধরণ থেকে উদ্ভূত বলে মনে করা হয়?</v>
      </c>
      <c r="L35" s="10" t="str">
        <f>IFERROR(__xludf.DUMMYFUNCTION("GOOGLETRANSLATE(C35, ""en"", ""bn"")"),"ক) কুস্তি, খ) তীরন্দাজ, গ) জুজুৎসু, ঘ) কাবাডি")</f>
        <v>ক) কুস্তি, খ) তীরন্দাজ, গ) জুজুৎসু, ঘ) কাবাডি</v>
      </c>
      <c r="M35" s="10" t="str">
        <f>IFERROR(__xludf.DUMMYFUNCTION("GOOGLETRANSLATE(D35, ""en"", ""bn"")"),"ক) কুস্তি")</f>
        <v>ক) কুস্তি</v>
      </c>
      <c r="N35" s="10" t="str">
        <f>IFERROR(__xludf.DUMMYFUNCTION("GOOGLETRANSLATE(E35, ""en"", ""bn"")"),"হা-ডু-ডু ঐতিহ্যবাহী কুস্তি থেকে বিবর্তিত হয়েছে বলে মনে করা হয়, যার মধ্যে ঝাঁপিয়ে পড়া এবং কৌশলের উপাদান রয়েছে।")</f>
        <v>হা-ডু-ডু ঐতিহ্যবাহী কুস্তি থেকে বিবর্তিত হয়েছে বলে মনে করা হয়, যার মধ্যে ঝাঁপিয়ে পড়া এবং কৌশলের উপাদান রয়েছে।</v>
      </c>
    </row>
    <row r="36">
      <c r="A36" s="4">
        <v>35.0</v>
      </c>
      <c r="B36" s="4" t="s">
        <v>1610</v>
      </c>
      <c r="C36" s="4" t="s">
        <v>1611</v>
      </c>
      <c r="D36" s="4" t="s">
        <v>1612</v>
      </c>
      <c r="E36" s="4" t="s">
        <v>1613</v>
      </c>
      <c r="J36" s="10" t="str">
        <f>IFERROR(__xludf.DUMMYFUNCTION("GOOGLETRANSLATE(A36, ""en"", ""bn"")"),"৩৫")</f>
        <v>৩৫</v>
      </c>
      <c r="K36" s="10" t="str">
        <f>IFERROR(__xludf.DUMMYFUNCTION("GOOGLETRANSLATE(B36, ""en"", ""bn"")"),"বাংলাদেশের কোন বার্ষিক ইভেন্টে হা-ডু-ডু একটি কেন্দ্রীয় খেলা হিসেবে স্থান পায়?")</f>
        <v>বাংলাদেশের কোন বার্ষিক ইভেন্টে হা-ডু-ডু একটি কেন্দ্রীয় খেলা হিসেবে স্থান পায়?</v>
      </c>
      <c r="L36" s="10" t="str">
        <f>IFERROR(__xludf.DUMMYFUNCTION("GOOGLETRANSLATE(C36, ""en"", ""bn"")"),"ক) পহেলা বৈশাখ, খ) জাতীয় ক্রীড়া দিবস, গ) দুর্গাপূজা, ঘ) ঈদ-উল-ফিতর")</f>
        <v>ক) পহেলা বৈশাখ, খ) জাতীয় ক্রীড়া দিবস, গ) দুর্গাপূজা, ঘ) ঈদ-উল-ফিতর</v>
      </c>
      <c r="M36" s="10" t="str">
        <f>IFERROR(__xludf.DUMMYFUNCTION("GOOGLETRANSLATE(D36, ""en"", ""bn"")"),"খ) জাতীয় ক্রীড়া দিবস")</f>
        <v>খ) জাতীয় ক্রীড়া দিবস</v>
      </c>
      <c r="N36" s="10" t="str">
        <f>IFERROR(__xludf.DUMMYFUNCTION("GOOGLETRANSLATE(E36, ""en"", ""bn"")"),"হা-ডু-ডু বাংলাদেশের জাতীয় ক্রীড়া দিবসের একটি গুরুত্বপূর্ণ অংশ, যা স্থানীয় প্রতিযোগিতার মাধ্যমে উদযাপিত হয়।")</f>
        <v>হা-ডু-ডু বাংলাদেশের জাতীয় ক্রীড়া দিবসের একটি গুরুত্বপূর্ণ অংশ, যা স্থানীয় প্রতিযোগিতার মাধ্যমে উদযাপিত হয়।</v>
      </c>
    </row>
    <row r="37">
      <c r="A37" s="4">
        <v>36.0</v>
      </c>
      <c r="B37" s="4" t="s">
        <v>1614</v>
      </c>
      <c r="C37" s="4" t="s">
        <v>1615</v>
      </c>
      <c r="D37" s="4" t="s">
        <v>1616</v>
      </c>
      <c r="E37" s="4" t="s">
        <v>1617</v>
      </c>
      <c r="J37" s="10" t="str">
        <f>IFERROR(__xludf.DUMMYFUNCTION("GOOGLETRANSLATE(A37, ""en"", ""bn"")"),"৩৬")</f>
        <v>৩৬</v>
      </c>
      <c r="K37" s="10" t="str">
        <f>IFERROR(__xludf.DUMMYFUNCTION("GOOGLETRANSLATE(B37, ""en"", ""bn"")"),"বাংলাদেশের সাংস্কৃতিক পরিচয়ে হা-ডু-ডুর গুরুত্ব কী?")</f>
        <v>বাংলাদেশের সাংস্কৃতিক পরিচয়ে হা-ডু-ডুর গুরুত্ব কী?</v>
      </c>
      <c r="L37" s="10" t="str">
        <f>IFERROR(__xludf.DUMMYFUNCTION("GOOGLETRANSLATE(C37, ""en"", ""bn"")"),"ক) এটি ঐক্যের প্রতীক, খ) এটি ধ্যানের এক রূপ, গ) এটি রাজাদের একটি খেলা, ঘ) এটি একটি ঐতিহাসিক পুনর্নির্মাণ")</f>
        <v>ক) এটি ঐক্যের প্রতীক, খ) এটি ধ্যানের এক রূপ, গ) এটি রাজাদের একটি খেলা, ঘ) এটি একটি ঐতিহাসিক পুনর্নির্মাণ</v>
      </c>
      <c r="M37" s="10" t="str">
        <f>IFERROR(__xludf.DUMMYFUNCTION("GOOGLETRANSLATE(D37, ""en"", ""bn"")"),"ক) এটি ঐক্যের প্রতীক")</f>
        <v>ক) এটি ঐক্যের প্রতীক</v>
      </c>
      <c r="N37" s="10" t="str">
        <f>IFERROR(__xludf.DUMMYFUNCTION("GOOGLETRANSLATE(E37, ""en"", ""bn"")"),"বাংলাদেশে হা-ডু-ডু ঐক্য ও সম্প্রদায়ের প্রতীক হিসেবে কাজ করে, উৎসবের সময় মানুষকে একত্রিত করে।")</f>
        <v>বাংলাদেশে হা-ডু-ডু ঐক্য ও সম্প্রদায়ের প্রতীক হিসেবে কাজ করে, উৎসবের সময় মানুষকে একত্রিত করে।</v>
      </c>
    </row>
    <row r="38">
      <c r="A38" s="4">
        <v>37.0</v>
      </c>
      <c r="B38" s="4" t="s">
        <v>1618</v>
      </c>
      <c r="C38" s="4" t="s">
        <v>1619</v>
      </c>
      <c r="D38" s="4" t="s">
        <v>1620</v>
      </c>
      <c r="E38" s="4" t="s">
        <v>1621</v>
      </c>
      <c r="J38" s="10" t="str">
        <f>IFERROR(__xludf.DUMMYFUNCTION("GOOGLETRANSLATE(A38, ""en"", ""bn"")"),"৩৭")</f>
        <v>৩৭</v>
      </c>
      <c r="K38" s="10" t="str">
        <f>IFERROR(__xludf.DUMMYFUNCTION("GOOGLETRANSLATE(B38, ""en"", ""bn"")"),"হা-ডু-ডুতে প্রধানত কোন শারীরিক দক্ষতার উপর জোর দেওয়া হয়?")</f>
        <v>হা-ডু-ডুতে প্রধানত কোন শারীরিক দক্ষতার উপর জোর দেওয়া হয়?</v>
      </c>
      <c r="L38" s="10" t="str">
        <f>IFERROR(__xludf.DUMMYFUNCTION("GOOGLETRANSLATE(C38, ""en"", ""bn"")"),"ক) ধৈর্য, ​​খ) নমনীয়তা, গ) শক্তি, ঘ) তত্পরতা")</f>
        <v>ক) ধৈর্য, ​​খ) নমনীয়তা, গ) শক্তি, ঘ) তত্পরতা</v>
      </c>
      <c r="M38" s="10" t="str">
        <f>IFERROR(__xludf.DUMMYFUNCTION("GOOGLETRANSLATE(D38, ""en"", ""bn"")"),"ঘ) তত্পরতা")</f>
        <v>ঘ) তত্পরতা</v>
      </c>
      <c r="N38" s="10" t="str">
        <f>IFERROR(__xludf.DUMMYFUNCTION("GOOGLETRANSLATE(E38, ""en"", ""bn"")"),"হা-ডু-ডু তত্পরতার উপর জোর দেয়, খেলোয়াড়দের দ্রুত নড়াচড়া করতে হয় এবং আক্রমণের সময় ট্যাগ এড়াতে হয়।")</f>
        <v>হা-ডু-ডু তত্পরতার উপর জোর দেয়, খেলোয়াড়দের দ্রুত নড়াচড়া করতে হয় এবং আক্রমণের সময় ট্যাগ এড়াতে হয়।</v>
      </c>
    </row>
    <row r="39">
      <c r="A39" s="4">
        <v>38.0</v>
      </c>
      <c r="B39" s="4" t="s">
        <v>1622</v>
      </c>
      <c r="C39" s="4" t="s">
        <v>1623</v>
      </c>
      <c r="D39" s="4" t="s">
        <v>1624</v>
      </c>
      <c r="E39" s="4" t="s">
        <v>1625</v>
      </c>
      <c r="J39" s="10" t="str">
        <f>IFERROR(__xludf.DUMMYFUNCTION("GOOGLETRANSLATE(A39, ""en"", ""bn"")"),"৩৮")</f>
        <v>৩৮</v>
      </c>
      <c r="K39" s="10" t="str">
        <f>IFERROR(__xludf.DUMMYFUNCTION("GOOGLETRANSLATE(B39, ""en"", ""bn"")"),"ঔপনিবেশিক শাসনামলে হা-ডু-ডুর পতনের পর কোন ঐতিহাসিক ঘটনার ফলে এর পুনরুজ্জীবন ঘটে?")</f>
        <v>ঔপনিবেশিক শাসনামলে হা-ডু-ডুর পতনের পর কোন ঐতিহাসিক ঘটনার ফলে এর পুনরুজ্জীবন ঘটে?</v>
      </c>
      <c r="L39" s="10" t="str">
        <f>IFERROR(__xludf.DUMMYFUNCTION("GOOGLETRANSLATE(C39, ""en"", ""bn"")"),"ক) বাংলার নবজাগরণ, খ) বাংলাদেশের মুক্তিযুদ্ধ, গ) স্বাধীনতার উত্থান, ঘ) ১৯৭০-এর দশকের সাংস্কৃতিক আন্দোলন")</f>
        <v>ক) বাংলার নবজাগরণ, খ) বাংলাদেশের মুক্তিযুদ্ধ, গ) স্বাধীনতার উত্থান, ঘ) ১৯৭০-এর দশকের সাংস্কৃতিক আন্দোলন</v>
      </c>
      <c r="M39" s="10" t="str">
        <f>IFERROR(__xludf.DUMMYFUNCTION("GOOGLETRANSLATE(D39, ""en"", ""bn"")"),"খ) বাংলাদেশের স্বাধীনতা যুদ্ধ")</f>
        <v>খ) বাংলাদেশের স্বাধীনতা যুদ্ধ</v>
      </c>
      <c r="N39" s="10" t="str">
        <f>IFERROR(__xludf.DUMMYFUNCTION("GOOGLETRANSLATE(E39, ""en"", ""bn"")"),"স্বাধীনতা-উত্তর সাংস্কৃতিক পুনরুত্থানের অংশ হিসেবে বাংলাদেশের মুক্তিযুদ্ধ হা-ডু-ডুর মতো ঐতিহ্যবাহী খেলাধুলা পুনরুজ্জীবিত করতে সাহায্য করেছিল।")</f>
        <v>স্বাধীনতা-উত্তর সাংস্কৃতিক পুনরুত্থানের অংশ হিসেবে বাংলাদেশের মুক্তিযুদ্ধ হা-ডু-ডুর মতো ঐতিহ্যবাহী খেলাধুলা পুনরুজ্জীবিত করতে সাহায্য করেছিল।</v>
      </c>
    </row>
    <row r="40">
      <c r="A40" s="4">
        <v>39.0</v>
      </c>
      <c r="B40" s="4" t="s">
        <v>1626</v>
      </c>
      <c r="C40" s="4" t="s">
        <v>1627</v>
      </c>
      <c r="D40" s="4" t="s">
        <v>1628</v>
      </c>
      <c r="E40" s="4" t="s">
        <v>1629</v>
      </c>
      <c r="J40" s="10" t="str">
        <f>IFERROR(__xludf.DUMMYFUNCTION("GOOGLETRANSLATE(A40, ""en"", ""bn"")"),"৩৯")</f>
        <v>৩৯</v>
      </c>
      <c r="K40" s="10" t="str">
        <f>IFERROR(__xludf.DUMMYFUNCTION("GOOGLETRANSLATE(B40, ""en"", ""bn"")"),"বড় টুর্নামেন্টের সময় হা-ডু-ডু প্রায়শই কোন ধরণের পৃষ্ঠে খেলা হয়?")</f>
        <v>বড় টুর্নামেন্টের সময় হা-ডু-ডু প্রায়শই কোন ধরণের পৃষ্ঠে খেলা হয়?</v>
      </c>
      <c r="L40" s="10" t="str">
        <f>IFERROR(__xludf.DUMMYFUNCTION("GOOGLETRANSLATE(C40, ""en"", ""bn"")"),"ক) কাঠের মেঝে, খ) কংক্রিটের ফুটপাথ, গ) কর্দমাক্ত বা ঘাসযুক্ত মাটি, ঘ) কৃত্রিম ঘাস")</f>
        <v>ক) কাঠের মেঝে, খ) কংক্রিটের ফুটপাথ, গ) কর্দমাক্ত বা ঘাসযুক্ত মাটি, ঘ) কৃত্রিম ঘাস</v>
      </c>
      <c r="M40" s="10" t="str">
        <f>IFERROR(__xludf.DUMMYFUNCTION("GOOGLETRANSLATE(D40, ""en"", ""bn"")"),"গ) কর্দমাক্ত বা ঘাসযুক্ত জমি")</f>
        <v>গ) কর্দমাক্ত বা ঘাসযুক্ত জমি</v>
      </c>
      <c r="N40" s="10" t="str">
        <f>IFERROR(__xludf.DUMMYFUNCTION("GOOGLETRANSLATE(E40, ""en"", ""bn"")"),"হা-ডু-ডুর প্রধান টুর্নামেন্টগুলি ঐতিহ্যগতভাবে কর্দমাক্ত বা ঘাসের মাটিতে খেলা হয়, যা এর গ্রামীণ উৎপত্তিকে প্রতিফলিত করে।")</f>
        <v>হা-ডু-ডুর প্রধান টুর্নামেন্টগুলি ঐতিহ্যগতভাবে কর্দমাক্ত বা ঘাসের মাটিতে খেলা হয়, যা এর গ্রামীণ উৎপত্তিকে প্রতিফলিত করে।</v>
      </c>
    </row>
    <row r="41">
      <c r="A41" s="4">
        <v>40.0</v>
      </c>
      <c r="B41" s="4" t="s">
        <v>1630</v>
      </c>
      <c r="C41" s="4" t="s">
        <v>1631</v>
      </c>
      <c r="D41" s="4" t="s">
        <v>1632</v>
      </c>
      <c r="E41" s="4" t="s">
        <v>1633</v>
      </c>
      <c r="J41" s="10" t="str">
        <f>IFERROR(__xludf.DUMMYFUNCTION("GOOGLETRANSLATE(A41, ""en"", ""bn"")"),"৪০")</f>
        <v>৪০</v>
      </c>
      <c r="K41" s="10" t="str">
        <f>IFERROR(__xludf.DUMMYFUNCTION("GOOGLETRANSLATE(B41, ""en"", ""bn"")"),"প্রাচীন বাংলার কোন অঞ্চলে হা-ডু-ডুর প্রাথমিক রূপের সন্ধান পাওয়া যায়?")</f>
        <v>প্রাচীন বাংলার কোন অঞ্চলে হা-ডু-ডুর প্রাথমিক রূপের সন্ধান পাওয়া যায়?</v>
      </c>
      <c r="L41" s="10" t="str">
        <f>IFERROR(__xludf.DUMMYFUNCTION("GOOGLETRANSLATE(C41, ""en"", ""bn"")"),"ক) উত্তরবঙ্গ, খ) দক্ষিণবঙ্গ, গ) পূর্ববঙ্গ, ঘ) পশ্চিমবঙ্গ")</f>
        <v>ক) উত্তরবঙ্গ, খ) দক্ষিণবঙ্গ, গ) পূর্ববঙ্গ, ঘ) পশ্চিমবঙ্গ</v>
      </c>
      <c r="M41" s="10" t="str">
        <f>IFERROR(__xludf.DUMMYFUNCTION("GOOGLETRANSLATE(D41, ""en"", ""bn"")"),"খ) দক্ষিণবঙ্গ")</f>
        <v>খ) দক্ষিণবঙ্গ</v>
      </c>
      <c r="N41" s="10" t="str">
        <f>IFERROR(__xludf.DUMMYFUNCTION("GOOGLETRANSLATE(E41, ""en"", ""bn"")"),"হা-ডু-ডু-এর প্রাথমিক রূপটি বাংলার দক্ষিণাঞ্চলে উদ্ভূত হয়েছিল, যেখানে এটি গ্রামীণ সম্প্রদায়গুলিতে বাজানো হত।")</f>
        <v>হা-ডু-ডু-এর প্রাথমিক রূপটি বাংলার দক্ষিণাঞ্চলে উদ্ভূত হয়েছিল, যেখানে এটি গ্রামীণ সম্প্রদায়গুলিতে বাজানো হত।</v>
      </c>
    </row>
    <row r="42">
      <c r="A42" s="4">
        <v>41.0</v>
      </c>
      <c r="B42" s="4" t="s">
        <v>1634</v>
      </c>
      <c r="C42" s="4" t="s">
        <v>1635</v>
      </c>
      <c r="D42" s="4" t="s">
        <v>1636</v>
      </c>
      <c r="E42" s="4" t="s">
        <v>1637</v>
      </c>
      <c r="J42" s="10" t="str">
        <f>IFERROR(__xludf.DUMMYFUNCTION("GOOGLETRANSLATE(A42, ""en"", ""bn"")"),"৪১")</f>
        <v>৪১</v>
      </c>
      <c r="K42" s="10" t="str">
        <f>IFERROR(__xludf.DUMMYFUNCTION("GOOGLETRANSLATE(B42, ""en"", ""bn"")"),"হা-ডু-ডু টুর্নামেন্ট সাধারণত বছরের কোন ঋতুতে আয়োজিত হয়?")</f>
        <v>হা-ডু-ডু টুর্নামেন্ট সাধারণত বছরের কোন ঋতুতে আয়োজিত হয়?</v>
      </c>
      <c r="L42" s="10" t="str">
        <f>IFERROR(__xludf.DUMMYFUNCTION("GOOGLETRANSLATE(C42, ""en"", ""bn"")"),"ক) গ্রীষ্ম, খ) শীত, গ) বর্ষাকাল, ঘ) বসন্তকাল")</f>
        <v>ক) গ্রীষ্ম, খ) শীত, গ) বর্ষাকাল, ঘ) বসন্তকাল</v>
      </c>
      <c r="M42" s="10" t="str">
        <f>IFERROR(__xludf.DUMMYFUNCTION("GOOGLETRANSLATE(D42, ""en"", ""bn"")"),"গ) বর্ষাকাল")</f>
        <v>গ) বর্ষাকাল</v>
      </c>
      <c r="N42" s="10" t="str">
        <f>IFERROR(__xludf.DUMMYFUNCTION("GOOGLETRANSLATE(E42, ""en"", ""bn"")"),"টুর্নামেন্টগুলি প্রায়শই বর্ষাকালে অনুষ্ঠিত হয় যখন কর্দমাক্ত মাঠ খেলার জন্য আদর্শ স্থান প্রদান করে।")</f>
        <v>টুর্নামেন্টগুলি প্রায়শই বর্ষাকালে অনুষ্ঠিত হয় যখন কর্দমাক্ত মাঠ খেলার জন্য আদর্শ স্থান প্রদান করে।</v>
      </c>
    </row>
    <row r="43">
      <c r="A43" s="4">
        <v>42.0</v>
      </c>
      <c r="B43" s="4" t="s">
        <v>1638</v>
      </c>
      <c r="C43" s="4" t="s">
        <v>1639</v>
      </c>
      <c r="D43" s="4" t="s">
        <v>1640</v>
      </c>
      <c r="E43" s="4" t="s">
        <v>1641</v>
      </c>
      <c r="J43" s="10" t="str">
        <f>IFERROR(__xludf.DUMMYFUNCTION("GOOGLETRANSLATE(A43, ""en"", ""bn"")"),"৪২")</f>
        <v>৪২</v>
      </c>
      <c r="K43" s="10" t="str">
        <f>IFERROR(__xludf.DUMMYFUNCTION("GOOGLETRANSLATE(B43, ""en"", ""bn"")"),"গ্রামবাংলায় কোন সম্প্রদায় মূলত হা-ডু-ডু খেলার জন্য পরিচিত?")</f>
        <v>গ্রামবাংলায় কোন সম্প্রদায় মূলত হা-ডু-ডু খেলার জন্য পরিচিত?</v>
      </c>
      <c r="L43" s="10" t="str">
        <f>IFERROR(__xludf.DUMMYFUNCTION("GOOGLETRANSLATE(C43, ""en"", ""bn"")"),"A) রাজবংশী, B) বাঙালি মুসলমান, C) বাঙালি হিন্দু, D) সাঁওতাল")</f>
        <v>A) রাজবংশী, B) বাঙালি মুসলমান, C) বাঙালি হিন্দু, D) সাঁওতাল</v>
      </c>
      <c r="M43" s="10" t="str">
        <f>IFERROR(__xludf.DUMMYFUNCTION("GOOGLETRANSLATE(D43, ""en"", ""bn"")"),"খ) বাঙালি মুসলমান")</f>
        <v>খ) বাঙালি মুসলমান</v>
      </c>
      <c r="N43" s="10" t="str">
        <f>IFERROR(__xludf.DUMMYFUNCTION("GOOGLETRANSLATE(E43, ""en"", ""bn"")"),"বাঙালি মুসলমানরা মূলত হা-ডু-ডু খেলার জন্য পরিচিত, বিশেষ করে বাংলার গ্রামাঞ্চলে।")</f>
        <v>বাঙালি মুসলমানরা মূলত হা-ডু-ডু খেলার জন্য পরিচিত, বিশেষ করে বাংলার গ্রামাঞ্চলে।</v>
      </c>
    </row>
    <row r="44">
      <c r="A44" s="4">
        <v>43.0</v>
      </c>
      <c r="B44" s="4" t="s">
        <v>1642</v>
      </c>
      <c r="C44" s="4" t="s">
        <v>1643</v>
      </c>
      <c r="D44" s="4" t="s">
        <v>1644</v>
      </c>
      <c r="E44" s="4" t="s">
        <v>1645</v>
      </c>
      <c r="J44" s="10" t="str">
        <f>IFERROR(__xludf.DUMMYFUNCTION("GOOGLETRANSLATE(A44, ""en"", ""bn"")"),"৪৩")</f>
        <v>৪৩</v>
      </c>
      <c r="K44" s="10" t="str">
        <f>IFERROR(__xludf.DUMMYFUNCTION("GOOGLETRANSLATE(B44, ""en"", ""bn"")"),"হা-ডু-ডুতে প্রতিরক্ষার জন্য নিম্নলিখিত কোন উপাদানটি অত্যন্ত গুরুত্বপূর্ণ?")</f>
        <v>হা-ডু-ডুতে প্রতিরক্ষার জন্য নিম্নলিখিত কোন উপাদানটি অত্যন্ত গুরুত্বপূর্ণ?</v>
      </c>
      <c r="L44" s="10" t="str">
        <f>IFERROR(__xludf.DUMMYFUNCTION("GOOGLETRANSLATE(C44, ""en"", ""bn"")"),"ক) শ্বাস ধরে রাখা, খ) লক্ষ্য রক্ষা করা, গ) আক্রমণকারীকে ট্যাগ করা, ঘ) শারীরিক শক্তি")</f>
        <v>ক) শ্বাস ধরে রাখা, খ) লক্ষ্য রক্ষা করা, গ) আক্রমণকারীকে ট্যাগ করা, ঘ) শারীরিক শক্তি</v>
      </c>
      <c r="M44" s="10" t="str">
        <f>IFERROR(__xludf.DUMMYFUNCTION("GOOGLETRANSLATE(D44, ""en"", ""bn"")"),"গ) রাইডারকে ট্যাগ করা")</f>
        <v>গ) রাইডারকে ট্যাগ করা</v>
      </c>
      <c r="N44" s="10" t="str">
        <f>IFERROR(__xludf.DUMMYFUNCTION("GOOGLETRANSLATE(E44, ""en"", ""bn"")"),"হা-ডু-ডুতে ডিফেন্সের প্রধান কাজ হল প্রতিপক্ষকে ট্যাগ করার আগে রেইডারকে ট্যাগ করা।")</f>
        <v>হা-ডু-ডুতে ডিফেন্সের প্রধান কাজ হল প্রতিপক্ষকে ট্যাগ করার আগে রেইডারকে ট্যাগ করা।</v>
      </c>
    </row>
    <row r="45">
      <c r="A45" s="4">
        <v>44.0</v>
      </c>
      <c r="B45" s="4" t="s">
        <v>1646</v>
      </c>
      <c r="C45" s="4" t="s">
        <v>1647</v>
      </c>
      <c r="D45" s="4" t="s">
        <v>1648</v>
      </c>
      <c r="E45" s="4" t="s">
        <v>1649</v>
      </c>
      <c r="J45" s="10" t="str">
        <f>IFERROR(__xludf.DUMMYFUNCTION("GOOGLETRANSLATE(A45, ""en"", ""bn"")"),"৪৪")</f>
        <v>৪৪</v>
      </c>
      <c r="K45" s="10" t="str">
        <f>IFERROR(__xludf.DUMMYFUNCTION("GOOGLETRANSLATE(B45, ""en"", ""bn"")"),"হা-ডু-ডুকে প্রায়শই কোন দুই ধরণের খেলার সংমিশ্রণ হিসাবে উল্লেখ করা হয়?")</f>
        <v>হা-ডু-ডুকে প্রায়শই কোন দুই ধরণের খেলার সংমিশ্রণ হিসাবে উল্লেখ করা হয়?</v>
      </c>
      <c r="L45" s="10" t="str">
        <f>IFERROR(__xludf.DUMMYFUNCTION("GOOGLETRANSLATE(C45, ""en"", ""bn"")"),"ক) কুস্তি এবং ফুটবল, খ) কাবাডি এবং রাগবি, গ) কাবাডি এবং ক্রিকেট, ঘ) ফুটবল এবং বাস্কেটবল")</f>
        <v>ক) কুস্তি এবং ফুটবল, খ) কাবাডি এবং রাগবি, গ) কাবাডি এবং ক্রিকেট, ঘ) ফুটবল এবং বাস্কেটবল</v>
      </c>
      <c r="M45" s="10" t="str">
        <f>IFERROR(__xludf.DUMMYFUNCTION("GOOGLETRANSLATE(D45, ""en"", ""bn"")"),"খ) কাবাডি এবং রাগবি")</f>
        <v>খ) কাবাডি এবং রাগবি</v>
      </c>
      <c r="N45" s="10" t="str">
        <f>IFERROR(__xludf.DUMMYFUNCTION("GOOGLETRANSLATE(E45, ""en"", ""bn"")"),"হা-ডু-ডু কাবাডি এবং রাগবির উপাদানগুলিকে একত্রিত করে, ট্যাগিং এবং শারীরিক সহনশীলতার উপর জোর দেয়।")</f>
        <v>হা-ডু-ডু কাবাডি এবং রাগবির উপাদানগুলিকে একত্রিত করে, ট্যাগিং এবং শারীরিক সহনশীলতার উপর জোর দেয়।</v>
      </c>
    </row>
    <row r="46">
      <c r="A46" s="4">
        <v>45.0</v>
      </c>
      <c r="B46" s="4" t="s">
        <v>1650</v>
      </c>
      <c r="C46" s="4" t="s">
        <v>1651</v>
      </c>
      <c r="D46" s="4" t="s">
        <v>1652</v>
      </c>
      <c r="E46" s="4" t="s">
        <v>1653</v>
      </c>
      <c r="J46" s="10" t="str">
        <f>IFERROR(__xludf.DUMMYFUNCTION("GOOGLETRANSLATE(A46, ""en"", ""bn"")"),"৪৫")</f>
        <v>৪৫</v>
      </c>
      <c r="K46" s="10" t="str">
        <f>IFERROR(__xludf.DUMMYFUNCTION("GOOGLETRANSLATE(B46, ""en"", ""bn"")"),"বাংলাদেশে শীতকালে কোন ধরণের হা-ডু-ডু বাজানো হয়?")</f>
        <v>বাংলাদেশে শীতকালে কোন ধরণের হা-ডু-ডু বাজানো হয়?</v>
      </c>
      <c r="L46" s="10" t="str">
        <f>IFERROR(__xludf.DUMMYFUNCTION("GOOGLETRANSLATE(C46, ""en"", ""bn"")"),"ক) ইন্ডোর হা-ডু-ডু, খ) স্নো হা-ডু-ডু, গ) বিচ হা-ডু-ডু, ঘ) ঐতিহ্যবাহী হা-ডু-ডু")</f>
        <v>ক) ইন্ডোর হা-ডু-ডু, খ) স্নো হা-ডু-ডু, গ) বিচ হা-ডু-ডু, ঘ) ঐতিহ্যবাহী হা-ডু-ডু</v>
      </c>
      <c r="M46" s="10" t="str">
        <f>IFERROR(__xludf.DUMMYFUNCTION("GOOGLETRANSLATE(D46, ""en"", ""bn"")"),"ক) ঘরের ভেতরে হা-ডু-ডু")</f>
        <v>ক) ঘরের ভেতরে হা-ডু-ডু</v>
      </c>
      <c r="N46" s="10" t="str">
        <f>IFERROR(__xludf.DUMMYFUNCTION("GOOGLETRANSLATE(E46, ""en"", ""bn"")"),"শীতের মাসগুলিতে মাঝে মাঝে ইনডোর হা-ডু-ডু খেলা হয়, যা সারা বছর অংশগ্রহণের সুযোগ করে দেয়।")</f>
        <v>শীতের মাসগুলিতে মাঝে মাঝে ইনডোর হা-ডু-ডু খেলা হয়, যা সারা বছর অংশগ্রহণের সুযোগ করে দেয়।</v>
      </c>
    </row>
    <row r="47">
      <c r="A47" s="4">
        <v>46.0</v>
      </c>
      <c r="B47" s="4" t="s">
        <v>1654</v>
      </c>
      <c r="C47" s="4" t="s">
        <v>1655</v>
      </c>
      <c r="D47" s="4" t="s">
        <v>1656</v>
      </c>
      <c r="E47" s="4" t="s">
        <v>1657</v>
      </c>
      <c r="J47" s="10" t="str">
        <f>IFERROR(__xludf.DUMMYFUNCTION("GOOGLETRANSLATE(A47, ""en"", ""bn"")"),"৪৬")</f>
        <v>৪৬</v>
      </c>
      <c r="K47" s="10" t="str">
        <f>IFERROR(__xludf.DUMMYFUNCTION("GOOGLETRANSLATE(B47, ""en"", ""bn"")"),"তরুণ খেলোয়াড়দের মধ্যে কোন বৈশিষ্ট্য বিকাশের জন্য প্রায়শই হা-ডু-ডু ব্যবহার করা হয়?")</f>
        <v>তরুণ খেলোয়াড়দের মধ্যে কোন বৈশিষ্ট্য বিকাশের জন্য প্রায়শই হা-ডু-ডু ব্যবহার করা হয়?</v>
      </c>
      <c r="L47" s="10" t="str">
        <f>IFERROR(__xludf.DUMMYFUNCTION("GOOGLETRANSLATE(C47, ""en"", ""bn"")"),"ক) গতি, খ) মানসিক দৃঢ়তা, গ) নমনীয়তা, ঘ) দলগত কাজ")</f>
        <v>ক) গতি, খ) মানসিক দৃঢ়তা, গ) নমনীয়তা, ঘ) দলগত কাজ</v>
      </c>
      <c r="M47" s="10" t="str">
        <f>IFERROR(__xludf.DUMMYFUNCTION("GOOGLETRANSLATE(D47, ""en"", ""bn"")"),"খ) মানসিক দৃঢ়তা")</f>
        <v>খ) মানসিক দৃঢ়তা</v>
      </c>
      <c r="N47" s="10" t="str">
        <f>IFERROR(__xludf.DUMMYFUNCTION("GOOGLETRANSLATE(E47, ""en"", ""bn"")"),"হা-ডু-ডু তার তীব্র এবং কৌশলগত গেমপ্লের কারণে খেলোয়াড়দের মানসিক দৃঢ়তা বিকাশের জন্য পরিচিত।")</f>
        <v>হা-ডু-ডু তার তীব্র এবং কৌশলগত গেমপ্লের কারণে খেলোয়াড়দের মানসিক দৃঢ়তা বিকাশের জন্য পরিচিত।</v>
      </c>
    </row>
    <row r="48">
      <c r="A48" s="4">
        <v>47.0</v>
      </c>
      <c r="B48" s="4" t="s">
        <v>1658</v>
      </c>
      <c r="C48" s="4" t="s">
        <v>1659</v>
      </c>
      <c r="D48" s="4" t="s">
        <v>1490</v>
      </c>
      <c r="E48" s="4" t="s">
        <v>1660</v>
      </c>
      <c r="J48" s="10" t="str">
        <f>IFERROR(__xludf.DUMMYFUNCTION("GOOGLETRANSLATE(A48, ""en"", ""bn"")"),"৪৭")</f>
        <v>৪৭</v>
      </c>
      <c r="K48" s="10" t="str">
        <f>IFERROR(__xludf.DUMMYFUNCTION("GOOGLETRANSLATE(B48, ""en"", ""bn"")"),"হা-ডু-ডুতে 'নিজের শ্বাস ধরে রাখার' নিয়মটি কোন খেলা থেকে অনুপ্রাণিত হয়েছিল?")</f>
        <v>হা-ডু-ডুতে 'নিজের শ্বাস ধরে রাখার' নিয়মটি কোন খেলা থেকে অনুপ্রাণিত হয়েছিল?</v>
      </c>
      <c r="L48" s="10" t="str">
        <f>IFERROR(__xludf.DUMMYFUNCTION("GOOGLETRANSLATE(C48, ""en"", ""bn"")"),"ক) কাবাডি, খ) কুস্তি, গ) রাগবি, ঘ) তীরন্দাজি")</f>
        <v>ক) কাবাডি, খ) কুস্তি, গ) রাগবি, ঘ) তীরন্দাজি</v>
      </c>
      <c r="M48" s="10" t="str">
        <f>IFERROR(__xludf.DUMMYFUNCTION("GOOGLETRANSLATE(D48, ""en"", ""bn"")"),"ক) কাবাডি")</f>
        <v>ক) কাবাডি</v>
      </c>
      <c r="N48" s="10" t="str">
        <f>IFERROR(__xludf.DUMMYFUNCTION("GOOGLETRANSLATE(E48, ""en"", ""bn"")"),"হা-ডু-ডুতে শ্বাস ধরে রাখার নিয়মটি কাবাডি থেকে অনুপ্রাণিত হয়েছিল, যেখানে খেলোয়াড়দের রেইডের সময় তাদের শ্বাস ধরে রাখতে হয়।")</f>
        <v>হা-ডু-ডুতে শ্বাস ধরে রাখার নিয়মটি কাবাডি থেকে অনুপ্রাণিত হয়েছিল, যেখানে খেলোয়াড়দের রেইডের সময় তাদের শ্বাস ধরে রাখতে হয়।</v>
      </c>
    </row>
    <row r="49">
      <c r="A49" s="4">
        <v>48.0</v>
      </c>
      <c r="B49" s="4" t="s">
        <v>1661</v>
      </c>
      <c r="C49" s="4" t="s">
        <v>1662</v>
      </c>
      <c r="D49" s="4" t="s">
        <v>1663</v>
      </c>
      <c r="E49" s="4" t="s">
        <v>1664</v>
      </c>
      <c r="J49" s="10" t="str">
        <f>IFERROR(__xludf.DUMMYFUNCTION("GOOGLETRANSLATE(A49, ""en"", ""bn"")"),"৪৮")</f>
        <v>৪৮</v>
      </c>
      <c r="K49" s="10" t="str">
        <f>IFERROR(__xludf.DUMMYFUNCTION("GOOGLETRANSLATE(B49, ""en"", ""bn"")"),"হা-ডু-ডু চ্যাম্পিয়নশিপ বাংলাদেশের কোন অংশে সবচেয়ে বেশি অনুষ্ঠিত হয়?")</f>
        <v>হা-ডু-ডু চ্যাম্পিয়নশিপ বাংলাদেশের কোন অংশে সবচেয়ে বেশি অনুষ্ঠিত হয়?</v>
      </c>
      <c r="L49" s="10" t="str">
        <f>IFERROR(__xludf.DUMMYFUNCTION("GOOGLETRANSLATE(C49, ""en"", ""bn"")"),"A) ঢাকা, B) সিলেট, C) চট্টগ্রাম, D) খুলনা")</f>
        <v>A) ঢাকা, B) সিলেট, C) চট্টগ্রাম, D) খুলনা</v>
      </c>
      <c r="M49" s="10" t="str">
        <f>IFERROR(__xludf.DUMMYFUNCTION("GOOGLETRANSLATE(D49, ""en"", ""bn"")"),"ক) ঢাকা")</f>
        <v>ক) ঢাকা</v>
      </c>
      <c r="N49" s="10" t="str">
        <f>IFERROR(__xludf.DUMMYFUNCTION("GOOGLETRANSLATE(E49, ""en"", ""bn"")"),"হা-ডু-ডু চ্যাম্পিয়নশিপ সাধারণত বাংলাদেশের ঢাকায় অনুষ্ঠিত হয়, যা এই খেলার কেন্দ্রবিন্দু।")</f>
        <v>হা-ডু-ডু চ্যাম্পিয়নশিপ সাধারণত বাংলাদেশের ঢাকায় অনুষ্ঠিত হয়, যা এই খেলার কেন্দ্রবিন্দু।</v>
      </c>
    </row>
    <row r="50">
      <c r="A50" s="4">
        <v>49.0</v>
      </c>
      <c r="B50" s="4" t="s">
        <v>1665</v>
      </c>
      <c r="C50" s="4" t="s">
        <v>1666</v>
      </c>
      <c r="D50" s="4" t="s">
        <v>1667</v>
      </c>
      <c r="E50" s="4" t="s">
        <v>1668</v>
      </c>
      <c r="J50" s="10" t="str">
        <f>IFERROR(__xludf.DUMMYFUNCTION("GOOGLETRANSLATE(A50, ""en"", ""bn"")"),"৪৯")</f>
        <v>৪৯</v>
      </c>
      <c r="K50" s="10" t="str">
        <f>IFERROR(__xludf.DUMMYFUNCTION("GOOGLETRANSLATE(B50, ""en"", ""bn"")"),"কোন প্রাচীন বাংলা গ্রন্থে হা-ডু-ডুর মতো একটি খেলার কথা উল্লেখ আছে?")</f>
        <v>কোন প্রাচীন বাংলা গ্রন্থে হা-ডু-ডুর মতো একটি খেলার কথা উল্লেখ আছে?</v>
      </c>
      <c r="L50" s="10" t="str">
        <f>IFERROR(__xludf.DUMMYFUNCTION("GOOGLETRANSLATE(C50, ""en"", ""bn"")"),"ক) কৌটিল্যের অর্থশাস্ত্র, খ) চৈতন্য চরিতামৃত, গ) মনসোল্লাসা, ঘ) মহাভারত")</f>
        <v>ক) কৌটিল্যের অর্থশাস্ত্র, খ) চৈতন্য চরিতামৃত, গ) মনসোল্লাসা, ঘ) মহাভারত</v>
      </c>
      <c r="M50" s="10" t="str">
        <f>IFERROR(__xludf.DUMMYFUNCTION("GOOGLETRANSLATE(D50, ""en"", ""bn"")"),"খ) চৈতন্য চরিতামৃত")</f>
        <v>খ) চৈতন্য চরিতামৃত</v>
      </c>
      <c r="N50" s="10" t="str">
        <f>IFERROR(__xludf.DUMMYFUNCTION("GOOGLETRANSLATE(E50, ""en"", ""bn"")"),"চৈতন্য চরিতামৃত গ্রন্থে বাংলার ঐতিহ্যবাহী খেলার অংশ হিসেবে হা-ডু-ডুর মতো একটি খেলার উল্লেখ রয়েছে।")</f>
        <v>চৈতন্য চরিতামৃত গ্রন্থে বাংলার ঐতিহ্যবাহী খেলার অংশ হিসেবে হা-ডু-ডুর মতো একটি খেলার উল্লেখ রয়েছে।</v>
      </c>
    </row>
    <row r="51">
      <c r="A51" s="4">
        <v>50.0</v>
      </c>
      <c r="B51" s="4" t="s">
        <v>1669</v>
      </c>
      <c r="C51" s="4" t="s">
        <v>1105</v>
      </c>
      <c r="D51" s="4" t="s">
        <v>1670</v>
      </c>
      <c r="E51" s="4" t="s">
        <v>1671</v>
      </c>
      <c r="J51" s="10" t="str">
        <f>IFERROR(__xludf.DUMMYFUNCTION("GOOGLETRANSLATE(A51, ""en"", ""bn"")"),"৫০")</f>
        <v>৫০</v>
      </c>
      <c r="K51" s="10" t="str">
        <f>IFERROR(__xludf.DUMMYFUNCTION("GOOGLETRANSLATE(B51, ""en"", ""bn"")"),"বাংলাদেশের কোন অঞ্চলে হা-ডু-ডু প্রথম জাতীয় স্বীকৃতি লাভ করে?")</f>
        <v>বাংলাদেশের কোন অঞ্চলে হা-ডু-ডু প্রথম জাতীয় স্বীকৃতি লাভ করে?</v>
      </c>
      <c r="L51" s="10" t="str">
        <f>IFERROR(__xludf.DUMMYFUNCTION("GOOGLETRANSLATE(C51, ""en"", ""bn"")"),"A) সিলেট, B) চট্টগ্রাম, C) খুলনা, D) ঢাকা")</f>
        <v>A) সিলেট, B) চট্টগ্রাম, C) খুলনা, D) ঢাকা</v>
      </c>
      <c r="M51" s="10" t="str">
        <f>IFERROR(__xludf.DUMMYFUNCTION("GOOGLETRANSLATE(D51, ""en"", ""bn"")"),"ঘ) ঢাকা")</f>
        <v>ঘ) ঢাকা</v>
      </c>
      <c r="N51" s="10" t="str">
        <f>IFERROR(__xludf.DUMMYFUNCTION("GOOGLETRANSLATE(E51, ""en"", ""bn"")"),"হা-ডু-ডু প্রথম ঢাকায় জাতীয় স্বীকৃতি লাভ করে, যেখানে এটি একটি ব্যাপকভাবে প্রশংসিত খেলা হয়ে ওঠে।")</f>
        <v>হা-ডু-ডু প্রথম ঢাকায় জাতীয় স্বীকৃতি লাভ করে, যেখানে এটি একটি ব্যাপকভাবে প্রশংসিত খেলা হয়ে ওঠে।</v>
      </c>
    </row>
    <row r="52">
      <c r="A52" s="4">
        <v>51.0</v>
      </c>
      <c r="B52" s="4" t="s">
        <v>1672</v>
      </c>
      <c r="C52" s="4" t="s">
        <v>1673</v>
      </c>
      <c r="D52" s="4" t="s">
        <v>1674</v>
      </c>
      <c r="E52" s="4" t="s">
        <v>1675</v>
      </c>
      <c r="J52" s="10" t="str">
        <f>IFERROR(__xludf.DUMMYFUNCTION("GOOGLETRANSLATE(A52, ""en"", ""bn"")"),"৫১")</f>
        <v>৫১</v>
      </c>
      <c r="K52" s="10" t="str">
        <f>IFERROR(__xludf.DUMMYFUNCTION("GOOGLETRANSLATE(B52, ""en"", ""bn"")"),"কোন বাঙালি সাংস্কৃতিক অনুষ্ঠানে প্রায়শই হা-ডু-ডুকে প্রধান আকর্ষণ হিসেবে দেখা হয়?")</f>
        <v>কোন বাঙালি সাংস্কৃতিক অনুষ্ঠানে প্রায়শই হা-ডু-ডুকে প্রধান আকর্ষণ হিসেবে দেখা হয়?</v>
      </c>
      <c r="L52" s="10" t="str">
        <f>IFERROR(__xludf.DUMMYFUNCTION("GOOGLETRANSLATE(C52, ""en"", ""bn"")"),"A) পহেলা বৈশাখ, B) দুর্গাপূজা, C) ঈদুল আজহা, D) বৈশাখী মেলা")</f>
        <v>A) পহেলা বৈশাখ, B) দুর্গাপূজা, C) ঈদুল আজহা, D) বৈশাখী মেলা</v>
      </c>
      <c r="M52" s="10" t="str">
        <f>IFERROR(__xludf.DUMMYFUNCTION("GOOGLETRANSLATE(D52, ""en"", ""bn"")"),"ক) পহেলা বৈশাখ")</f>
        <v>ক) পহেলা বৈশাখ</v>
      </c>
      <c r="N52" s="10" t="str">
        <f>IFERROR(__xludf.DUMMYFUNCTION("GOOGLETRANSLATE(E52, ""en"", ""bn"")"),"পহেলা বৈশাখ, বাংলা নববর্ষ, প্রায়ই ঐতিহ্যগত উদযাপনের অংশ হিসেবে হা-ডু-ডু দেখায়।")</f>
        <v>পহেলা বৈশাখ, বাংলা নববর্ষ, প্রায়ই ঐতিহ্যগত উদযাপনের অংশ হিসেবে হা-ডু-ডু দেখায়।</v>
      </c>
    </row>
    <row r="53">
      <c r="A53" s="4">
        <v>52.0</v>
      </c>
      <c r="B53" s="4" t="s">
        <v>1676</v>
      </c>
      <c r="C53" s="4" t="s">
        <v>1677</v>
      </c>
      <c r="D53" s="4" t="s">
        <v>1678</v>
      </c>
      <c r="E53" s="4" t="s">
        <v>1679</v>
      </c>
      <c r="J53" s="10" t="str">
        <f>IFERROR(__xludf.DUMMYFUNCTION("GOOGLETRANSLATE(A53, ""en"", ""bn"")"),"৫২")</f>
        <v>৫২</v>
      </c>
      <c r="K53" s="10" t="str">
        <f>IFERROR(__xludf.DUMMYFUNCTION("GOOGLETRANSLATE(B53, ""en"", ""bn"")"),"হা-ডু-ডুর কোন মূল বৈশিষ্ট্য এটিকে কাবাডি থেকে আলাদা করে?")</f>
        <v>হা-ডু-ডুর কোন মূল বৈশিষ্ট্য এটিকে কাবাডি থেকে আলাদা করে?</v>
      </c>
      <c r="L53" s="10" t="str">
        <f>IFERROR(__xludf.DUMMYFUNCTION("GOOGLETRANSLATE(C53, ""en"", ""bn"")"),"ক) খেলোয়াড়রা একে অপরকে স্পর্শ করে না, খ) খেলোয়াড়দের অস্ত্র বহন করার অনুমতি রয়েছে, গ) ট্যাগ করার সময় খেলোয়াড়রা তাদের শ্বাস ধরে রাখে, ঘ) কোনও প্রতিপক্ষ দল নেই")</f>
        <v>ক) খেলোয়াড়রা একে অপরকে স্পর্শ করে না, খ) খেলোয়াড়দের অস্ত্র বহন করার অনুমতি রয়েছে, গ) ট্যাগ করার সময় খেলোয়াড়রা তাদের শ্বাস ধরে রাখে, ঘ) কোনও প্রতিপক্ষ দল নেই</v>
      </c>
      <c r="M53" s="10" t="str">
        <f>IFERROR(__xludf.DUMMYFUNCTION("GOOGLETRANSLATE(D53, ""en"", ""bn"")"),"গ) খেলোয়াড়রা ট্যাগ করার সময় তাদের শ্বাস আটকে রাখে")</f>
        <v>গ) খেলোয়াড়রা ট্যাগ করার সময় তাদের শ্বাস আটকে রাখে</v>
      </c>
      <c r="N53" s="10" t="str">
        <f>IFERROR(__xludf.DUMMYFUNCTION("GOOGLETRANSLATE(E53, ""en"", ""bn"")"),"হা-ডু-ডুতে প্রতিপক্ষকে ট্যাগ করার চেষ্টা করার সময় রেইডারকে তার শ্বাস আটকে রাখতে হয়, যা তাকে কাবাডি থেকে আলাদা করে।")</f>
        <v>হা-ডু-ডুতে প্রতিপক্ষকে ট্যাগ করার চেষ্টা করার সময় রেইডারকে তার শ্বাস আটকে রাখতে হয়, যা তাকে কাবাডি থেকে আলাদা করে।</v>
      </c>
    </row>
    <row r="54">
      <c r="A54" s="4">
        <v>53.0</v>
      </c>
      <c r="B54" s="4" t="s">
        <v>1680</v>
      </c>
      <c r="C54" s="4" t="s">
        <v>1681</v>
      </c>
      <c r="D54" s="4" t="s">
        <v>1682</v>
      </c>
      <c r="E54" s="4" t="s">
        <v>1683</v>
      </c>
      <c r="J54" s="10" t="str">
        <f>IFERROR(__xludf.DUMMYFUNCTION("GOOGLETRANSLATE(A54, ""en"", ""bn"")"),"৫৩")</f>
        <v>৫৩</v>
      </c>
      <c r="K54" s="10" t="str">
        <f>IFERROR(__xludf.DUMMYFUNCTION("GOOGLETRANSLATE(B54, ""en"", ""bn"")"),"বাংলাদেশের গ্রামাঞ্চলে হা-ডু-ডু কোন ধরণের বাজনা সবচেয়ে বেশি দেখা যায়?")</f>
        <v>বাংলাদেশের গ্রামাঞ্চলে হা-ডু-ডু কোন ধরণের বাজনা সবচেয়ে বেশি দেখা যায়?</v>
      </c>
      <c r="L54" s="10" t="str">
        <f>IFERROR(__xludf.DUMMYFUNCTION("GOOGLETRANSLATE(C54, ""en"", ""bn"")"),"ক) সৈকত হা-ডু-ডু, খ) ঐতিহ্যবাহী হা-ডু-ডু, গ) ইন্ডোর হা-ডু-ডু, ঘ) স্নো হা-ডু-ডু")</f>
        <v>ক) সৈকত হা-ডু-ডু, খ) ঐতিহ্যবাহী হা-ডু-ডু, গ) ইন্ডোর হা-ডু-ডু, ঘ) স্নো হা-ডু-ডু</v>
      </c>
      <c r="M54" s="10" t="str">
        <f>IFERROR(__xludf.DUMMYFUNCTION("GOOGLETRANSLATE(D54, ""en"", ""bn"")"),"খ) ঐতিহ্যবাহী হা-ডু-ডু")</f>
        <v>খ) ঐতিহ্যবাহী হা-ডু-ডু</v>
      </c>
      <c r="N54" s="10" t="str">
        <f>IFERROR(__xludf.DUMMYFUNCTION("GOOGLETRANSLATE(E54, ""en"", ""bn"")"),"বাংলাদেশের গ্রামাঞ্চলে ঐতিহ্যবাহী হা-ডু-ডু খেলা হয়, মূলত কাদা বা ঘাসের মাঠে।")</f>
        <v>বাংলাদেশের গ্রামাঞ্চলে ঐতিহ্যবাহী হা-ডু-ডু খেলা হয়, মূলত কাদা বা ঘাসের মাঠে।</v>
      </c>
    </row>
    <row r="55">
      <c r="A55" s="4">
        <v>54.0</v>
      </c>
      <c r="B55" s="4" t="s">
        <v>1684</v>
      </c>
      <c r="C55" s="4" t="s">
        <v>1009</v>
      </c>
      <c r="D55" s="4" t="s">
        <v>134</v>
      </c>
      <c r="E55" s="4" t="s">
        <v>1685</v>
      </c>
      <c r="J55" s="10" t="str">
        <f>IFERROR(__xludf.DUMMYFUNCTION("GOOGLETRANSLATE(A55, ""en"", ""bn"")"),"৫৪")</f>
        <v>৫৪</v>
      </c>
      <c r="K55" s="10" t="str">
        <f>IFERROR(__xludf.DUMMYFUNCTION("GOOGLETRANSLATE(B55, ""en"", ""bn"")"),"হা-ডু-ডু টুর্নামেন্টের জন্য কোন ধরণের পৃষ্ঠ সবচেয়ে বেশি ব্যবহৃত হয়?")</f>
        <v>হা-ডু-ডু টুর্নামেন্টের জন্য কোন ধরণের পৃষ্ঠ সবচেয়ে বেশি ব্যবহৃত হয়?</v>
      </c>
      <c r="L55" s="10" t="str">
        <f>IFERROR(__xludf.DUMMYFUNCTION("GOOGLETRANSLATE(C55, ""en"", ""bn"")"),"ক) ঘাস, খ) কাদা, গ) কংক্রিট, ঘ) বালি")</f>
        <v>ক) ঘাস, খ) কাদা, গ) কংক্রিট, ঘ) বালি</v>
      </c>
      <c r="M55" s="10" t="str">
        <f>IFERROR(__xludf.DUMMYFUNCTION("GOOGLETRANSLATE(D55, ""en"", ""bn"")"),"খ) কাদা")</f>
        <v>খ) কাদা</v>
      </c>
      <c r="N55" s="10" t="str">
        <f>IFERROR(__xludf.DUMMYFUNCTION("GOOGLETRANSLATE(E55, ""en"", ""bn"")"),"হা-ডু-ডু টুর্নামেন্টগুলি সাধারণত কর্দমাক্ত মাঠে অনুষ্ঠিত হয়, যা খেলায় একটি অনন্য চ্যালেঞ্জ যোগ করে।")</f>
        <v>হা-ডু-ডু টুর্নামেন্টগুলি সাধারণত কর্দমাক্ত মাঠে অনুষ্ঠিত হয়, যা খেলায় একটি অনন্য চ্যালেঞ্জ যোগ করে।</v>
      </c>
    </row>
    <row r="56">
      <c r="A56" s="4">
        <v>55.0</v>
      </c>
      <c r="B56" s="4" t="s">
        <v>1686</v>
      </c>
      <c r="C56" s="4" t="s">
        <v>1687</v>
      </c>
      <c r="D56" s="4" t="s">
        <v>1688</v>
      </c>
      <c r="E56" s="4" t="s">
        <v>1689</v>
      </c>
      <c r="J56" s="10" t="str">
        <f>IFERROR(__xludf.DUMMYFUNCTION("GOOGLETRANSLATE(A56, ""en"", ""bn"")"),"৫৫")</f>
        <v>৫৫</v>
      </c>
      <c r="K56" s="10" t="str">
        <f>IFERROR(__xludf.DUMMYFUNCTION("GOOGLETRANSLATE(B56, ""en"", ""bn"")"),"ঔপনিবেশিক আমলে শিক্ষা পাঠ্যক্রমে হা-ডু-ডু অন্তর্ভুক্ত করার জন্য কোন ঐতিহাসিক ব্যক্তিত্ব পরিচিত?")</f>
        <v>ঔপনিবেশিক আমলে শিক্ষা পাঠ্যক্রমে হা-ডু-ডু অন্তর্ভুক্ত করার জন্য কোন ঐতিহাসিক ব্যক্তিত্ব পরিচিত?</v>
      </c>
      <c r="L56" s="10" t="str">
        <f>IFERROR(__xludf.DUMMYFUNCTION("GOOGLETRANSLATE(C56, ""en"", ""bn"")"),"A) রাজা রাম মোহন রায়, B) স্যার জগদীশ চন্দ্র বসু, C) রবীন্দ্রনাথ ঠাকুর, D) কাজী নজরুল ইসলাম")</f>
        <v>A) রাজা রাম মোহন রায়, B) স্যার জগদীশ চন্দ্র বসু, C) রবীন্দ্রনাথ ঠাকুর, D) কাজী নজরুল ইসলাম</v>
      </c>
      <c r="M56" s="10" t="str">
        <f>IFERROR(__xludf.DUMMYFUNCTION("GOOGLETRANSLATE(D56, ""en"", ""bn"")"),"ক) রাজা রামমোহন রায়")</f>
        <v>ক) রাজা রামমোহন রায়</v>
      </c>
      <c r="N56" s="10" t="str">
        <f>IFERROR(__xludf.DUMMYFUNCTION("GOOGLETRANSLATE(E56, ""en"", ""bn"")"),"রাজা রামমোহন রায় ঔপনিবেশিক শাসনামলে শিক্ষা পাঠ্যক্রমে হা-ডু-ডু এবং অন্যান্য ঐতিহ্যবাহী খেলাধুলা অন্তর্ভুক্ত করার জন্য পরিচিত।")</f>
        <v>রাজা রামমোহন রায় ঔপনিবেশিক শাসনামলে শিক্ষা পাঠ্যক্রমে হা-ডু-ডু এবং অন্যান্য ঐতিহ্যবাহী খেলাধুলা অন্তর্ভুক্ত করার জন্য পরিচিত।</v>
      </c>
    </row>
    <row r="57">
      <c r="A57" s="4">
        <v>56.0</v>
      </c>
      <c r="B57" s="4" t="s">
        <v>1690</v>
      </c>
      <c r="C57" s="4" t="s">
        <v>1691</v>
      </c>
      <c r="D57" s="4" t="s">
        <v>1692</v>
      </c>
      <c r="E57" s="4" t="s">
        <v>1693</v>
      </c>
      <c r="J57" s="10" t="str">
        <f>IFERROR(__xludf.DUMMYFUNCTION("GOOGLETRANSLATE(A57, ""en"", ""bn"")"),"৫৬")</f>
        <v>৫৬</v>
      </c>
      <c r="K57" s="10" t="str">
        <f>IFERROR(__xludf.DUMMYFUNCTION("GOOGLETRANSLATE(B57, ""en"", ""bn"")"),"বাংলাদেশে হা-ডু-ডু প্রায়শই কোন ধরণের সামাজিক অনুষ্ঠানের সাথে যুক্ত?")</f>
        <v>বাংলাদেশে হা-ডু-ডু প্রায়শই কোন ধরণের সামাজিক অনুষ্ঠানের সাথে যুক্ত?</v>
      </c>
      <c r="L57" s="10" t="str">
        <f>IFERROR(__xludf.DUMMYFUNCTION("GOOGLETRANSLATE(C57, ""en"", ""bn"")"),"ক) ধর্মীয় অনুষ্ঠান, খ) কৃষি উৎসব, গ) বিবাহ, ঘ) রাজনৈতিক সমাবেশ")</f>
        <v>ক) ধর্মীয় অনুষ্ঠান, খ) কৃষি উৎসব, গ) বিবাহ, ঘ) রাজনৈতিক সমাবেশ</v>
      </c>
      <c r="M57" s="10" t="str">
        <f>IFERROR(__xludf.DUMMYFUNCTION("GOOGLETRANSLATE(D57, ""en"", ""bn"")"),"খ) কৃষি উৎসব")</f>
        <v>খ) কৃষি উৎসব</v>
      </c>
      <c r="N57" s="10" t="str">
        <f>IFERROR(__xludf.DUMMYFUNCTION("GOOGLETRANSLATE(E57, ""en"", ""bn"")"),"কৃষি উৎসবে সাধারণত হা-ডু-ডু বাজানো হয়, যা গ্রামীণ সম্প্রদায়ের শক্তি এবং ঐক্যের প্রতীক।")</f>
        <v>কৃষি উৎসবে সাধারণত হা-ডু-ডু বাজানো হয়, যা গ্রামীণ সম্প্রদায়ের শক্তি এবং ঐক্যের প্রতীক।</v>
      </c>
    </row>
    <row r="58">
      <c r="A58" s="4">
        <v>57.0</v>
      </c>
      <c r="B58" s="4" t="s">
        <v>1694</v>
      </c>
      <c r="C58" s="4" t="s">
        <v>1695</v>
      </c>
      <c r="D58" s="4" t="s">
        <v>1696</v>
      </c>
      <c r="E58" s="4" t="s">
        <v>1697</v>
      </c>
      <c r="J58" s="10" t="str">
        <f>IFERROR(__xludf.DUMMYFUNCTION("GOOGLETRANSLATE(A58, ""en"", ""bn"")"),"৫৭")</f>
        <v>৫৭</v>
      </c>
      <c r="K58" s="10" t="str">
        <f>IFERROR(__xludf.DUMMYFUNCTION("GOOGLETRANSLATE(B58, ""en"", ""bn"")"),"কোন শতাব্দীতে হা-ডু-ডু একটি পেশাদার খেলা হিসেবে ব্যাপকভাবে স্বীকৃত হয়েছিল?")</f>
        <v>কোন শতাব্দীতে হা-ডু-ডু একটি পেশাদার খেলা হিসেবে ব্যাপকভাবে স্বীকৃত হয়েছিল?</v>
      </c>
      <c r="L58" s="10" t="str">
        <f>IFERROR(__xludf.DUMMYFUNCTION("GOOGLETRANSLATE(C58, ""en"", ""bn"")"),"ক) ষোড়শ শতাব্দী, খ) আঠারো শতক, গ) বিংশ শতাব্দী, ঘ) একবিংশ শতাব্দী")</f>
        <v>ক) ষোড়শ শতাব্দী, খ) আঠারো শতক, গ) বিংশ শতাব্দী, ঘ) একবিংশ শতাব্দী</v>
      </c>
      <c r="M58" s="10" t="str">
        <f>IFERROR(__xludf.DUMMYFUNCTION("GOOGLETRANSLATE(D58, ""en"", ""bn"")"),"গ) বিংশ শতাব্দী")</f>
        <v>গ) বিংশ শতাব্দী</v>
      </c>
      <c r="N58" s="10" t="str">
        <f>IFERROR(__xludf.DUMMYFUNCTION("GOOGLETRANSLATE(E58, ""en"", ""bn"")"),"বিংশ শতাব্দীতে মিডিয়ার উপস্থিতি এবং টুর্নামেন্টের মাধ্যমে হা-ডু-ডু একটি পেশাদার খেলা হিসেবে স্বীকৃতি লাভ করে।")</f>
        <v>বিংশ শতাব্দীতে মিডিয়ার উপস্থিতি এবং টুর্নামেন্টের মাধ্যমে হা-ডু-ডু একটি পেশাদার খেলা হিসেবে স্বীকৃতি লাভ করে।</v>
      </c>
    </row>
    <row r="59">
      <c r="A59" s="4">
        <v>58.0</v>
      </c>
      <c r="B59" s="4" t="s">
        <v>1698</v>
      </c>
      <c r="C59" s="4" t="s">
        <v>1699</v>
      </c>
      <c r="D59" s="4" t="s">
        <v>1490</v>
      </c>
      <c r="E59" s="4" t="s">
        <v>1700</v>
      </c>
      <c r="J59" s="10" t="str">
        <f>IFERROR(__xludf.DUMMYFUNCTION("GOOGLETRANSLATE(A59, ""en"", ""bn"")"),"৫৮")</f>
        <v>৫৮</v>
      </c>
      <c r="K59" s="10" t="str">
        <f>IFERROR(__xludf.DUMMYFUNCTION("GOOGLETRANSLATE(B59, ""en"", ""bn"")"),"কোন খেলাটিকে আধুনিক যুগের হা-ডু-ডুর পূর্বসূরী হিসেবে বিবেচনা করা হয়?")</f>
        <v>কোন খেলাটিকে আধুনিক যুগের হা-ডু-ডুর পূর্বসূরী হিসেবে বিবেচনা করা হয়?</v>
      </c>
      <c r="L59" s="10" t="str">
        <f>IFERROR(__xludf.DUMMYFUNCTION("GOOGLETRANSLATE(C59, ""en"", ""bn"")"),"ক) কাবাডি, খ) পোলো, গ) দাবা, ঘ) কুস্তি")</f>
        <v>ক) কাবাডি, খ) পোলো, গ) দাবা, ঘ) কুস্তি</v>
      </c>
      <c r="M59" s="10" t="str">
        <f>IFERROR(__xludf.DUMMYFUNCTION("GOOGLETRANSLATE(D59, ""en"", ""bn"")"),"ক) কাবাডি")</f>
        <v>ক) কাবাডি</v>
      </c>
      <c r="N59" s="10" t="str">
        <f>IFERROR(__xludf.DUMMYFUNCTION("GOOGLETRANSLATE(E59, ""en"", ""bn"")"),"হা-ডু-ডু প্রাচীন কাবাডি খেলা থেকে উদ্ভূত হয়েছে, যেখানে অভিযান এবং ট্যাগিংয়ের অনুরূপ ধারণা অন্তর্ভুক্ত রয়েছে।")</f>
        <v>হা-ডু-ডু প্রাচীন কাবাডি খেলা থেকে উদ্ভূত হয়েছে, যেখানে অভিযান এবং ট্যাগিংয়ের অনুরূপ ধারণা অন্তর্ভুক্ত রয়েছে।</v>
      </c>
    </row>
    <row r="60">
      <c r="A60" s="4">
        <v>59.0</v>
      </c>
      <c r="B60" s="4" t="s">
        <v>1701</v>
      </c>
      <c r="C60" s="4" t="s">
        <v>1702</v>
      </c>
      <c r="D60" s="4" t="s">
        <v>1703</v>
      </c>
      <c r="E60" s="4" t="s">
        <v>1704</v>
      </c>
      <c r="J60" s="10" t="str">
        <f>IFERROR(__xludf.DUMMYFUNCTION("GOOGLETRANSLATE(A60, ""en"", ""bn"")"),"৫৯")</f>
        <v>৫৯</v>
      </c>
      <c r="K60" s="10" t="str">
        <f>IFERROR(__xludf.DUMMYFUNCTION("GOOGLETRANSLATE(B60, ""en"", ""bn"")"),"প্রথম আন্তর্জাতিক হা-ডু-ডু চ্যাম্পিয়নশিপ কত সালে অনুষ্ঠিত হয়?")</f>
        <v>প্রথম আন্তর্জাতিক হা-ডু-ডু চ্যাম্পিয়নশিপ কত সালে অনুষ্ঠিত হয়?</v>
      </c>
      <c r="L60" s="10" t="str">
        <f>IFERROR(__xludf.DUMMYFUNCTION("GOOGLETRANSLATE(C60, ""en"", ""bn"")"),"ক) ১৯৮০, খ) ১৯৯১, গ) ২০০০, ঘ) ২০১০")</f>
        <v>ক) ১৯৮০, খ) ১৯৯১, গ) ২০০০, ঘ) ২০১০</v>
      </c>
      <c r="M60" s="10" t="str">
        <f>IFERROR(__xludf.DUMMYFUNCTION("GOOGLETRANSLATE(D60, ""en"", ""bn"")"),"খ) ১৯৯১")</f>
        <v>খ) ১৯৯১</v>
      </c>
      <c r="N60" s="10" t="str">
        <f>IFERROR(__xludf.DUMMYFUNCTION("GOOGLETRANSLATE(E60, ""en"", ""bn"")"),"প্রথম আন্তর্জাতিক হা-ডু-ডু চ্যাম্পিয়নশিপ ১৯৯১ সালে অনুষ্ঠিত হয়, যা বিশ্বব্যাপী প্রতিযোগিতায় খেলাটির প্রবেশকে চিহ্নিত করে।")</f>
        <v>প্রথম আন্তর্জাতিক হা-ডু-ডু চ্যাম্পিয়নশিপ ১৯৯১ সালে অনুষ্ঠিত হয়, যা বিশ্বব্যাপী প্রতিযোগিতায় খেলাটির প্রবেশকে চিহ্নিত করে।</v>
      </c>
    </row>
    <row r="61">
      <c r="A61" s="4">
        <v>60.0</v>
      </c>
      <c r="B61" s="4" t="s">
        <v>1705</v>
      </c>
      <c r="C61" s="4" t="s">
        <v>1706</v>
      </c>
      <c r="D61" s="4" t="s">
        <v>24</v>
      </c>
      <c r="E61" s="4" t="s">
        <v>1707</v>
      </c>
      <c r="J61" s="10" t="str">
        <f>IFERROR(__xludf.DUMMYFUNCTION("GOOGLETRANSLATE(A61, ""en"", ""bn"")"),"৬০")</f>
        <v>৬০</v>
      </c>
      <c r="K61" s="10" t="str">
        <f>IFERROR(__xludf.DUMMYFUNCTION("GOOGLETRANSLATE(B61, ""en"", ""bn"")"),"বাংলাদেশের কোন অঞ্চলকে হা-ডু-ডুর জন্মস্থান হিসেবে বিবেচনা করা হয়?")</f>
        <v>বাংলাদেশের কোন অঞ্চলকে হা-ডু-ডুর জন্মস্থান হিসেবে বিবেচনা করা হয়?</v>
      </c>
      <c r="L61" s="10" t="str">
        <f>IFERROR(__xludf.DUMMYFUNCTION("GOOGLETRANSLATE(C61, ""en"", ""bn"")"),"ক) ঢাকা, খ) রাজশাহী, গ) খুলনা, ঘ) বরিশাল")</f>
        <v>ক) ঢাকা, খ) রাজশাহী, গ) খুলনা, ঘ) বরিশাল</v>
      </c>
      <c r="M61" s="10" t="str">
        <f>IFERROR(__xludf.DUMMYFUNCTION("GOOGLETRANSLATE(D61, ""en"", ""bn"")"),"খ) রাজশাহী")</f>
        <v>খ) রাজশাহী</v>
      </c>
      <c r="N61" s="10" t="str">
        <f>IFERROR(__xludf.DUMMYFUNCTION("GOOGLETRANSLATE(E61, ""en"", ""bn"")"),"রাজশাহীকে হা-ডু-ডুর জন্মস্থান হিসেবে বিবেচনা করা হয়, যেখানে গ্রামীণ সম্প্রদায়গুলিতে এই খেলার উৎপত্তি হয়েছিল।")</f>
        <v>রাজশাহীকে হা-ডু-ডুর জন্মস্থান হিসেবে বিবেচনা করা হয়, যেখানে গ্রামীণ সম্প্রদায়গুলিতে এই খেলার উৎপত্তি হয়েছিল।</v>
      </c>
    </row>
    <row r="62">
      <c r="A62" s="13">
        <v>61.0</v>
      </c>
      <c r="B62" s="13" t="s">
        <v>1708</v>
      </c>
      <c r="C62" s="13" t="s">
        <v>1709</v>
      </c>
      <c r="D62" s="13" t="s">
        <v>1710</v>
      </c>
      <c r="E62" s="13" t="s">
        <v>1711</v>
      </c>
      <c r="J62" s="10" t="str">
        <f>IFERROR(__xludf.DUMMYFUNCTION("GOOGLETRANSLATE(A62, ""en"", ""bn"")"),"৬১")</f>
        <v>৬১</v>
      </c>
      <c r="K62" s="10" t="str">
        <f>IFERROR(__xludf.DUMMYFUNCTION("GOOGLETRANSLATE(B62, ""en"", ""bn"")"),"বাংলাদেশের কোন ঐতিহাসিক ঘটনার ফলে হা-ডু-ডু জাতীয় খেলা হিসেবে আনুষ্ঠানিক স্বীকৃতি পায়?")</f>
        <v>বাংলাদেশের কোন ঐতিহাসিক ঘটনার ফলে হা-ডু-ডু জাতীয় খেলা হিসেবে আনুষ্ঠানিক স্বীকৃতি পায়?</v>
      </c>
      <c r="L62" s="10" t="str">
        <f>IFERROR(__xludf.DUMMYFUNCTION("GOOGLETRANSLATE(C62, ""en"", ""bn"")"),"ক) ভাষা আন্দোলন, খ) ১৯৭১ সালের মুক্তিযুদ্ধ, গ) বাংলার দুর্ভিক্ষ, ঘ) বাংলার বিভাজন")</f>
        <v>ক) ভাষা আন্দোলন, খ) ১৯৭১ সালের মুক্তিযুদ্ধ, গ) বাংলার দুর্ভিক্ষ, ঘ) বাংলার বিভাজন</v>
      </c>
      <c r="M62" s="10" t="str">
        <f>IFERROR(__xludf.DUMMYFUNCTION("GOOGLETRANSLATE(D62, ""en"", ""bn"")"),"খ) ১৯৭১ সালের মুক্তিযুদ্ধ")</f>
        <v>খ) ১৯৭১ সালের মুক্তিযুদ্ধ</v>
      </c>
      <c r="N62" s="10" t="str">
        <f>IFERROR(__xludf.DUMMYFUNCTION("GOOGLETRANSLATE(E62, ""en"", ""bn"")"),"স্বাধীনতা অর্জনের পর, বাংলাদেশ তার অনন্য সাংস্কৃতিক পরিচয় প্রতিষ্ঠার চেষ্টা করে এবং ১৯৭২ সালে, হা-ডু-ডুকে তার ঐতিহ্যের প্রতীক হিসেবে জাতীয় খেলা হিসেবে ঘোষণা করা হয়।")</f>
        <v>স্বাধীনতা অর্জনের পর, বাংলাদেশ তার অনন্য সাংস্কৃতিক পরিচয় প্রতিষ্ঠার চেষ্টা করে এবং ১৯৭২ সালে, হা-ডু-ডুকে তার ঐতিহ্যের প্রতীক হিসেবে জাতীয় খেলা হিসেবে ঘোষণা করা হয়।</v>
      </c>
    </row>
    <row r="63">
      <c r="A63" s="13">
        <v>62.0</v>
      </c>
      <c r="B63" s="13" t="s">
        <v>1712</v>
      </c>
      <c r="C63" s="13" t="s">
        <v>1713</v>
      </c>
      <c r="D63" s="13" t="s">
        <v>1714</v>
      </c>
      <c r="E63" s="13" t="s">
        <v>1715</v>
      </c>
      <c r="J63" s="10" t="str">
        <f>IFERROR(__xludf.DUMMYFUNCTION("GOOGLETRANSLATE(A63, ""en"", ""bn"")"),"৬২")</f>
        <v>৬২</v>
      </c>
      <c r="K63" s="10" t="str">
        <f>IFERROR(__xludf.DUMMYFUNCTION("GOOGLETRANSLATE(B63, ""en"", ""bn"")"),"""হা-ডু-ডু"" বাক্যাংশটি কোন ক্রিয়ার জন্য একটি অনম্যাটোপোইয়া?")</f>
        <v>"হা-ডু-ডু" বাক্যাংশটি কোন ক্রিয়ার জন্য একটি অনম্যাটোপোইয়া?</v>
      </c>
      <c r="L63" s="10" t="str">
        <f>IFERROR(__xludf.DUMMYFUNCTION("GOOGLETRANSLATE(C63, ""en"", ""bn"")"),"ক) পায়ের শব্দ, খ) ট্যাকলের শব্দ, গ) আক্রমণকারীর একটানা স্তম্ভ, ঘ) জনতার উল্লাস")</f>
        <v>ক) পায়ের শব্দ, খ) ট্যাকলের শব্দ, গ) আক্রমণকারীর একটানা স্তম্ভ, ঘ) জনতার উল্লাস</v>
      </c>
      <c r="M63" s="10" t="str">
        <f>IFERROR(__xludf.DUMMYFUNCTION("GOOGLETRANSLATE(D63, ""en"", ""bn"")"),"গ) আক্রমণকারীর একটানা মন্ত্র")</f>
        <v>গ) আক্রমণকারীর একটানা মন্ত্র</v>
      </c>
      <c r="N63" s="10" t="str">
        <f>IFERROR(__xludf.DUMMYFUNCTION("GOOGLETRANSLATE(E63, ""en"", ""bn"")"),"""হা-ডু-ডু"" নামটি এসেছে ছন্দবদ্ধ মন্ত্র থেকে যা আক্রমণকারীকে এক নিঃশ্বাসে করতে হয়, যা খেলার নির্ধারিত নিয়ম।")</f>
        <v>"হা-ডু-ডু" নামটি এসেছে ছন্দবদ্ধ মন্ত্র থেকে যা আক্রমণকারীকে এক নিঃশ্বাসে করতে হয়, যা খেলার নির্ধারিত নিয়ম।</v>
      </c>
    </row>
    <row r="64">
      <c r="A64" s="13">
        <v>63.0</v>
      </c>
      <c r="B64" s="13" t="s">
        <v>1716</v>
      </c>
      <c r="C64" s="13" t="s">
        <v>1717</v>
      </c>
      <c r="D64" s="13" t="s">
        <v>1718</v>
      </c>
      <c r="E64" s="13" t="s">
        <v>1719</v>
      </c>
      <c r="J64" s="10" t="str">
        <f>IFERROR(__xludf.DUMMYFUNCTION("GOOGLETRANSLATE(A64, ""en"", ""bn"")"),"৬৩")</f>
        <v>৬৩</v>
      </c>
      <c r="K64" s="10" t="str">
        <f>IFERROR(__xludf.DUMMYFUNCTION("GOOGLETRANSLATE(B64, ""en"", ""bn"")"),"আনুষ্ঠানিক নিয়ম প্রতিষ্ঠার আগে, হা-ডু-ডু অভিযানের সময়কাল প্রায়শই কীভাবে পরিমাপ করা হত?")</f>
        <v>আনুষ্ঠানিক নিয়ম প্রতিষ্ঠার আগে, হা-ডু-ডু অভিযানের সময়কাল প্রায়শই কীভাবে পরিমাপ করা হত?</v>
      </c>
      <c r="L64" s="10" t="str">
        <f>IFERROR(__xludf.DUMMYFUNCTION("GOOGLETRANSLATE(C64, ""en"", ""bn"")"),"ক) স্টপওয়াচ দ্বারা, খ) ট্যাগের সংখ্যা দ্বারা, গ) নেওয়া শ্বাসের সংখ্যা দ্বারা, ঘ) আক্রমণকারীর শ্বাস ধরে রাখার ক্ষমতা দ্বারা")</f>
        <v>ক) স্টপওয়াচ দ্বারা, খ) ট্যাগের সংখ্যা দ্বারা, গ) নেওয়া শ্বাসের সংখ্যা দ্বারা, ঘ) আক্রমণকারীর শ্বাস ধরে রাখার ক্ষমতা দ্বারা</v>
      </c>
      <c r="M64" s="10" t="str">
        <f>IFERROR(__xludf.DUMMYFUNCTION("GOOGLETRANSLATE(D64, ""en"", ""bn"")"),"ঘ) আক্রমণকারীর শ্বাস আটকে রাখার ক্ষমতা দ্বারা")</f>
        <v>ঘ) আক্রমণকারীর শ্বাস আটকে রাখার ক্ষমতা দ্বারা</v>
      </c>
      <c r="N64" s="10" t="str">
        <f>IFERROR(__xludf.DUMMYFUNCTION("GOOGLETRANSLATE(E64, ""en"", ""bn"")"),"ঐতিহাসিকভাবে খেলার মূল বিষয় ছিল রেইডারদের দম আটকে রাখার ক্ষমতার চারপাশে, প্রায়শই দর্শকরা সময়কাল গণনা বা বিচার করত।")</f>
        <v>ঐতিহাসিকভাবে খেলার মূল বিষয় ছিল রেইডারদের দম আটকে রাখার ক্ষমতার চারপাশে, প্রায়শই দর্শকরা সময়কাল গণনা বা বিচার করত।</v>
      </c>
    </row>
    <row r="65">
      <c r="A65" s="13">
        <v>64.0</v>
      </c>
      <c r="B65" s="13" t="s">
        <v>1720</v>
      </c>
      <c r="C65" s="13" t="s">
        <v>1721</v>
      </c>
      <c r="D65" s="13" t="s">
        <v>1722</v>
      </c>
      <c r="E65" s="13" t="s">
        <v>1723</v>
      </c>
      <c r="J65" s="10" t="str">
        <f>IFERROR(__xludf.DUMMYFUNCTION("GOOGLETRANSLATE(A65, ""en"", ""bn"")"),"৬৪")</f>
        <v>৬৪</v>
      </c>
      <c r="K65" s="10" t="str">
        <f>IFERROR(__xludf.DUMMYFUNCTION("GOOGLETRANSLATE(B65, ""en"", ""bn"")"),"হা-ডু-ডুর ইতিহাসে, গ্রামীণ গ্রামে খেলাটি খেলার প্রাথমিক উদ্দেশ্য কী ছিল?")</f>
        <v>হা-ডু-ডুর ইতিহাসে, গ্রামীণ গ্রামে খেলাটি খেলার প্রাথমিক উদ্দেশ্য কী ছিল?</v>
      </c>
      <c r="L65" s="10" t="str">
        <f>IFERROR(__xludf.DUMMYFUNCTION("GOOGLETRANSLATE(C65, ""en"", ""bn"")"),"ক) প্রতিযোগিতামূলক খেলা হিসেবে, খ) সৈন্যদের শারীরিক প্রশিক্ষণের জন্য, গ) সম্প্রদায়ের বিনোদন এবং বন্ধনমূলক কার্যকলাপ হিসেবে, ঘ) জুয়া এবং বাজির জন্য")</f>
        <v>ক) প্রতিযোগিতামূলক খেলা হিসেবে, খ) সৈন্যদের শারীরিক প্রশিক্ষণের জন্য, গ) সম্প্রদায়ের বিনোদন এবং বন্ধনমূলক কার্যকলাপ হিসেবে, ঘ) জুয়া এবং বাজির জন্য</v>
      </c>
      <c r="M65" s="10" t="str">
        <f>IFERROR(__xludf.DUMMYFUNCTION("GOOGLETRANSLATE(D65, ""en"", ""bn"")"),"গ) একটি সম্প্রদায় বিনোদন এবং বন্ধন কার্যকলাপ হিসাবে")</f>
        <v>গ) একটি সম্প্রদায় বিনোদন এবং বন্ধন কার্যকলাপ হিসাবে</v>
      </c>
      <c r="N65" s="10" t="str">
        <f>IFERROR(__xludf.DUMMYFUNCTION("GOOGLETRANSLATE(E65, ""en"", ""bn"")"),"ঐতিহাসিকভাবে, হা-ডু-ডু ছিল এক ধরণের সাম্প্রদায়িক বিনোদন এবং গ্রামবাসীদের উৎসব এবং বিশেষ অনুষ্ঠানগুলিতে সামাজিকীকরণ এবং উদযাপনের একটি উপায়।")</f>
        <v>ঐতিহাসিকভাবে, হা-ডু-ডু ছিল এক ধরণের সাম্প্রদায়িক বিনোদন এবং গ্রামবাসীদের উৎসব এবং বিশেষ অনুষ্ঠানগুলিতে সামাজিকীকরণ এবং উদযাপনের একটি উপায়।</v>
      </c>
    </row>
    <row r="66">
      <c r="A66" s="13">
        <v>65.0</v>
      </c>
      <c r="B66" s="13" t="s">
        <v>1724</v>
      </c>
      <c r="C66" s="13" t="s">
        <v>1725</v>
      </c>
      <c r="D66" s="13" t="s">
        <v>1726</v>
      </c>
      <c r="E66" s="13" t="s">
        <v>1727</v>
      </c>
      <c r="J66" s="10" t="str">
        <f>IFERROR(__xludf.DUMMYFUNCTION("GOOGLETRANSLATE(A66, ""en"", ""bn"")"),"৬৫")</f>
        <v>৬৫</v>
      </c>
      <c r="K66" s="10" t="str">
        <f>IFERROR(__xludf.DUMMYFUNCTION("GOOGLETRANSLATE(B66, ""en"", ""bn"")"),"হা-ডু-ডুর ঐতিহ্যবাহী আদালত প্রায়শই কোন সরল উপাদান দ্বারা চিহ্নিত করা হত?")</f>
        <v>হা-ডু-ডুর ঐতিহ্যবাহী আদালত প্রায়শই কোন সরল উপাদান দ্বারা চিহ্নিত করা হত?</v>
      </c>
      <c r="L66" s="10" t="str">
        <f>IFERROR(__xludf.DUMMYFUNCTION("GOOGLETRANSLATE(C66, ""en"", ""bn"")"),"ক) খড়ি, খ) বাঁশের লাঠি, গ) বালি, ঘ) চালের গুঁড়ো")</f>
        <v>ক) খড়ি, খ) বাঁশের লাঠি, গ) বালি, ঘ) চালের গুঁড়ো</v>
      </c>
      <c r="M66" s="10" t="str">
        <f>IFERROR(__xludf.DUMMYFUNCTION("GOOGLETRANSLATE(D66, ""en"", ""bn"")"),"ঘ) চালের গুঁড়ো")</f>
        <v>ঘ) চালের গুঁড়ো</v>
      </c>
      <c r="N66" s="10" t="str">
        <f>IFERROR(__xludf.DUMMYFUNCTION("GOOGLETRANSLATE(E66, ""en"", ""bn"")"),"গ্রামীণ পরিবেশে, চালের গুঁড়ো বা অনুরূপ স্থানীয়, সহজলভ্য উপকরণ ব্যবহার করে মাটিতে আদালত চিহ্নিত করা হত।")</f>
        <v>গ্রামীণ পরিবেশে, চালের গুঁড়ো বা অনুরূপ স্থানীয়, সহজলভ্য উপকরণ ব্যবহার করে মাটিতে আদালত চিহ্নিত করা হত।</v>
      </c>
    </row>
    <row r="67">
      <c r="A67" s="13">
        <v>66.0</v>
      </c>
      <c r="B67" s="13" t="s">
        <v>1728</v>
      </c>
      <c r="C67" s="13" t="s">
        <v>1729</v>
      </c>
      <c r="D67" s="13" t="s">
        <v>1730</v>
      </c>
      <c r="E67" s="13" t="s">
        <v>1731</v>
      </c>
      <c r="J67" s="10" t="str">
        <f>IFERROR(__xludf.DUMMYFUNCTION("GOOGLETRANSLATE(A67, ""en"", ""bn"")"),"৬৬")</f>
        <v>৬৬</v>
      </c>
      <c r="K67" s="10" t="str">
        <f>IFERROR(__xludf.DUMMYFUNCTION("GOOGLETRANSLATE(B67, ""en"", ""bn"")"),"বাংলায় ঊনবিংশ শতাব্দীর কোন সামাজিক আন্দোলন হা-ডু-ডু সংরক্ষণ ও প্রচারে অবদান রেখেছিল?")</f>
        <v>বাংলায় ঊনবিংশ শতাব্দীর কোন সামাজিক আন্দোলন হা-ডু-ডু সংরক্ষণ ও প্রচারে অবদান রেখেছিল?</v>
      </c>
      <c r="L67" s="10" t="str">
        <f>IFERROR(__xludf.DUMMYFUNCTION("GOOGLETRANSLATE(C67, ""en"", ""bn"")"),"ক) ব্রাহ্ম সমাজ, খ) তরুণ বাংলা আন্দোলন, গ) স্বদেশী আন্দোলন, ঘ) বাংলার নবজাগরণ")</f>
        <v>ক) ব্রাহ্ম সমাজ, খ) তরুণ বাংলা আন্দোলন, গ) স্বদেশী আন্দোলন, ঘ) বাংলার নবজাগরণ</v>
      </c>
      <c r="M67" s="10" t="str">
        <f>IFERROR(__xludf.DUMMYFUNCTION("GOOGLETRANSLATE(D67, ""en"", ""bn"")"),"ঘ) বাংলার নবজাগরণ")</f>
        <v>ঘ) বাংলার নবজাগরণ</v>
      </c>
      <c r="N67" s="10" t="str">
        <f>IFERROR(__xludf.DUMMYFUNCTION("GOOGLETRANSLATE(E67, ""en"", ""bn"")"),"বাংলার নবজাগরণ ছিল সাংস্কৃতিক পুনরুজ্জীবনের একটি সময় যেখানে বাঙালি পরিচয় প্রতিষ্ঠার জন্য ঐতিহ্যবাহী শিল্প, সাহিত্য এবং হা-ডু-ডুর মতো খেলাধুলার প্রতি নতুন করে আগ্রহ দেখা দেয়।")</f>
        <v>বাংলার নবজাগরণ ছিল সাংস্কৃতিক পুনরুজ্জীবনের একটি সময় যেখানে বাঙালি পরিচয় প্রতিষ্ঠার জন্য ঐতিহ্যবাহী শিল্প, সাহিত্য এবং হা-ডু-ডুর মতো খেলাধুলার প্রতি নতুন করে আগ্রহ দেখা দেয়।</v>
      </c>
    </row>
    <row r="68">
      <c r="A68" s="13">
        <v>67.0</v>
      </c>
      <c r="B68" s="13" t="s">
        <v>1732</v>
      </c>
      <c r="C68" s="13" t="s">
        <v>1733</v>
      </c>
      <c r="D68" s="13" t="s">
        <v>1734</v>
      </c>
      <c r="E68" s="13" t="s">
        <v>1735</v>
      </c>
      <c r="J68" s="10" t="str">
        <f>IFERROR(__xludf.DUMMYFUNCTION("GOOGLETRANSLATE(A68, ""en"", ""bn"")"),"৬৭")</f>
        <v>৬৭</v>
      </c>
      <c r="K68" s="10" t="str">
        <f>IFERROR(__xludf.DUMMYFUNCTION("GOOGLETRANSLATE(B68, ""en"", ""bn"")"),"হা-ডু-ডু খেলায় ডিফেন্ডিং টিমের এলাকার ঐতিহাসিক নাম কী ছিল?")</f>
        <v>হা-ডু-ডু খেলায় ডিফেন্ডিং টিমের এলাকার ঐতিহাসিক নাম কী ছিল?</v>
      </c>
      <c r="L68" s="10" t="str">
        <f>IFERROR(__xludf.DUMMYFUNCTION("GOOGLETRANSLATE(C68, ""en"", ""bn"")"),"ক) 'ঘর', খ) 'গুহা', গ) 'দুর্গ', ঘ) 'আদালত'")</f>
        <v>ক) 'ঘর', খ) 'গুহা', গ) 'দুর্গ', ঘ) 'আদালত'</v>
      </c>
      <c r="M68" s="10" t="str">
        <f>IFERROR(__xludf.DUMMYFUNCTION("GOOGLETRANSLATE(D68, ""en"", ""bn"")"),"গ) 'দুর্গ'")</f>
        <v>গ) 'দুর্গ'</v>
      </c>
      <c r="N68" s="10" t="str">
        <f>IFERROR(__xludf.DUMMYFUNCTION("GOOGLETRANSLATE(E68, ""en"", ""bn"")"),"কোর্টের প্রতিরক্ষামূলক অর্ধেককে ঐতিহাসিকভাবে 'দুর্গ' বলা হত, যা আক্রমণকারী আক্রমণকারীর হাত থেকে তাদের স্থান রক্ষায় রক্ষকদের ভূমিকার উপর জোর দেয়।")</f>
        <v>কোর্টের প্রতিরক্ষামূলক অর্ধেককে ঐতিহাসিকভাবে 'দুর্গ' বলা হত, যা আক্রমণকারী আক্রমণকারীর হাত থেকে তাদের স্থান রক্ষায় রক্ষকদের ভূমিকার উপর জোর দেয়।</v>
      </c>
    </row>
    <row r="69">
      <c r="A69" s="13">
        <v>68.0</v>
      </c>
      <c r="B69" s="13" t="s">
        <v>1736</v>
      </c>
      <c r="C69" s="13" t="s">
        <v>1737</v>
      </c>
      <c r="D69" s="13" t="s">
        <v>1738</v>
      </c>
      <c r="E69" s="13" t="s">
        <v>1739</v>
      </c>
      <c r="J69" s="10" t="str">
        <f>IFERROR(__xludf.DUMMYFUNCTION("GOOGLETRANSLATE(A69, ""en"", ""bn"")"),"৬৮")</f>
        <v>৬৮</v>
      </c>
      <c r="K69" s="10" t="str">
        <f>IFERROR(__xludf.DUMMYFUNCTION("GOOGLETRANSLATE(B69, ""en"", ""bn"")"),"কোন ঐতিহাসিক সময়ে হা-ডু-ডুর জনপ্রিয়তা হ্রাস পায়?")</f>
        <v>কোন ঐতিহাসিক সময়ে হা-ডু-ডুর জনপ্রিয়তা হ্রাস পায়?</v>
      </c>
      <c r="L69" s="10" t="str">
        <f>IFERROR(__xludf.DUMMYFUNCTION("GOOGLETRANSLATE(C69, ""en"", ""bn"")"),"ক) মুঘল যুগ, খ) ব্রিটিশ ঔপনিবেশিক যুগ, গ) বিংশ শতাব্দীর শেষের দিকে, ঘ) আঠারো শতক")</f>
        <v>ক) মুঘল যুগ, খ) ব্রিটিশ ঔপনিবেশিক যুগ, গ) বিংশ শতাব্দীর শেষের দিকে, ঘ) আঠারো শতক</v>
      </c>
      <c r="M69" s="10" t="str">
        <f>IFERROR(__xludf.DUMMYFUNCTION("GOOGLETRANSLATE(D69, ""en"", ""bn"")"),"খ) ব্রিটিশ ঔপনিবেশিক আমল")</f>
        <v>খ) ব্রিটিশ ঔপনিবেশিক আমল</v>
      </c>
      <c r="N69" s="10" t="str">
        <f>IFERROR(__xludf.DUMMYFUNCTION("GOOGLETRANSLATE(E69, ""en"", ""bn"")"),"ব্রিটিশ ঔপনিবেশিক প্রশাসন ক্রিকেট এবং ফুটবলের মতো পশ্চিমা খেলাধুলাকে উৎসাহিত করে, যার ফলে হা-ডু-ডু সহ অনেক ঐতিহ্যবাহী বাঙালি খেলার জনপ্রিয়তা হ্রাস পায়।")</f>
        <v>ব্রিটিশ ঔপনিবেশিক প্রশাসন ক্রিকেট এবং ফুটবলের মতো পশ্চিমা খেলাধুলাকে উৎসাহিত করে, যার ফলে হা-ডু-ডু সহ অনেক ঐতিহ্যবাহী বাঙালি খেলার জনপ্রিয়তা হ্রাস পায়।</v>
      </c>
    </row>
    <row r="70">
      <c r="A70" s="13">
        <v>69.0</v>
      </c>
      <c r="B70" s="13" t="s">
        <v>1740</v>
      </c>
      <c r="C70" s="13" t="s">
        <v>1741</v>
      </c>
      <c r="D70" s="13" t="s">
        <v>1742</v>
      </c>
      <c r="E70" s="13" t="s">
        <v>1743</v>
      </c>
      <c r="J70" s="10" t="str">
        <f>IFERROR(__xludf.DUMMYFUNCTION("GOOGLETRANSLATE(A70, ""en"", ""bn"")"),"৬৯")</f>
        <v>৬৯</v>
      </c>
      <c r="K70" s="10" t="str">
        <f>IFERROR(__xludf.DUMMYFUNCTION("GOOGLETRANSLATE(B70, ""en"", ""bn"")"),"ঐতিহাসিক গ্রামীণ প্রেক্ষাপটে হা-ডু-ডু টুর্নামেন্ট জেতার জন্য সাধারণ পুরষ্কার কী ছিল?")</f>
        <v>ঐতিহাসিক গ্রামীণ প্রেক্ষাপটে হা-ডু-ডু টুর্নামেন্ট জেতার জন্য সাধারণ পুরষ্কার কী ছিল?</v>
      </c>
      <c r="L70" s="10" t="str">
        <f>IFERROR(__xludf.DUMMYFUNCTION("GOOGLETRANSLATE(C70, ""en"", ""bn"")"),"ক) টাকা, খ) পশুপালন (যেমন, একটি ছাগল), গ) একটি ট্রফি, ঘ) একটি উপাধি বা সম্মাননা")</f>
        <v>ক) টাকা, খ) পশুপালন (যেমন, একটি ছাগল), গ) একটি ট্রফি, ঘ) একটি উপাধি বা সম্মাননা</v>
      </c>
      <c r="M70" s="10" t="str">
        <f>IFERROR(__xludf.DUMMYFUNCTION("GOOGLETRANSLATE(D70, ""en"", ""bn"")"),"খ) পশুপালন (যেমন, ছাগল)")</f>
        <v>খ) পশুপালন (যেমন, ছাগল)</v>
      </c>
      <c r="N70" s="10" t="str">
        <f>IFERROR(__xludf.DUMMYFUNCTION("GOOGLETRANSLATE(E70, ""en"", ""bn"")"),"অনেক গ্রামীণ, কৃষিপ্রধান সম্প্রদায়ে, হা-ডু-ডু টুর্নামেন্টের বিজয়ীদের একটি ছাগল বা অন্যান্য গবাদি পশু পুরস্কৃত করা হত, যা একটি মূল্যবান পুরষ্কার হিসাবে বিবেচিত হত।")</f>
        <v>অনেক গ্রামীণ, কৃষিপ্রধান সম্প্রদায়ে, হা-ডু-ডু টুর্নামেন্টের বিজয়ীদের একটি ছাগল বা অন্যান্য গবাদি পশু পুরস্কৃত করা হত, যা একটি মূল্যবান পুরষ্কার হিসাবে বিবেচিত হত।</v>
      </c>
    </row>
    <row r="71">
      <c r="A71" s="13">
        <v>70.0</v>
      </c>
      <c r="B71" s="13" t="s">
        <v>1744</v>
      </c>
      <c r="C71" s="13" t="s">
        <v>1745</v>
      </c>
      <c r="D71" s="13" t="s">
        <v>1746</v>
      </c>
      <c r="E71" s="13" t="s">
        <v>1747</v>
      </c>
      <c r="J71" s="10" t="str">
        <f>IFERROR(__xludf.DUMMYFUNCTION("GOOGLETRANSLATE(A71, ""en"", ""bn"")"),"৭০")</f>
        <v>৭০</v>
      </c>
      <c r="K71" s="10" t="str">
        <f>IFERROR(__xludf.DUMMYFUNCTION("GOOGLETRANSLATE(B71, ""en"", ""bn"")"),"বাংলার সুলতানি আমলে হা-ডু-ডুর জন্য কোন ধরণের ক্ষেত্র ব্যবহৃত হত?")</f>
        <v>বাংলার সুলতানি আমলে হা-ডু-ডুর জন্য কোন ধরণের ক্ষেত্র ব্যবহৃত হত?</v>
      </c>
      <c r="L71" s="10" t="str">
        <f>IFERROR(__xludf.DUMMYFUNCTION("GOOGLETRANSLATE(C71, ""en"", ""bn"")"),"ক) পাকা উঠোন, খ) রাজকীয় লন, গ) কর্দমাক্ত মাঠ, ঘ) বালির গর্ত")</f>
        <v>ক) পাকা উঠোন, খ) রাজকীয় লন, গ) কর্দমাক্ত মাঠ, ঘ) বালির গর্ত</v>
      </c>
      <c r="M71" s="10" t="str">
        <f>IFERROR(__xludf.DUMMYFUNCTION("GOOGLETRANSLATE(D71, ""en"", ""bn"")"),"গ) কর্দমাক্ত মাঠ")</f>
        <v>গ) কর্দমাক্ত মাঠ</v>
      </c>
      <c r="N71" s="10" t="str">
        <f>IFERROR(__xludf.DUMMYFUNCTION("GOOGLETRANSLATE(E71, ""en"", ""bn"")"),"এই খেলার উৎপত্তি গ্রামীণ ভূদৃশ্যের সাথে গভীরভাবে জড়িত, এবং এটি মূলত কর্দমাক্ত মাঠে খেলা হত, যা শারীরিক সংস্পর্শের জন্য একটি চ্যালেঞ্জিং কিন্তু নিরাপদ পৃষ্ঠ প্রদান করে।")</f>
        <v>এই খেলার উৎপত্তি গ্রামীণ ভূদৃশ্যের সাথে গভীরভাবে জড়িত, এবং এটি মূলত কর্দমাক্ত মাঠে খেলা হত, যা শারীরিক সংস্পর্শের জন্য একটি চ্যালেঞ্জিং কিন্তু নিরাপদ পৃষ্ঠ প্রদান করে।</v>
      </c>
    </row>
    <row r="72">
      <c r="A72" s="13">
        <v>71.0</v>
      </c>
      <c r="B72" s="13" t="s">
        <v>1748</v>
      </c>
      <c r="C72" s="13" t="s">
        <v>1749</v>
      </c>
      <c r="D72" s="13" t="s">
        <v>1750</v>
      </c>
      <c r="E72" s="13" t="s">
        <v>1751</v>
      </c>
      <c r="J72" s="10" t="str">
        <f>IFERROR(__xludf.DUMMYFUNCTION("GOOGLETRANSLATE(A72, ""en"", ""bn"")"),"৭১")</f>
        <v>৭১</v>
      </c>
      <c r="K72" s="10" t="str">
        <f>IFERROR(__xludf.DUMMYFUNCTION("GOOGLETRANSLATE(B72, ""en"", ""bn"")"),"হা-ডু-ডু খেলায় গ্রামের প্রবীণদের ঐতিহাসিক ভূমিকা কী ছিল?")</f>
        <v>হা-ডু-ডু খেলায় গ্রামের প্রবীণদের ঐতিহাসিক ভূমিকা কী ছিল?</v>
      </c>
      <c r="L72" s="10" t="str">
        <f>IFERROR(__xludf.DUMMYFUNCTION("GOOGLETRANSLATE(C72, ""en"", ""bn"")"),"ক) তারা রেফারি হিসেবে কাজ করত, খ) তারা প্রধান খেলোয়াড় ছিল, গ) তারা টুর্নামেন্ট আয়োজন করত, ঘ) তারা ধারাভাষ্য দিত")</f>
        <v>ক) তারা রেফারি হিসেবে কাজ করত, খ) তারা প্রধান খেলোয়াড় ছিল, গ) তারা টুর্নামেন্ট আয়োজন করত, ঘ) তারা ধারাভাষ্য দিত</v>
      </c>
      <c r="M72" s="10" t="str">
        <f>IFERROR(__xludf.DUMMYFUNCTION("GOOGLETRANSLATE(D72, ""en"", ""bn"")"),"ক) তারা রেফারি হিসেবে কাজ করেছিলেন")</f>
        <v>ক) তারা রেফারি হিসেবে কাজ করেছিলেন</v>
      </c>
      <c r="N72" s="10" t="str">
        <f>IFERROR(__xludf.DUMMYFUNCTION("GOOGLETRANSLATE(E72, ""en"", ""bn"")"),"ঐতিহাসিকভাবে, গ্রামের প্রবীণরা অথবা সম্মানিত সম্প্রদায়ের সদস্যরা প্রায়শই ন্যায্য খেলা নিশ্চিত করতে এবং বিরোধ নিষ্পত্তির জন্য অনানুষ্ঠানিক রেফারি এবং বিচারক হিসেবে কাজ করেছেন।")</f>
        <v>ঐতিহাসিকভাবে, গ্রামের প্রবীণরা অথবা সম্মানিত সম্প্রদায়ের সদস্যরা প্রায়শই ন্যায্য খেলা নিশ্চিত করতে এবং বিরোধ নিষ্পত্তির জন্য অনানুষ্ঠানিক রেফারি এবং বিচারক হিসেবে কাজ করেছেন।</v>
      </c>
    </row>
    <row r="73">
      <c r="A73" s="13">
        <v>72.0</v>
      </c>
      <c r="B73" s="13" t="s">
        <v>1752</v>
      </c>
      <c r="C73" s="13" t="s">
        <v>1753</v>
      </c>
      <c r="D73" s="13" t="s">
        <v>1754</v>
      </c>
      <c r="E73" s="13" t="s">
        <v>1755</v>
      </c>
      <c r="J73" s="10" t="str">
        <f>IFERROR(__xludf.DUMMYFUNCTION("GOOGLETRANSLATE(A73, ""en"", ""bn"")"),"৭২")</f>
        <v>৭২</v>
      </c>
      <c r="K73" s="10" t="str">
        <f>IFERROR(__xludf.DUMMYFUNCTION("GOOGLETRANSLATE(B73, ""en"", ""bn"")"),"১৮ শতকে, কোন ধরণের সংঘাতের অহিংস সমাধানের জন্য কখনও কখনও হা-ডু-ডু বাজানো হত?")</f>
        <v>১৮ শতকে, কোন ধরণের সংঘাতের অহিংস সমাধানের জন্য কখনও কখনও হা-ডু-ডু বাজানো হত?</v>
      </c>
      <c r="L73" s="10" t="str">
        <f>IFERROR(__xludf.DUMMYFUNCTION("GOOGLETRANSLATE(C73, ""en"", ""bn"")"),"ক) পারিবারিক বিরোধ, খ) জমি সংক্রান্ত বিরোধ, গ) রাজনৈতিক মতবিরোধ, ঘ) আন্তঃগ্রাম দ্বন্দ্ব")</f>
        <v>ক) পারিবারিক বিরোধ, খ) জমি সংক্রান্ত বিরোধ, গ) রাজনৈতিক মতবিরোধ, ঘ) আন্তঃগ্রাম দ্বন্দ্ব</v>
      </c>
      <c r="M73" s="10" t="str">
        <f>IFERROR(__xludf.DUMMYFUNCTION("GOOGLETRANSLATE(D73, ""en"", ""bn"")"),"খ) জমি সংক্রান্ত বিরোধ")</f>
        <v>খ) জমি সংক্রান্ত বিরোধ</v>
      </c>
      <c r="N73" s="10" t="str">
        <f>IFERROR(__xludf.DUMMYFUNCTION("GOOGLETRANSLATE(E73, ""en"", ""bn"")"),"কিছু ক্ষেত্রে, প্রতিদ্বন্দ্বী গ্রামগুলির মধ্যে জমির বিরোধ নিষ্পত্তির জন্য হা-ডু-ডু খেলাটি প্রতীকী প্রতিযোগিতা হিসেবে ব্যবহৃত হত, যেখানে বিজয়ী গ্রাম জমির অধিকার লাভ করত।")</f>
        <v>কিছু ক্ষেত্রে, প্রতিদ্বন্দ্বী গ্রামগুলির মধ্যে জমির বিরোধ নিষ্পত্তির জন্য হা-ডু-ডু খেলাটি প্রতীকী প্রতিযোগিতা হিসেবে ব্যবহৃত হত, যেখানে বিজয়ী গ্রাম জমির অধিকার লাভ করত।</v>
      </c>
    </row>
    <row r="74">
      <c r="A74" s="13">
        <v>73.0</v>
      </c>
      <c r="B74" s="13" t="s">
        <v>1756</v>
      </c>
      <c r="C74" s="13" t="s">
        <v>1757</v>
      </c>
      <c r="D74" s="13" t="s">
        <v>1758</v>
      </c>
      <c r="E74" s="13" t="s">
        <v>1759</v>
      </c>
      <c r="J74" s="10" t="str">
        <f>IFERROR(__xludf.DUMMYFUNCTION("GOOGLETRANSLATE(A74, ""en"", ""bn"")"),"৭৩")</f>
        <v>৭৩</v>
      </c>
      <c r="K74" s="10" t="str">
        <f>IFERROR(__xludf.DUMMYFUNCTION("GOOGLETRANSLATE(B74, ""en"", ""bn"")"),"কোন বাংলা লোকশিল্পে মাঝে মাঝে হা-ডু-ডু বাজানোর দৃশ্য দেখানো হয়?")</f>
        <v>কোন বাংলা লোকশিল্পে মাঝে মাঝে হা-ডু-ডু বাজানোর দৃশ্য দেখানো হয়?</v>
      </c>
      <c r="L74" s="10" t="str">
        <f>IFERROR(__xludf.DUMMYFUNCTION("GOOGLETRANSLATE(C74, ""en"", ""bn"")"),"ক) নকশি কাঁথা, খ) শোলা শিল্প, গ) রিকশা চিত্রকলা, ঘ) আল্পনা")</f>
        <v>ক) নকশি কাঁথা, খ) শোলা শিল্প, গ) রিকশা চিত্রকলা, ঘ) আল্পনা</v>
      </c>
      <c r="M74" s="10" t="str">
        <f>IFERROR(__xludf.DUMMYFUNCTION("GOOGLETRANSLATE(D74, ""en"", ""bn"")"),"গ) রিকশা পেইন্টিং")</f>
        <v>গ) রিকশা পেইন্টিং</v>
      </c>
      <c r="N74" s="10" t="str">
        <f>IFERROR(__xludf.DUMMYFUNCTION("GOOGLETRANSLATE(E74, ""en"", ""bn"")"),"রিকশা চিত্রকলা, একটি জনপ্রিয় শহুরে লোকশিল্প, প্রায়শই ঐতিহ্যবাহী বাঙালি জীবনের প্রাণবন্ত এবং রঙিন চিত্রণ প্রদর্শন করে, যার মধ্যে হা-ডু-ডু বাজানোর দৃশ্যও রয়েছে।")</f>
        <v>রিকশা চিত্রকলা, একটি জনপ্রিয় শহুরে লোকশিল্প, প্রায়শই ঐতিহ্যবাহী বাঙালি জীবনের প্রাণবন্ত এবং রঙিন চিত্রণ প্রদর্শন করে, যার মধ্যে হা-ডু-ডু বাজানোর দৃশ্যও রয়েছে।</v>
      </c>
    </row>
    <row r="75">
      <c r="A75" s="13">
        <v>74.0</v>
      </c>
      <c r="B75" s="13" t="s">
        <v>1760</v>
      </c>
      <c r="C75" s="13" t="s">
        <v>1761</v>
      </c>
      <c r="D75" s="13" t="s">
        <v>1762</v>
      </c>
      <c r="E75" s="13" t="s">
        <v>1763</v>
      </c>
      <c r="J75" s="10" t="str">
        <f>IFERROR(__xludf.DUMMYFUNCTION("GOOGLETRANSLATE(A75, ""en"", ""bn"")"),"৭৪")</f>
        <v>৭৪</v>
      </c>
      <c r="K75" s="10" t="str">
        <f>IFERROR(__xludf.DUMMYFUNCTION("GOOGLETRANSLATE(B75, ""en"", ""bn"")"),"লুটকারীর ""হা-দু-দু"" ধ্বনির ক্রমাগত জপ ঐতিহাসিকভাবে কীসের প্রতীক?")</f>
        <v>লুটকারীর "হা-দু-দু" ধ্বনির ক্রমাগত জপ ঐতিহাসিকভাবে কীসের প্রতীক?</v>
      </c>
      <c r="L75" s="10" t="str">
        <f>IFERROR(__xludf.DUMMYFUNCTION("GOOGLETRANSLATE(C75, ""en"", ""bn"")"),"ক) একটি যুদ্ধের ডাক, খ) একটি নিঃশ্বাসের জীবনদায়ী শক্তি, গ) একটি প্রার্থনা, ঘ) একটি বিজয় মন্ত্র")</f>
        <v>ক) একটি যুদ্ধের ডাক, খ) একটি নিঃশ্বাসের জীবনদায়ী শক্তি, গ) একটি প্রার্থনা, ঘ) একটি বিজয় মন্ত্র</v>
      </c>
      <c r="M75" s="10" t="str">
        <f>IFERROR(__xludf.DUMMYFUNCTION("GOOGLETRANSLATE(D75, ""en"", ""bn"")"),"খ) এক নিঃশ্বাসের জীবনদায়ী শক্তি")</f>
        <v>খ) এক নিঃশ্বাসের জীবনদায়ী শক্তি</v>
      </c>
      <c r="N75" s="10" t="str">
        <f>IFERROR(__xludf.DUMMYFUNCTION("GOOGLETRANSLATE(E75, ""en"", ""bn"")"),"এই মন্ত্রটি আক্রমণকারীর জীবনীশক্তি এবং শারীরিক সহনশীলতার প্রতীক, কারণ আক্রমণ কেবল ততক্ষণ চলতে পারে যতক্ষণ তারা তাদের নিঃশ্বাস আটকে রাখতে পারে।")</f>
        <v>এই মন্ত্রটি আক্রমণকারীর জীবনীশক্তি এবং শারীরিক সহনশীলতার প্রতীক, কারণ আক্রমণ কেবল ততক্ষণ চলতে পারে যতক্ষণ তারা তাদের নিঃশ্বাস আটকে রাখতে পারে।</v>
      </c>
    </row>
    <row r="76">
      <c r="A76" s="13">
        <v>75.0</v>
      </c>
      <c r="B76" s="13" t="s">
        <v>1764</v>
      </c>
      <c r="C76" s="13" t="s">
        <v>1765</v>
      </c>
      <c r="D76" s="13" t="s">
        <v>1766</v>
      </c>
      <c r="E76" s="13" t="s">
        <v>1767</v>
      </c>
      <c r="J76" s="10" t="str">
        <f>IFERROR(__xludf.DUMMYFUNCTION("GOOGLETRANSLATE(A76, ""en"", ""bn"")"),"৭৫")</f>
        <v>৭৫</v>
      </c>
      <c r="K76" s="10" t="str">
        <f>IFERROR(__xludf.DUMMYFUNCTION("GOOGLETRANSLATE(B76, ""en"", ""bn"")"),"বাংলার কোন প্রাকৃতিক ঘটনার সময় হা-ডু-ডু প্রায়শই বাজানো হত?")</f>
        <v>বাংলার কোন প্রাকৃতিক ঘটনার সময় হা-ডু-ডু প্রায়শই বাজানো হত?</v>
      </c>
      <c r="L76" s="10" t="str">
        <f>IFERROR(__xludf.DUMMYFUNCTION("GOOGLETRANSLATE(C76, ""en"", ""bn"")"),"ক) বন্যা, খ) বর্ষাকাল, গ) খরা, ঘ) সূর্যগ্রহণ")</f>
        <v>ক) বন্যা, খ) বর্ষাকাল, গ) খরা, ঘ) সূর্যগ্রহণ</v>
      </c>
      <c r="M76" s="10" t="str">
        <f>IFERROR(__xludf.DUMMYFUNCTION("GOOGLETRANSLATE(D76, ""en"", ""bn"")"),"খ) বর্ষাকাল")</f>
        <v>খ) বর্ষাকাল</v>
      </c>
      <c r="N76" s="10" t="str">
        <f>IFERROR(__xludf.DUMMYFUNCTION("GOOGLETRANSLATE(E76, ""en"", ""bn"")"),"বর্ষাকাল ছিল হা-ডু-ডুর ঐতিহ্যবাহী সময়, কারণ নরম, কর্দমাক্ত মাটি আদর্শ খেলার মাঠ প্রদান করত, যা খেলাটিকে আরও নিরাপদ এবং গতিশীল করে তোলে।")</f>
        <v>বর্ষাকাল ছিল হা-ডু-ডুর ঐতিহ্যবাহী সময়, কারণ নরম, কর্দমাক্ত মাটি আদর্শ খেলার মাঠ প্রদান করত, যা খেলাটিকে আরও নিরাপদ এবং গতিশীল করে তোলে।</v>
      </c>
    </row>
    <row r="77">
      <c r="A77" s="13">
        <v>76.0</v>
      </c>
      <c r="B77" s="13" t="s">
        <v>1768</v>
      </c>
      <c r="C77" s="13" t="s">
        <v>1769</v>
      </c>
      <c r="D77" s="13" t="s">
        <v>1770</v>
      </c>
      <c r="E77" s="13" t="s">
        <v>1771</v>
      </c>
      <c r="J77" s="10" t="str">
        <f>IFERROR(__xludf.DUMMYFUNCTION("GOOGLETRANSLATE(A77, ""en"", ""bn"")"),"৭৬")</f>
        <v>৭৬</v>
      </c>
      <c r="K77" s="10" t="str">
        <f>IFERROR(__xludf.DUMMYFUNCTION("GOOGLETRANSLATE(B77, ""en"", ""bn"")"),"হা-ডু-ডু-এর প্রথম রেকর্ডকৃত বাংলাদেশী চ্যাম্পিয়ন কে ছিলেন?")</f>
        <v>হা-ডু-ডু-এর প্রথম রেকর্ডকৃত বাংলাদেশী চ্যাম্পিয়ন কে ছিলেন?</v>
      </c>
      <c r="L77" s="10" t="str">
        <f>IFERROR(__xludf.DUMMYFUNCTION("GOOGLETRANSLATE(C77, ""en"", ""bn"")"),"A) আনিসুর রহমান, B) আব্দুল জলিল, C) মনিরুল ইসলাম, D) আমিনুল হক")</f>
        <v>A) আনিসুর রহমান, B) আব্দুল জলিল, C) মনিরুল ইসলাম, D) আমিনুল হক</v>
      </c>
      <c r="M77" s="10" t="str">
        <f>IFERROR(__xludf.DUMMYFUNCTION("GOOGLETRANSLATE(D77, ""en"", ""bn"")"),"খ) আব্দুল জলিল")</f>
        <v>খ) আব্দুল জলিল</v>
      </c>
      <c r="N77" s="10" t="str">
        <f>IFERROR(__xludf.DUMMYFUNCTION("GOOGLETRANSLATE(E77, ""en"", ""bn"")"),"আব্দুল জলিল এই খেলার ইতিহাসের একজন কিংবদন্তি ব্যক্তিত্ব, যাকে প্রথম জাতীয় চ্যাম্পিয়ন এবং আধুনিক পেশাদারিত্বের ক্ষেত্রে একজন গুরুত্বপূর্ণ খেলোয়াড় হিসেবে বিবেচনা করা হয়।")</f>
        <v>আব্দুল জলিল এই খেলার ইতিহাসের একজন কিংবদন্তি ব্যক্তিত্ব, যাকে প্রথম জাতীয় চ্যাম্পিয়ন এবং আধুনিক পেশাদারিত্বের ক্ষেত্রে একজন গুরুত্বপূর্ণ খেলোয়াড় হিসেবে বিবেচনা করা হয়।</v>
      </c>
    </row>
    <row r="78">
      <c r="A78" s="13">
        <v>77.0</v>
      </c>
      <c r="B78" s="13" t="s">
        <v>1772</v>
      </c>
      <c r="C78" s="13" t="s">
        <v>1773</v>
      </c>
      <c r="D78" s="13" t="s">
        <v>1774</v>
      </c>
      <c r="E78" s="13" t="s">
        <v>1775</v>
      </c>
      <c r="J78" s="10" t="str">
        <f>IFERROR(__xludf.DUMMYFUNCTION("GOOGLETRANSLATE(A78, ""en"", ""bn"")"),"৭৭")</f>
        <v>৭৭</v>
      </c>
      <c r="K78" s="10" t="str">
        <f>IFERROR(__xludf.DUMMYFUNCTION("GOOGLETRANSLATE(B78, ""en"", ""bn"")"),"প্রাচীনকালে, হা-ডু-ডুতে রেইডারদের সফল ট্যাকলকে কী বলা হত?")</f>
        <v>প্রাচীনকালে, হা-ডু-ডুতে রেইডারদের সফল ট্যাকলকে কী বলা হত?</v>
      </c>
      <c r="L78" s="10" t="str">
        <f>IFERROR(__xludf.DUMMYFUNCTION("GOOGLETRANSLATE(C78, ""en"", ""bn"")"),"ক) 'ঝাটকা' খ) 'ধর,' গ) 'রোখো,' ঘ) 'পাকা'")</f>
        <v>ক) 'ঝাটকা' খ) 'ধর,' গ) 'রোখো,' ঘ) 'পাকা'</v>
      </c>
      <c r="M78" s="10" t="str">
        <f>IFERROR(__xludf.DUMMYFUNCTION("GOOGLETRANSLATE(D78, ""en"", ""bn"")"),"খ) 'ধর'")</f>
        <v>খ) 'ধর'</v>
      </c>
      <c r="N78" s="10" t="str">
        <f>IFERROR(__xludf.DUMMYFUNCTION("GOOGLETRANSLATE(E78, ""en"", ""bn"")"),"'ধর' (যার অর্থ 'ধরে রাখা' বা 'ধরা') শব্দটি ছিল ডিফেন্ডারদের সফল ট্যাকলের জন্য ব্যবহৃত ঐতিহ্যবাহী শব্দ।")</f>
        <v>'ধর' (যার অর্থ 'ধরে রাখা' বা 'ধরা') শব্দটি ছিল ডিফেন্ডারদের সফল ট্যাকলের জন্য ব্যবহৃত ঐতিহ্যবাহী শব্দ।</v>
      </c>
    </row>
    <row r="79">
      <c r="A79" s="13">
        <v>78.0</v>
      </c>
      <c r="B79" s="13" t="s">
        <v>1776</v>
      </c>
      <c r="C79" s="13" t="s">
        <v>1777</v>
      </c>
      <c r="D79" s="13" t="s">
        <v>1778</v>
      </c>
      <c r="E79" s="13" t="s">
        <v>1779</v>
      </c>
      <c r="J79" s="10" t="str">
        <f>IFERROR(__xludf.DUMMYFUNCTION("GOOGLETRANSLATE(A79, ""en"", ""bn"")"),"৭৮")</f>
        <v>৭৮</v>
      </c>
      <c r="K79" s="10" t="str">
        <f>IFERROR(__xludf.DUMMYFUNCTION("GOOGLETRANSLATE(B79, ""en"", ""bn"")"),"উনিশ শতকের কোন ধরণের সাহিত্যকর্মে প্রথম হা-ডু-ডুর নিয়ম ও রীতিনীতি সম্পর্কে বিস্তারিত আলোচনা করা হয়েছিল?")</f>
        <v>উনিশ শতকের কোন ধরণের সাহিত্যকর্মে প্রথম হা-ডু-ডুর নিয়ম ও রীতিনীতি সম্পর্কে বিস্তারিত আলোচনা করা হয়েছিল?</v>
      </c>
      <c r="L79" s="10" t="str">
        <f>IFERROR(__xludf.DUMMYFUNCTION("GOOGLETRANSLATE(C79, ""en"", ""bn"")"),"ক) একটি আনুষ্ঠানিক নিয়মপুস্তক, খ) একটি ছোট গল্প, গ) একটি ভ্রমণকাহিনী, ঘ) একটি নৃতাত্ত্বিক গবেষণা")</f>
        <v>ক) একটি আনুষ্ঠানিক নিয়মপুস্তক, খ) একটি ছোট গল্প, গ) একটি ভ্রমণকাহিনী, ঘ) একটি নৃতাত্ত্বিক গবেষণা</v>
      </c>
      <c r="M79" s="10" t="str">
        <f>IFERROR(__xludf.DUMMYFUNCTION("GOOGLETRANSLATE(D79, ""en"", ""bn"")"),"ঘ) একটি নৃতাত্ত্বিক গবেষণা")</f>
        <v>ঘ) একটি নৃতাত্ত্বিক গবেষণা</v>
      </c>
      <c r="N79" s="10" t="str">
        <f>IFERROR(__xludf.DUMMYFUNCTION("GOOGLETRANSLATE(E79, ""en"", ""bn"")"),"উনিশ শতকের গ্রামীণ বাংলার নৃতাত্ত্বিক ও সমাজতাত্ত্বিক গবেষণায় হা-ডু-ডুর প্রাথমিক ঐতিহাসিক বিবরণ এবং বিস্তারিত বর্ণনা পাওয়া যায়।")</f>
        <v>উনিশ শতকের গ্রামীণ বাংলার নৃতাত্ত্বিক ও সমাজতাত্ত্বিক গবেষণায় হা-ডু-ডুর প্রাথমিক ঐতিহাসিক বিবরণ এবং বিস্তারিত বর্ণনা পাওয়া যায়।</v>
      </c>
    </row>
    <row r="80">
      <c r="A80" s="13">
        <v>79.0</v>
      </c>
      <c r="B80" s="13" t="s">
        <v>1780</v>
      </c>
      <c r="C80" s="13" t="s">
        <v>1781</v>
      </c>
      <c r="D80" s="13" t="s">
        <v>1782</v>
      </c>
      <c r="E80" s="13" t="s">
        <v>1783</v>
      </c>
      <c r="J80" s="10" t="str">
        <f>IFERROR(__xludf.DUMMYFUNCTION("GOOGLETRANSLATE(A80, ""en"", ""bn"")"),"৭৯")</f>
        <v>৭৯</v>
      </c>
      <c r="K80" s="10" t="str">
        <f>IFERROR(__xludf.DUMMYFUNCTION("GOOGLETRANSLATE(B80, ""en"", ""bn"")"),"১৯৭২ সালে বাংলাদেশ কাবাডি ফেডারেশন প্রতিষ্ঠা হা-ডু-ডুর আধুনিক ইতিহাসে একটি গুরুত্বপূর্ণ পদক্ষেপ ছিল। ফেডারেশনের প্রাথমিক উদ্দেশ্য কী ছিল?")</f>
        <v>১৯৭২ সালে বাংলাদেশ কাবাডি ফেডারেশন প্রতিষ্ঠা হা-ডু-ডুর আধুনিক ইতিহাসে একটি গুরুত্বপূর্ণ পদক্ষেপ ছিল। ফেডারেশনের প্রাথমিক উদ্দেশ্য কী ছিল?</v>
      </c>
      <c r="L80" s="10" t="str">
        <f>IFERROR(__xludf.DUMMYFUNCTION("GOOGLETRANSLATE(C80, ""en"", ""bn"")"),"ক) আন্তর্জাতিকভাবে হা-ডু-ডু প্রচার করা, খ) নিয়মকানুন প্রণয়ন করা এবং টুর্নামেন্ট আয়োজন করা, গ) পেশাদার খেলোয়াড়দের প্রশিক্ষণ দেওয়া, ঘ) সরকারি তহবিলের জন্য তদবির করা।")</f>
        <v>ক) আন্তর্জাতিকভাবে হা-ডু-ডু প্রচার করা, খ) নিয়মকানুন প্রণয়ন করা এবং টুর্নামেন্ট আয়োজন করা, গ) পেশাদার খেলোয়াড়দের প্রশিক্ষণ দেওয়া, ঘ) সরকারি তহবিলের জন্য তদবির করা।</v>
      </c>
      <c r="M80" s="10" t="str">
        <f>IFERROR(__xludf.DUMMYFUNCTION("GOOGLETRANSLATE(D80, ""en"", ""bn"")"),"খ) নিয়মকানুন প্রণয়ন এবং টুর্নামেন্ট আয়োজন করা")</f>
        <v>খ) নিয়মকানুন প্রণয়ন এবং টুর্নামেন্ট আয়োজন করা</v>
      </c>
      <c r="N80" s="10" t="str">
        <f>IFERROR(__xludf.DUMMYFUNCTION("GOOGLETRANSLATE(E80, ""en"", ""bn"")"),"হা-ডু-ডুর নিয়মগুলিকে মানসম্মত করার জন্য এবং সারা দেশে অফিসিয়াল, পেশাদার-স্তরের প্রতিযোগিতা আয়োজনের জন্য এই ফেডারেশনটি তৈরি করা হয়েছিল।")</f>
        <v>হা-ডু-ডুর নিয়মগুলিকে মানসম্মত করার জন্য এবং সারা দেশে অফিসিয়াল, পেশাদার-স্তরের প্রতিযোগিতা আয়োজনের জন্য এই ফেডারেশনটি তৈরি করা হয়েছিল।</v>
      </c>
    </row>
    <row r="81">
      <c r="A81" s="13">
        <v>80.0</v>
      </c>
      <c r="B81" s="13" t="s">
        <v>1784</v>
      </c>
      <c r="C81" s="13" t="s">
        <v>1785</v>
      </c>
      <c r="D81" s="13" t="s">
        <v>1786</v>
      </c>
      <c r="E81" s="13" t="s">
        <v>1787</v>
      </c>
      <c r="J81" s="10" t="str">
        <f>IFERROR(__xludf.DUMMYFUNCTION("GOOGLETRANSLATE(A81, ""en"", ""bn"")"),"৮০")</f>
        <v>৮০</v>
      </c>
      <c r="K81" s="10" t="str">
        <f>IFERROR(__xludf.DUMMYFUNCTION("GOOGLETRANSLATE(B81, ""en"", ""bn"")"),"দলের মনোবল বাড়ানোর জন্য হা-ডু-ডু ম্যাচে ঐতিহাসিকভাবে কোন ঐতিহ্যবাহী বাদ্যযন্ত্র বাজানো হত?")</f>
        <v>দলের মনোবল বাড়ানোর জন্য হা-ডু-ডু ম্যাচে ঐতিহাসিকভাবে কোন ঐতিহ্যবাহী বাদ্যযন্ত্র বাজানো হত?</v>
      </c>
      <c r="L81" s="10" t="str">
        <f>IFERROR(__xludf.DUMMYFUNCTION("GOOGLETRANSLATE(C81, ""en"", ""bn"")"),"ক) ঢোল, খ) তবলা, গ) সেতার, ঘ) বাঁশি")</f>
        <v>ক) ঢোল, খ) তবলা, গ) সেতার, ঘ) বাঁশি</v>
      </c>
      <c r="M81" s="10" t="str">
        <f>IFERROR(__xludf.DUMMYFUNCTION("GOOGLETRANSLATE(D81, ""en"", ""bn"")"),"ক) ঢোল")</f>
        <v>ক) ঢোল</v>
      </c>
      <c r="N81" s="10" t="str">
        <f>IFERROR(__xludf.DUMMYFUNCTION("GOOGLETRANSLATE(E81, ""en"", ""bn"")"),"ঢোল (একটি দ্বিমুখী ঢোল) ছিল একটি সাধারণ বাদ্যযন্ত্র যা ছন্দবদ্ধ তাল তৈরি করতে এবং খেলার সময় খেলোয়াড় এবং দর্শকদের উজ্জীবিত করতে ব্যবহৃত হত।")</f>
        <v>ঢোল (একটি দ্বিমুখী ঢোল) ছিল একটি সাধারণ বাদ্যযন্ত্র যা ছন্দবদ্ধ তাল তৈরি করতে এবং খেলার সময় খেলোয়াড় এবং দর্শকদের উজ্জীবিত করতে ব্যবহৃত হত।</v>
      </c>
    </row>
    <row r="82">
      <c r="A82" s="13">
        <v>81.0</v>
      </c>
      <c r="B82" s="13" t="s">
        <v>1788</v>
      </c>
      <c r="C82" s="13" t="s">
        <v>1789</v>
      </c>
      <c r="D82" s="13" t="s">
        <v>1790</v>
      </c>
      <c r="E82" s="13" t="s">
        <v>1791</v>
      </c>
      <c r="J82" s="10" t="str">
        <f>IFERROR(__xludf.DUMMYFUNCTION("GOOGLETRANSLATE(A82, ""en"", ""bn"")"),"৮১")</f>
        <v>৮১</v>
      </c>
      <c r="K82" s="10" t="str">
        <f>IFERROR(__xludf.DUMMYFUNCTION("GOOGLETRANSLATE(B82, ""en"", ""bn"")"),"হা-ডু-ডুতে ""টাচ-আউট"" নিয়মের ঐতিহাসিক তাৎপর্য কী ছিল?")</f>
        <v>হা-ডু-ডুতে "টাচ-আউট" নিয়মের ঐতিহাসিক তাৎপর্য কী ছিল?</v>
      </c>
      <c r="L82" s="10" t="str">
        <f>IFERROR(__xludf.DUMMYFUNCTION("GOOGLETRANSLATE(C82, ""en"", ""bn"")"),"ক) এটি ছিল জয়ের প্রতীক, খ) এটি ছিল খেলা শেষ করার একটি উপায়, গ) এটি ছিল প্রতিপক্ষকে নির্মূল করার একটি উপায়, ঘ) এটি ছিল একটি অতিরিক্ত পয়েন্ট অর্জনের একটি উপায়")</f>
        <v>ক) এটি ছিল জয়ের প্রতীক, খ) এটি ছিল খেলা শেষ করার একটি উপায়, গ) এটি ছিল প্রতিপক্ষকে নির্মূল করার একটি উপায়, ঘ) এটি ছিল একটি অতিরিক্ত পয়েন্ট অর্জনের একটি উপায়</v>
      </c>
      <c r="M82" s="10" t="str">
        <f>IFERROR(__xludf.DUMMYFUNCTION("GOOGLETRANSLATE(D82, ""en"", ""bn"")"),"গ) এটি ছিল প্রতিপক্ষকে নির্মূল করার একটি উপায়")</f>
        <v>গ) এটি ছিল প্রতিপক্ষকে নির্মূল করার একটি উপায়</v>
      </c>
      <c r="N82" s="10" t="str">
        <f>IFERROR(__xludf.DUMMYFUNCTION("GOOGLETRANSLATE(E82, ""en"", ""bn"")"),"টাচ-আউট নিয়ম, যেখানে একজন রেইডার কেবল একজন প্রতিপক্ষকে ট্যাগ করে ফিরে আসত, খেলোয়াড়দের বাদ দিয়ে পয়েন্ট অর্জনের একটি মৌলিক উপায় ছিল, একটি ঐতিহ্য যা আজও অব্যাহত রয়েছে।")</f>
        <v>টাচ-আউট নিয়ম, যেখানে একজন রেইডার কেবল একজন প্রতিপক্ষকে ট্যাগ করে ফিরে আসত, খেলোয়াড়দের বাদ দিয়ে পয়েন্ট অর্জনের একটি মৌলিক উপায় ছিল, একটি ঐতিহ্য যা আজও অব্যাহত রয়েছে।</v>
      </c>
    </row>
    <row r="83">
      <c r="A83" s="13">
        <v>82.0</v>
      </c>
      <c r="B83" s="13" t="s">
        <v>1792</v>
      </c>
      <c r="C83" s="13" t="s">
        <v>1793</v>
      </c>
      <c r="D83" s="13" t="s">
        <v>1794</v>
      </c>
      <c r="E83" s="13" t="s">
        <v>1795</v>
      </c>
      <c r="J83" s="10" t="str">
        <f>IFERROR(__xludf.DUMMYFUNCTION("GOOGLETRANSLATE(A83, ""en"", ""bn"")"),"৮২")</f>
        <v>৮২</v>
      </c>
      <c r="K83" s="10" t="str">
        <f>IFERROR(__xludf.DUMMYFUNCTION("GOOGLETRANSLATE(B83, ""en"", ""bn"")"),"খালি পায়ে হা-ডু-ডু খেলার ঐতিহাসিক প্রথা মূলত কোন কারণে শুরু হয়েছিল?")</f>
        <v>খালি পায়ে হা-ডু-ডু খেলার ঐতিহাসিক প্রথা মূলত কোন কারণে শুরু হয়েছিল?</v>
      </c>
      <c r="L83" s="10" t="str">
        <f>IFERROR(__xludf.DUMMYFUNCTION("GOOGLETRANSLATE(C83, ""en"", ""bn"")"),"ক) এটি একটি ধর্মীয় রীতিনীতি ছিল, খ) এটি একটি স্টাইল পছন্দ ছিল, গ) এটি কাদা মাটিতে ধরার ক্ষমতা উন্নত করেছিল, ঘ) জুতাগুলি খুব দামি ছিল")</f>
        <v>ক) এটি একটি ধর্মীয় রীতিনীতি ছিল, খ) এটি একটি স্টাইল পছন্দ ছিল, গ) এটি কাদা মাটিতে ধরার ক্ষমতা উন্নত করেছিল, ঘ) জুতাগুলি খুব দামি ছিল</v>
      </c>
      <c r="M83" s="10" t="str">
        <f>IFERROR(__xludf.DUMMYFUNCTION("GOOGLETRANSLATE(D83, ""en"", ""bn"")"),"গ) এটি কর্দমাক্ত মাটিতে দখল উন্নত করেছে")</f>
        <v>গ) এটি কর্দমাক্ত মাটিতে দখল উন্নত করেছে</v>
      </c>
      <c r="N83" s="10" t="str">
        <f>IFERROR(__xludf.DUMMYFUNCTION("GOOGLETRANSLATE(E83, ""en"", ""bn"")"),"খালি পায়ে খেলার ফলে নরম, প্রায়শই পিচ্ছিল, কর্দমাক্ত মাঠে, যেখানে ঐতিহ্যগতভাবে খেলাটি খেলা হত, সেখানে আরও ভালোভাবে ধরা এবং তত্পরতা তৈরি হত।")</f>
        <v>খালি পায়ে খেলার ফলে নরম, প্রায়শই পিচ্ছিল, কর্দমাক্ত মাঠে, যেখানে ঐতিহ্যগতভাবে খেলাটি খেলা হত, সেখানে আরও ভালোভাবে ধরা এবং তত্পরতা তৈরি হত।</v>
      </c>
    </row>
    <row r="84">
      <c r="A84" s="13">
        <v>83.0</v>
      </c>
      <c r="B84" s="13" t="s">
        <v>1796</v>
      </c>
      <c r="C84" s="13" t="s">
        <v>1797</v>
      </c>
      <c r="D84" s="13" t="s">
        <v>68</v>
      </c>
      <c r="E84" s="13" t="s">
        <v>1798</v>
      </c>
      <c r="J84" s="10" t="str">
        <f>IFERROR(__xludf.DUMMYFUNCTION("GOOGLETRANSLATE(A84, ""en"", ""bn"")"),"৮৩")</f>
        <v>৮৩</v>
      </c>
      <c r="K84" s="10" t="str">
        <f>IFERROR(__xludf.DUMMYFUNCTION("GOOGLETRANSLATE(B84, ""en"", ""bn"")"),"শারীরিক প্রশিক্ষণে হা-ডু-ডুর ঐতিহাসিক ভূমিকা কোন পেশায় সবচেয়ে উল্লেখযোগ্য ছিল?")</f>
        <v>শারীরিক প্রশিক্ষণে হা-ডু-ডুর ঐতিহাসিক ভূমিকা কোন পেশায় সবচেয়ে উল্লেখযোগ্য ছিল?</v>
      </c>
      <c r="L84" s="10" t="str">
        <f>IFERROR(__xludf.DUMMYFUNCTION("GOOGLETRANSLATE(C84, ""en"", ""bn"")"),"ক) কৃষক, খ) জেলে, গ) সৈনিক, ঘ) তাঁতি")</f>
        <v>ক) কৃষক, খ) জেলে, গ) সৈনিক, ঘ) তাঁতি</v>
      </c>
      <c r="M84" s="10" t="str">
        <f>IFERROR(__xludf.DUMMYFUNCTION("GOOGLETRANSLATE(D84, ""en"", ""bn"")"),"ক) কৃষক")</f>
        <v>ক) কৃষক</v>
      </c>
      <c r="N84" s="10" t="str">
        <f>IFERROR(__xludf.DUMMYFUNCTION("GOOGLETRANSLATE(E84, ""en"", ""bn"")"),"শক্তি, তত্পরতা এবং সহনশীলতার উপর জোর দেওয়ার কারণে খেলাটি কৃষক এবং অন্যান্য কৃষি শ্রমিকদের জন্য শারীরিক ব্যায়ামের একটি আদর্শ রূপে পরিণত হয়েছে।")</f>
        <v>শক্তি, তত্পরতা এবং সহনশীলতার উপর জোর দেওয়ার কারণে খেলাটি কৃষক এবং অন্যান্য কৃষি শ্রমিকদের জন্য শারীরিক ব্যায়ামের একটি আদর্শ রূপে পরিণত হয়েছে।</v>
      </c>
    </row>
    <row r="85">
      <c r="A85" s="13">
        <v>84.0</v>
      </c>
      <c r="B85" s="13" t="s">
        <v>1799</v>
      </c>
      <c r="C85" s="13" t="s">
        <v>1800</v>
      </c>
      <c r="D85" s="13" t="s">
        <v>1801</v>
      </c>
      <c r="E85" s="13" t="s">
        <v>1802</v>
      </c>
      <c r="J85" s="10" t="str">
        <f>IFERROR(__xludf.DUMMYFUNCTION("GOOGLETRANSLATE(A85, ""en"", ""bn"")"),"৮৪")</f>
        <v>৮৪</v>
      </c>
      <c r="K85" s="10" t="str">
        <f>IFERROR(__xludf.DUMMYFUNCTION("GOOGLETRANSLATE(B85, ""en"", ""bn"")"),"হা-ডু-ডুতে ডিফেন্ডিং দল ঐতিহাসিকভাবে কোন ধরণের কৌশলগত গঠন ব্যবহার করেছিল?")</f>
        <v>হা-ডু-ডুতে ডিফেন্ডিং দল ঐতিহাসিকভাবে কোন ধরণের কৌশলগত গঠন ব্যবহার করেছিল?</v>
      </c>
      <c r="L85" s="10" t="str">
        <f>IFERROR(__xludf.DUMMYFUNCTION("GOOGLETRANSLATE(C85, ""en"", ""bn"")"),"ক) একটি একক রেখা, খ) একটি অর্ধবৃত্ত, গ) একটি বিক্ষিপ্ত গঠন, ঘ) একটি 'শৃঙ্খল' গঠন")</f>
        <v>ক) একটি একক রেখা, খ) একটি অর্ধবৃত্ত, গ) একটি বিক্ষিপ্ত গঠন, ঘ) একটি 'শৃঙ্খল' গঠন</v>
      </c>
      <c r="M85" s="10" t="str">
        <f>IFERROR(__xludf.DUMMYFUNCTION("GOOGLETRANSLATE(D85, ""en"", ""bn"")"),"ঘ) একটি 'শৃঙ্খল' গঠন")</f>
        <v>ঘ) একটি 'শৃঙ্খল' গঠন</v>
      </c>
      <c r="N85" s="10" t="str">
        <f>IFERROR(__xludf.DUMMYFUNCTION("GOOGLETRANSLATE(E85, ""en"", ""bn"")"),"রক্ষণভাগের খেলোয়াড়রা প্রায়শই হাত ধরে বা হাত সংযুক্ত করে একটি 'শিকল' তৈরি করত যাতে একটি মানব প্রাচীর তৈরি হত, যার ফলে আক্রমণকারীর পক্ষে ট্যাগের পরে পালানো কঠিন হয়ে পড়ত।")</f>
        <v>রক্ষণভাগের খেলোয়াড়রা প্রায়শই হাত ধরে বা হাত সংযুক্ত করে একটি 'শিকল' তৈরি করত যাতে একটি মানব প্রাচীর তৈরি হত, যার ফলে আক্রমণকারীর পক্ষে ট্যাগের পরে পালানো কঠিন হয়ে পড়ত।</v>
      </c>
    </row>
    <row r="86">
      <c r="A86" s="13">
        <v>85.0</v>
      </c>
      <c r="B86" s="13" t="s">
        <v>1803</v>
      </c>
      <c r="C86" s="13" t="s">
        <v>1804</v>
      </c>
      <c r="D86" s="13" t="s">
        <v>1805</v>
      </c>
      <c r="E86" s="13" t="s">
        <v>1806</v>
      </c>
      <c r="J86" s="10" t="str">
        <f>IFERROR(__xludf.DUMMYFUNCTION("GOOGLETRANSLATE(A86, ""en"", ""bn"")"),"৮৫")</f>
        <v>৮৫</v>
      </c>
      <c r="K86" s="10" t="str">
        <f>IFERROR(__xludf.DUMMYFUNCTION("GOOGLETRANSLATE(B86, ""en"", ""bn"")"),"ঐতিহাসিক হা-ডু-ডুতে সফল অভিযানের জন্য একটি সাধারণ শব্দ কী ছিল?")</f>
        <v>ঐতিহাসিক হা-ডু-ডুতে সফল অভিযানের জন্য একটি সাধারণ শব্দ কী ছিল?</v>
      </c>
      <c r="L86" s="10" t="str">
        <f>IFERROR(__xludf.DUMMYFUNCTION("GOOGLETRANSLATE(C86, ""en"", ""bn"")"),"A) 'ঝাটকা,' B) 'ধর,' C) 'পাকা অভিযান,' D) 'সাফল'")</f>
        <v>A) 'ঝাটকা,' B) 'ধর,' C) 'পাকা অভিযান,' D) 'সাফল'</v>
      </c>
      <c r="M86" s="10" t="str">
        <f>IFERROR(__xludf.DUMMYFUNCTION("GOOGLETRANSLATE(D86, ""en"", ""bn"")"),"গ) 'পাকা অভিযান'")</f>
        <v>গ) 'পাকা অভিযান'</v>
      </c>
      <c r="N86" s="10" t="str">
        <f>IFERROR(__xludf.DUMMYFUNCTION("GOOGLETRANSLATE(E86, ""en"", ""bn"")"),"একটি সফল অভিযান যা পয়েন্ট অর্জন করে এবং আক্রমণকারীর নিরাপদ প্রত্যাবর্তনের ফলাফল দেয়, ঐতিহ্যগতভাবে এটি 'পাকা অভিযান' (একটি 'পাকা' বা 'সম্পূর্ণ' অভিযান) নামে পরিচিত ছিল।")</f>
        <v>একটি সফল অভিযান যা পয়েন্ট অর্জন করে এবং আক্রমণকারীর নিরাপদ প্রত্যাবর্তনের ফলাফল দেয়, ঐতিহ্যগতভাবে এটি 'পাকা অভিযান' (একটি 'পাকা' বা 'সম্পূর্ণ' অভিযান) নামে পরিচিত ছিল।</v>
      </c>
    </row>
    <row r="87">
      <c r="A87" s="13">
        <v>86.0</v>
      </c>
      <c r="B87" s="13" t="s">
        <v>1807</v>
      </c>
      <c r="C87" s="13" t="s">
        <v>1808</v>
      </c>
      <c r="D87" s="13" t="s">
        <v>1809</v>
      </c>
      <c r="E87" s="13" t="s">
        <v>1810</v>
      </c>
      <c r="J87" s="10" t="str">
        <f>IFERROR(__xludf.DUMMYFUNCTION("GOOGLETRANSLATE(A87, ""en"", ""bn"")"),"৮৬")</f>
        <v>৮৬</v>
      </c>
      <c r="K87" s="10" t="str">
        <f>IFERROR(__xludf.DUMMYFUNCTION("GOOGLETRANSLATE(B87, ""en"", ""bn"")"),"ঐতিহাসিকভাবে বাংলার কোন জনগোষ্ঠীর মধ্যে হা-ডু-ডু একটি জনপ্রিয় খেলা ছিল?")</f>
        <v>ঐতিহাসিকভাবে বাংলার কোন জনগোষ্ঠীর মধ্যে হা-ডু-ডু একটি জনপ্রিয় খেলা ছিল?</v>
      </c>
      <c r="L87" s="10" t="str">
        <f>IFERROR(__xludf.DUMMYFUNCTION("GOOGLETRANSLATE(C87, ""en"", ""bn"")"),"ক) যুবক, খ) বয়স্ক পুরুষ, গ) মহিলা, ঘ) শিশু")</f>
        <v>ক) যুবক, খ) বয়স্ক পুরুষ, গ) মহিলা, ঘ) শিশু</v>
      </c>
      <c r="M87" s="10" t="str">
        <f>IFERROR(__xludf.DUMMYFUNCTION("GOOGLETRANSLATE(D87, ""en"", ""bn"")"),"ক) যুবকরা")</f>
        <v>ক) যুবকরা</v>
      </c>
      <c r="N87" s="10" t="str">
        <f>IFERROR(__xludf.DUMMYFUNCTION("GOOGLETRANSLATE(E87, ""en"", ""bn"")"),"এই খেলার শারীরিক প্রকৃতি এবং তত্পরতা ও শক্তির প্রয়োজনীয়তা এটিকে তরুণদের মধ্যে বিশেষভাবে জনপ্রিয় করে তুলেছে, কারণ এটি তাদের দক্ষতা এবং ফিটনেস প্রদর্শনের একটি উপায়।")</f>
        <v>এই খেলার শারীরিক প্রকৃতি এবং তত্পরতা ও শক্তির প্রয়োজনীয়তা এটিকে তরুণদের মধ্যে বিশেষভাবে জনপ্রিয় করে তুলেছে, কারণ এটি তাদের দক্ষতা এবং ফিটনেস প্রদর্শনের একটি উপায়।</v>
      </c>
    </row>
    <row r="88">
      <c r="A88" s="13">
        <v>87.0</v>
      </c>
      <c r="B88" s="13" t="s">
        <v>1811</v>
      </c>
      <c r="C88" s="13" t="s">
        <v>1812</v>
      </c>
      <c r="D88" s="13" t="s">
        <v>1813</v>
      </c>
      <c r="E88" s="13" t="s">
        <v>1814</v>
      </c>
      <c r="J88" s="10" t="str">
        <f>IFERROR(__xludf.DUMMYFUNCTION("GOOGLETRANSLATE(A88, ""en"", ""bn"")"),"৮৭")</f>
        <v>৮৭</v>
      </c>
      <c r="K88" s="10" t="str">
        <f>IFERROR(__xludf.DUMMYFUNCTION("GOOGLETRANSLATE(B88, ""en"", ""bn"")"),"হা-ডু-ডুর প্রথম আনুষ্ঠানিক নিয়ম কত সালে লেখা হয়েছিল?")</f>
        <v>হা-ডু-ডুর প্রথম আনুষ্ঠানিক নিয়ম কত সালে লেখা হয়েছিল?</v>
      </c>
      <c r="L88" s="10" t="str">
        <f>IFERROR(__xludf.DUMMYFUNCTION("GOOGLETRANSLATE(C88, ""en"", ""bn"")"),"ক) ১৯৫০, খ) ১৯৭২, গ) ১৯৮০, ঘ) ১৯৮৫")</f>
        <v>ক) ১৯৫০, খ) ১৯৭২, গ) ১৯৮০, ঘ) ১৯৮৫</v>
      </c>
      <c r="M88" s="10" t="str">
        <f>IFERROR(__xludf.DUMMYFUNCTION("GOOGLETRANSLATE(D88, ""en"", ""bn"")"),"খ) ১৯৭২")</f>
        <v>খ) ১৯৭২</v>
      </c>
      <c r="N88" s="10" t="str">
        <f>IFERROR(__xludf.DUMMYFUNCTION("GOOGLETRANSLATE(E88, ""en"", ""bn"")"),"বাংলাদেশ কাবাডি ফেডারেশন ১৯৭২ সালে গঠিত হয় এবং এই বছরই তারা খেলাটিকে মানসম্মত করার জন্য প্রথম আনুষ্ঠানিক নিয়ম প্রণয়ন করে।")</f>
        <v>বাংলাদেশ কাবাডি ফেডারেশন ১৯৭২ সালে গঠিত হয় এবং এই বছরই তারা খেলাটিকে মানসম্মত করার জন্য প্রথম আনুষ্ঠানিক নিয়ম প্রণয়ন করে।</v>
      </c>
    </row>
    <row r="89">
      <c r="A89" s="13">
        <v>88.0</v>
      </c>
      <c r="B89" s="13" t="s">
        <v>1815</v>
      </c>
      <c r="C89" s="13" t="s">
        <v>1816</v>
      </c>
      <c r="D89" s="13" t="s">
        <v>1817</v>
      </c>
      <c r="E89" s="13" t="s">
        <v>1818</v>
      </c>
      <c r="J89" s="10" t="str">
        <f>IFERROR(__xludf.DUMMYFUNCTION("GOOGLETRANSLATE(A89, ""en"", ""bn"")"),"৮৮")</f>
        <v>৮৮</v>
      </c>
      <c r="K89" s="10" t="str">
        <f>IFERROR(__xludf.DUMMYFUNCTION("GOOGLETRANSLATE(B89, ""en"", ""bn"")"),"দক্ষিণ এশীয় অন্যান্য অনুরূপ খেলা থেকে হা-ডু-ডুর নিয়মের কোন মূল উপাদানটি গৃহীত হয়েছিল?")</f>
        <v>দক্ষিণ এশীয় অন্যান্য অনুরূপ খেলা থেকে হা-ডু-ডুর নিয়মের কোন মূল উপাদানটি গৃহীত হয়েছিল?</v>
      </c>
      <c r="L89" s="10" t="str">
        <f>IFERROR(__xludf.DUMMYFUNCTION("GOOGLETRANSLATE(C89, ""en"", ""bn"")"),"ক) আদালতের মাত্রা, খ) দলের আকার, গ) ধারাবাহিক জপ, ঘ) ট্যাকলিং পদ্ধতি")</f>
        <v>ক) আদালতের মাত্রা, খ) দলের আকার, গ) ধারাবাহিক জপ, ঘ) ট্যাকলিং পদ্ধতি</v>
      </c>
      <c r="M89" s="10" t="str">
        <f>IFERROR(__xludf.DUMMYFUNCTION("GOOGLETRANSLATE(D89, ""en"", ""bn"")"),"গ) অবিরাম জপ")</f>
        <v>গ) অবিরাম জপ</v>
      </c>
      <c r="N89" s="10" t="str">
        <f>IFERROR(__xludf.DUMMYFUNCTION("GOOGLETRANSLATE(E89, ""en"", ""bn"")"),"রেইডারকে এক নিঃশ্বাসে জপ করতে হবে এই নিয়মটি ভারতীয় কাবাডি খেলায়ও পাওয়া যায়, যেখান থেকে হা-ডু-ডু বিবর্তিত হয়েছে বলে মনে করা হয়।")</f>
        <v>রেইডারকে এক নিঃশ্বাসে জপ করতে হবে এই নিয়মটি ভারতীয় কাবাডি খেলায়ও পাওয়া যায়, যেখান থেকে হা-ডু-ডু বিবর্তিত হয়েছে বলে মনে করা হয়।</v>
      </c>
    </row>
    <row r="90">
      <c r="A90" s="13">
        <v>89.0</v>
      </c>
      <c r="B90" s="13" t="s">
        <v>1819</v>
      </c>
      <c r="C90" s="13" t="s">
        <v>1820</v>
      </c>
      <c r="D90" s="13" t="s">
        <v>1821</v>
      </c>
      <c r="E90" s="13" t="s">
        <v>1822</v>
      </c>
      <c r="J90" s="10" t="str">
        <f>IFERROR(__xludf.DUMMYFUNCTION("GOOGLETRANSLATE(A90, ""en"", ""bn"")"),"৮৯")</f>
        <v>৮৯</v>
      </c>
      <c r="K90" s="10" t="str">
        <f>IFERROR(__xludf.DUMMYFUNCTION("GOOGLETRANSLATE(B90, ""en"", ""bn"")"),"হা-ডু-ডু আদালতের কেন্দ্ররেখার ঐতিহাসিক নাম কী ছিল?")</f>
        <v>হা-ডু-ডু আদালতের কেন্দ্ররেখার ঐতিহাসিক নাম কী ছিল?</v>
      </c>
      <c r="L90" s="10" t="str">
        <f>IFERROR(__xludf.DUMMYFUNCTION("GOOGLETRANSLATE(C90, ""en"", ""bn"")"),"ক) 'স্পর্শ রেখা', খ) 'মধ্যরেখা', গ) 'বাল্ক রেখা', ঘ) 'জীবন রেখা'")</f>
        <v>ক) 'স্পর্শ রেখা', খ) 'মধ্যরেখা', গ) 'বাল্ক রেখা', ঘ) 'জীবন রেখা'</v>
      </c>
      <c r="M90" s="10" t="str">
        <f>IFERROR(__xludf.DUMMYFUNCTION("GOOGLETRANSLATE(D90, ""en"", ""bn"")"),"ঘ) 'জীবনরেখা'")</f>
        <v>ঘ) 'জীবনরেখা'</v>
      </c>
      <c r="N90" s="10" t="str">
        <f>IFERROR(__xludf.DUMMYFUNCTION("GOOGLETRANSLATE(E90, ""en"", ""bn"")"),"নিরাপদ থাকার জন্য আক্রমণকারীকে যে কেন্দ্রীয় রেখা অতিক্রম করতে হয়, তা ঐতিহাসিকভাবে এবং প্রতীকীভাবে 'জীবন রেখা' বা 'জীবন রেখা' নামে পরিচিত ছিল।")</f>
        <v>নিরাপদ থাকার জন্য আক্রমণকারীকে যে কেন্দ্রীয় রেখা অতিক্রম করতে হয়, তা ঐতিহাসিকভাবে এবং প্রতীকীভাবে 'জীবন রেখা' বা 'জীবন রেখা' নামে পরিচিত ছিল।</v>
      </c>
    </row>
    <row r="91">
      <c r="A91" s="13">
        <v>90.0</v>
      </c>
      <c r="B91" s="13" t="s">
        <v>1823</v>
      </c>
      <c r="C91" s="13" t="s">
        <v>1824</v>
      </c>
      <c r="D91" s="13" t="s">
        <v>1825</v>
      </c>
      <c r="E91" s="13" t="s">
        <v>1826</v>
      </c>
      <c r="J91" s="10" t="str">
        <f>IFERROR(__xludf.DUMMYFUNCTION("GOOGLETRANSLATE(A91, ""en"", ""bn"")"),"৯০")</f>
        <v>৯০</v>
      </c>
      <c r="K91" s="10" t="str">
        <f>IFERROR(__xludf.DUMMYFUNCTION("GOOGLETRANSLATE(B91, ""en"", ""bn"")"),"বিংশ শতাব্দীর শেষের দিকে শহরাঞ্চলে হা-ডু-ডুর পতনের মূল কারণ কী ছিল?")</f>
        <v>বিংশ শতাব্দীর শেষের দিকে শহরাঞ্চলে হা-ডু-ডুর পতনের মূল কারণ কী ছিল?</v>
      </c>
      <c r="L91" s="10" t="str">
        <f>IFERROR(__xludf.DUMMYFUNCTION("GOOGLETRANSLATE(C91, ""en"", ""bn"")"),"ক) উপযুক্ত মাঠের অভাব, খ) অন্যান্য খেলাধুলায় প্রতিযোগিতা, গ) তরুণদের আগ্রহের অভাব, ঘ) সরঞ্জামের উচ্চ মূল্য")</f>
        <v>ক) উপযুক্ত মাঠের অভাব, খ) অন্যান্য খেলাধুলায় প্রতিযোগিতা, গ) তরুণদের আগ্রহের অভাব, ঘ) সরঞ্জামের উচ্চ মূল্য</v>
      </c>
      <c r="M91" s="10" t="str">
        <f>IFERROR(__xludf.DUMMYFUNCTION("GOOGLETRANSLATE(D91, ""en"", ""bn"")"),"খ) অন্যান্য খেলাধুলার প্রতিযোগিতা")</f>
        <v>খ) অন্যান্য খেলাধুলার প্রতিযোগিতা</v>
      </c>
      <c r="N91" s="10" t="str">
        <f>IFERROR(__xludf.DUMMYFUNCTION("GOOGLETRANSLATE(E91, ""en"", ""bn"")"),"ক্রিকেট ও ফুটবলের উত্থান, তাদের আন্তর্জাতিক আকর্ষণ এবং উন্নত অবকাঠামোর কারণে, শহরাঞ্চলে হা-ডু-ডুর জনপ্রিয়তা হ্রাস পায়।")</f>
        <v>ক্রিকেট ও ফুটবলের উত্থান, তাদের আন্তর্জাতিক আকর্ষণ এবং উন্নত অবকাঠামোর কারণে, শহরাঞ্চলে হা-ডু-ডুর জনপ্রিয়তা হ্রাস পায়।</v>
      </c>
    </row>
    <row r="92">
      <c r="A92" s="13">
        <v>91.0</v>
      </c>
      <c r="B92" s="13" t="s">
        <v>1827</v>
      </c>
      <c r="C92" s="13" t="s">
        <v>1828</v>
      </c>
      <c r="D92" s="13" t="s">
        <v>1829</v>
      </c>
      <c r="E92" s="13" t="s">
        <v>1830</v>
      </c>
      <c r="J92" s="10" t="str">
        <f>IFERROR(__xludf.DUMMYFUNCTION("GOOGLETRANSLATE(A92, ""en"", ""bn"")"),"৯১")</f>
        <v>৯১</v>
      </c>
      <c r="K92" s="10" t="str">
        <f>IFERROR(__xludf.DUMMYFUNCTION("GOOGLETRANSLATE(B92, ""en"", ""bn"")"),"প্রথম প্রধান জাতীয় হা-ডু-ডু টুর্নামেন্ট কোন শহরে অনুষ্ঠিত হয়েছিল?")</f>
        <v>প্রথম প্রধান জাতীয় হা-ডু-ডু টুর্নামেন্ট কোন শহরে অনুষ্ঠিত হয়েছিল?</v>
      </c>
      <c r="L92" s="10" t="str">
        <f>IFERROR(__xludf.DUMMYFUNCTION("GOOGLETRANSLATE(C92, ""en"", ""bn"")"),"ক) চট্টগ্রাম, খ) সিলেট, গ) ঢাকা, ঘ) খুলনা")</f>
        <v>ক) চট্টগ্রাম, খ) সিলেট, গ) ঢাকা, ঘ) খুলনা</v>
      </c>
      <c r="M92" s="10" t="str">
        <f>IFERROR(__xludf.DUMMYFUNCTION("GOOGLETRANSLATE(D92, ""en"", ""bn"")"),"গ) ঢাকা")</f>
        <v>গ) ঢাকা</v>
      </c>
      <c r="N92" s="10" t="str">
        <f>IFERROR(__xludf.DUMMYFUNCTION("GOOGLETRANSLATE(E92, ""en"", ""bn"")"),"স্বাধীনতার পর খেলাধুলাকে জনপ্রিয় করার লক্ষ্যে প্রথম আনুষ্ঠানিক জাতীয় টুর্নামেন্টটি রাজধানী ঢাকায় অনুষ্ঠিত হয়েছিল।")</f>
        <v>স্বাধীনতার পর খেলাধুলাকে জনপ্রিয় করার লক্ষ্যে প্রথম আনুষ্ঠানিক জাতীয় টুর্নামেন্টটি রাজধানী ঢাকায় অনুষ্ঠিত হয়েছিল।</v>
      </c>
    </row>
    <row r="93">
      <c r="A93" s="13">
        <v>92.0</v>
      </c>
      <c r="B93" s="13" t="s">
        <v>1831</v>
      </c>
      <c r="C93" s="13" t="s">
        <v>1832</v>
      </c>
      <c r="D93" s="13" t="s">
        <v>1833</v>
      </c>
      <c r="E93" s="13" t="s">
        <v>1834</v>
      </c>
      <c r="J93" s="10" t="str">
        <f>IFERROR(__xludf.DUMMYFUNCTION("GOOGLETRANSLATE(A93, ""en"", ""bn"")"),"৯২")</f>
        <v>৯২</v>
      </c>
      <c r="K93" s="10" t="str">
        <f>IFERROR(__xludf.DUMMYFUNCTION("GOOGLETRANSLATE(B93, ""en"", ""bn"")"),"বাংলার ইতিহাসের কোন ঐতিহাসিক ব্যক্তিত্ব প্রায়শই সাধারণ মানুষের মধ্যে হা-ডু-ডু প্রচারের সাথে যুক্ত?")</f>
        <v>বাংলার ইতিহাসের কোন ঐতিহাসিক ব্যক্তিত্ব প্রায়শই সাধারণ মানুষের মধ্যে হা-ডু-ডু প্রচারের সাথে যুক্ত?</v>
      </c>
      <c r="L93" s="10" t="str">
        <f>IFERROR(__xludf.DUMMYFUNCTION("GOOGLETRANSLATE(C93, ""en"", ""bn"")"),"A) নেতাজি সুভাষ চন্দ্র বসু, B) বঙ্গবন্ধু শেখ মুজিবুর রহমান, C) রবীন্দ্রনাথ ঠাকুর, D) কাজী নজরুল ইসলাম")</f>
        <v>A) নেতাজি সুভাষ চন্দ্র বসু, B) বঙ্গবন্ধু শেখ মুজিবুর রহমান, C) রবীন্দ্রনাথ ঠাকুর, D) কাজী নজরুল ইসলাম</v>
      </c>
      <c r="M93" s="10" t="str">
        <f>IFERROR(__xludf.DUMMYFUNCTION("GOOGLETRANSLATE(D93, ""en"", ""bn"")"),"খ) বঙ্গবন্ধু শেখ মুজিবুর রহমান")</f>
        <v>খ) বঙ্গবন্ধু শেখ মুজিবুর রহমান</v>
      </c>
      <c r="N93" s="10" t="str">
        <f>IFERROR(__xludf.DUMMYFUNCTION("GOOGLETRANSLATE(E93, ""en"", ""bn"")"),"বাংলাদেশের প্রতিষ্ঠাতা বঙ্গবন্ধু শেখ মুজিবুর রহমান ঐতিহ্যবাহী বাঙালি সংস্কৃতির একজন জোরালো সমর্থক ছিলেন এবং খেলাধুলার পুনরুজ্জীবনে গুরুত্বপূর্ণ ভূমিকা পালন করেছিলেন।")</f>
        <v>বাংলাদেশের প্রতিষ্ঠাতা বঙ্গবন্ধু শেখ মুজিবুর রহমান ঐতিহ্যবাহী বাঙালি সংস্কৃতির একজন জোরালো সমর্থক ছিলেন এবং খেলাধুলার পুনরুজ্জীবনে গুরুত্বপূর্ণ ভূমিকা পালন করেছিলেন।</v>
      </c>
    </row>
    <row r="94">
      <c r="A94" s="13">
        <v>93.0</v>
      </c>
      <c r="B94" s="13" t="s">
        <v>1835</v>
      </c>
      <c r="C94" s="13" t="s">
        <v>1836</v>
      </c>
      <c r="D94" s="13" t="s">
        <v>1837</v>
      </c>
      <c r="E94" s="13" t="s">
        <v>1838</v>
      </c>
      <c r="J94" s="10" t="str">
        <f>IFERROR(__xludf.DUMMYFUNCTION("GOOGLETRANSLATE(A94, ""en"", ""bn"")"),"৯৩")</f>
        <v>৯৩</v>
      </c>
      <c r="K94" s="10" t="str">
        <f>IFERROR(__xludf.DUMMYFUNCTION("GOOGLETRANSLATE(B94, ""en"", ""bn"")"),"গ্রামীণ বাংলার হা-ডু-ডু বাদকদের ঐতিহ্যবাহী 'ইউনিফর্ম' কী ছিল?")</f>
        <v>গ্রামীণ বাংলার হা-ডু-ডু বাদকদের ঐতিহ্যবাহী 'ইউনিফর্ম' কী ছিল?</v>
      </c>
      <c r="L94" s="10" t="str">
        <f>IFERROR(__xludf.DUMMYFUNCTION("GOOGLETRANSLATE(C94, ""en"", ""bn"")"),"ক) লুঙ্গি, খ) ধুতি, গ) ঢিলেঢালা প্যান্ট, ঘ) হাফপ্যান্ট")</f>
        <v>ক) লুঙ্গি, খ) ধুতি, গ) ঢিলেঢালা প্যান্ট, ঘ) হাফপ্যান্ট</v>
      </c>
      <c r="M94" s="10" t="str">
        <f>IFERROR(__xludf.DUMMYFUNCTION("GOOGLETRANSLATE(D94, ""en"", ""bn"")"),"ক) লুঙ্গি")</f>
        <v>ক) লুঙ্গি</v>
      </c>
      <c r="N94" s="10" t="str">
        <f>IFERROR(__xludf.DUMMYFUNCTION("GOOGLETRANSLATE(E94, ""en"", ""bn"")"),"গ্রামাঞ্চলের খেলোয়াড়রা ঐতিহ্যগতভাবে লুঙ্গি (কোমরে জড়িয়ে রাখা একটি ঢিলেঢালা পোশাক) অথবা আরাম এবং চলাচলের সুবিধার জন্য সাধারণ সুতির প্যান্ট পরতেন।")</f>
        <v>গ্রামাঞ্চলের খেলোয়াড়রা ঐতিহ্যগতভাবে লুঙ্গি (কোমরে জড়িয়ে রাখা একটি ঢিলেঢালা পোশাক) অথবা আরাম এবং চলাচলের সুবিধার জন্য সাধারণ সুতির প্যান্ট পরতেন।</v>
      </c>
    </row>
    <row r="95">
      <c r="A95" s="13">
        <v>94.0</v>
      </c>
      <c r="B95" s="13" t="s">
        <v>1839</v>
      </c>
      <c r="C95" s="13" t="s">
        <v>1840</v>
      </c>
      <c r="D95" s="13" t="s">
        <v>1841</v>
      </c>
      <c r="E95" s="14" t="s">
        <v>1842</v>
      </c>
      <c r="J95" s="10" t="str">
        <f>IFERROR(__xludf.DUMMYFUNCTION("GOOGLETRANSLATE(A95, ""en"", ""bn"")"),"৯৪")</f>
        <v>৯৪</v>
      </c>
      <c r="K95" s="10" t="str">
        <f>IFERROR(__xludf.DUMMYFUNCTION("GOOGLETRANSLATE(B95, ""en"", ""bn"")"),"ট্যাগ আউট হওয়ার পর একজন খেলোয়াড়ের খেলায় 'পুনরুজ্জীবন' বা 'পুনরায় প্রবেশ'-এর ঐতিহাসিক পরিভাষা কী ছিল?")</f>
        <v>ট্যাগ আউট হওয়ার পর একজন খেলোয়াড়ের খেলায় 'পুনরুজ্জীবন' বা 'পুনরায় প্রবেশ'-এর ঐতিহাসিক পরিভাষা কী ছিল?</v>
      </c>
      <c r="L95" s="10" t="str">
        <f>IFERROR(__xludf.DUMMYFUNCTION("GOOGLETRANSLATE(C95, ""en"", ""bn"")"),"A) 'জীবন,' B) 'পুনরাগোমন,' C) 'ফেরে আশা,' D) 'মুক্তির'")</f>
        <v>A) 'জীবন,' B) 'পুনরাগোমন,' C) 'ফেরে আশা,' D) 'মুক্তির'</v>
      </c>
      <c r="M95" s="10" t="str">
        <f>IFERROR(__xludf.DUMMYFUNCTION("GOOGLETRANSLATE(D95, ""en"", ""bn"")"),"খ) 'পুনোরগোমন'")</f>
        <v>খ) 'পুনোরগোমন'</v>
      </c>
      <c r="N95" s="10" t="str">
        <f>IFERROR(__xludf.DUMMYFUNCTION("GOOGLETRANSLATE(E95, ""en"", ""bn"")"),"পুনোরাগোমন' (যার অর্থ 'প্রত্যাবর্তন' বা 'পুনরায় প্রবেশ') ছিল একজন খেলোয়াড়ের সতীর্থের সফলভাবে পয়েন্ট অর্জনের পর খেলায় ফিরে আসার ঐতিহ্যবাহী শব্দ।")</f>
        <v>পুনোরাগোমন' (যার অর্থ 'প্রত্যাবর্তন' বা 'পুনরায় প্রবেশ') ছিল একজন খেলোয়াড়ের সতীর্থের সফলভাবে পয়েন্ট অর্জনের পর খেলায় ফিরে আসার ঐতিহ্যবাহী শব্দ।</v>
      </c>
    </row>
    <row r="96">
      <c r="A96" s="13">
        <v>95.0</v>
      </c>
      <c r="B96" s="13" t="s">
        <v>1843</v>
      </c>
      <c r="C96" s="13" t="s">
        <v>1844</v>
      </c>
      <c r="D96" s="13" t="s">
        <v>1845</v>
      </c>
      <c r="E96" s="13" t="s">
        <v>1846</v>
      </c>
      <c r="J96" s="10" t="str">
        <f>IFERROR(__xludf.DUMMYFUNCTION("GOOGLETRANSLATE(A96, ""en"", ""bn"")"),"৯৫")</f>
        <v>৯৫</v>
      </c>
      <c r="K96" s="10" t="str">
        <f>IFERROR(__xludf.DUMMYFUNCTION("GOOGLETRANSLATE(B96, ""en"", ""bn"")"),"বাংলার সুলতানি আমলে হা-ডু-ডুর জনপ্রিয়তা কোন রাজবংশের শারীরিক সুস্থতার প্রতি আগ্রহের ফলস্বরূপ ছিল?")</f>
        <v>বাংলার সুলতানি আমলে হা-ডু-ডুর জনপ্রিয়তা কোন রাজবংশের শারীরিক সুস্থতার প্রতি আগ্রহের ফলস্বরূপ ছিল?</v>
      </c>
      <c r="L96" s="10" t="str">
        <f>IFERROR(__xludf.DUMMYFUNCTION("GOOGLETRANSLATE(C96, ""en"", ""bn"")"),"ক) ইলিয়াস শাহী রাজবংশ, খ) হোসেন শাহী রাজবংশ, গ) মুঘল রাজবংশ, ঘ) ঘোরি রাজবংশ")</f>
        <v>ক) ইলিয়াস শাহী রাজবংশ, খ) হোসেন শাহী রাজবংশ, গ) মুঘল রাজবংশ, ঘ) ঘোরি রাজবংশ</v>
      </c>
      <c r="M96" s="10" t="str">
        <f>IFERROR(__xludf.DUMMYFUNCTION("GOOGLETRANSLATE(D96, ""en"", ""bn"")"),"ক) ইলিয়াস শাহী রাজবংশ")</f>
        <v>ক) ইলিয়াস শাহী রাজবংশ</v>
      </c>
      <c r="N96" s="10" t="str">
        <f>IFERROR(__xludf.DUMMYFUNCTION("GOOGLETRANSLATE(E96, ""en"", ""bn"")"),"ইলিয়াস শাহী রাজবংশ স্থানীয় বাঙালি সংস্কৃতি এবং শারীরিক শিল্পের প্রচারের জন্য পরিচিত ছিল, যা হা-ডু-ডুর মতো খেলাধুলাকে জনপ্রিয় করতে সাহায্য করেছিল।")</f>
        <v>ইলিয়াস শাহী রাজবংশ স্থানীয় বাঙালি সংস্কৃতি এবং শারীরিক শিল্পের প্রচারের জন্য পরিচিত ছিল, যা হা-ডু-ডুর মতো খেলাধুলাকে জনপ্রিয় করতে সাহায্য করেছিল।</v>
      </c>
    </row>
    <row r="97">
      <c r="A97" s="13">
        <v>96.0</v>
      </c>
      <c r="B97" s="13" t="s">
        <v>1847</v>
      </c>
      <c r="C97" s="13" t="s">
        <v>1848</v>
      </c>
      <c r="D97" s="13" t="s">
        <v>1849</v>
      </c>
      <c r="E97" s="13" t="s">
        <v>1850</v>
      </c>
      <c r="J97" s="10" t="str">
        <f>IFERROR(__xludf.DUMMYFUNCTION("GOOGLETRANSLATE(A97, ""en"", ""bn"")"),"৯৬")</f>
        <v>৯৬</v>
      </c>
      <c r="K97" s="10" t="str">
        <f>IFERROR(__xludf.DUMMYFUNCTION("GOOGLETRANSLATE(B97, ""en"", ""bn"")"),"বিংশ শতাব্দীর কোন বাংলাদেশী চলচ্চিত্রের মূল বিষয়বস্তু ছিল হা-ডু-ডু?")</f>
        <v>বিংশ শতাব্দীর কোন বাংলাদেশী চলচ্চিত্রের মূল বিষয়বস্তু ছিল হা-ডু-ডু?</v>
      </c>
      <c r="L97" s="10" t="str">
        <f>IFERROR(__xludf.DUMMYFUNCTION("GOOGLETRANSLATE(C97, ""en"", ""bn"")"),"A) 'নবাব সিরাজ-উদ-দৌলা,' B) 'সুরের আগুন,' C) 'দুহশাশোন,' D) 'কাবাডি'")</f>
        <v>A) 'নবাব সিরাজ-উদ-দৌলা,' B) 'সুরের আগুন,' C) 'দুহশাশোন,' D) 'কাবাডি'</v>
      </c>
      <c r="M97" s="10" t="str">
        <f>IFERROR(__xludf.DUMMYFUNCTION("GOOGLETRANSLATE(D97, ""en"", ""bn"")"),"খ) 'সুরের আগুন'")</f>
        <v>খ) 'সুরের আগুন'</v>
      </c>
      <c r="N97" s="10" t="str">
        <f>IFERROR(__xludf.DUMMYFUNCTION("GOOGLETRANSLATE(E97, ""en"", ""bn"")"),"১৯৭৮ সালের 'সুরের আগুন' চলচ্চিত্রে হা-ডু-ডুকে একটি বিশিষ্ট বিষয়বস্তু হিসেবে দেখানো হয়েছিল, যা নতুন প্রজন্মের কাছে এর সারমর্ম এবং সাংস্কৃতিক তাৎপর্য তুলে ধরতে সাহায্য করেছিল।")</f>
        <v>১৯৭৮ সালের 'সুরের আগুন' চলচ্চিত্রে হা-ডু-ডুকে একটি বিশিষ্ট বিষয়বস্তু হিসেবে দেখানো হয়েছিল, যা নতুন প্রজন্মের কাছে এর সারমর্ম এবং সাংস্কৃতিক তাৎপর্য তুলে ধরতে সাহায্য করেছিল।</v>
      </c>
    </row>
    <row r="98">
      <c r="A98" s="13">
        <v>97.0</v>
      </c>
      <c r="B98" s="13" t="s">
        <v>1851</v>
      </c>
      <c r="C98" s="13" t="s">
        <v>1852</v>
      </c>
      <c r="D98" s="13" t="s">
        <v>1853</v>
      </c>
      <c r="E98" s="13" t="s">
        <v>1854</v>
      </c>
      <c r="J98" s="10" t="str">
        <f>IFERROR(__xludf.DUMMYFUNCTION("GOOGLETRANSLATE(A98, ""en"", ""bn"")"),"৯৭")</f>
        <v>৯৭</v>
      </c>
      <c r="K98" s="10" t="str">
        <f>IFERROR(__xludf.DUMMYFUNCTION("GOOGLETRANSLATE(B98, ""en"", ""bn"")"),"হা-ডু-ডু ম্যাচে পুরো দলের ঐতিহাসিক নাম কী ছিল?")</f>
        <v>হা-ডু-ডু ম্যাচে পুরো দলের ঐতিহাসিক নাম কী ছিল?</v>
      </c>
      <c r="L98" s="10" t="str">
        <f>IFERROR(__xludf.DUMMYFUNCTION("GOOGLETRANSLATE(C98, ""en"", ""bn"")"),"ক) 'ডাল', 'খ) 'গোষ্ঠী,' গ) 'বাহিনী,' ঘ) 'জুঠো'")</f>
        <v>ক) 'ডাল', 'খ) 'গোষ্ঠী,' গ) 'বাহিনী,' ঘ) 'জুঠো'</v>
      </c>
      <c r="M98" s="10" t="str">
        <f>IFERROR(__xludf.DUMMYFUNCTION("GOOGLETRANSLATE(D98, ""en"", ""bn"")"),"ক) 'ডাল'")</f>
        <v>ক) 'ডাল'</v>
      </c>
      <c r="N98" s="10" t="str">
        <f>IFERROR(__xludf.DUMMYFUNCTION("GOOGLETRANSLATE(E98, ""en"", ""bn"")"),"'ডাল' শব্দটি (যার অর্থ 'দল' বা 'দল') হা-ডু-ডু খেলার একটি দলের জন্য ব্যবহৃত সাধারণ শব্দ ছিল এবং এখনও আছে।")</f>
        <v>'ডাল' শব্দটি (যার অর্থ 'দল' বা 'দল') হা-ডু-ডু খেলার একটি দলের জন্য ব্যবহৃত সাধারণ শব্দ ছিল এবং এখনও আছে।</v>
      </c>
    </row>
    <row r="99">
      <c r="A99" s="13">
        <v>98.0</v>
      </c>
      <c r="B99" s="13" t="s">
        <v>1855</v>
      </c>
      <c r="C99" s="13" t="s">
        <v>1142</v>
      </c>
      <c r="D99" s="13" t="s">
        <v>1856</v>
      </c>
      <c r="E99" s="13" t="s">
        <v>1857</v>
      </c>
      <c r="J99" s="10" t="str">
        <f>IFERROR(__xludf.DUMMYFUNCTION("GOOGLETRANSLATE(A99, ""en"", ""bn"")"),"৯৮")</f>
        <v>৯৮</v>
      </c>
      <c r="K99" s="10" t="str">
        <f>IFERROR(__xludf.DUMMYFUNCTION("GOOGLETRANSLATE(B99, ""en"", ""bn"")"),"আধুনিক হা-ডু-ডুতে 'বোনাস লাইন' থাকার নিয়ম কোন দশকে চালু হয়েছিল?")</f>
        <v>আধুনিক হা-ডু-ডুতে 'বোনাস লাইন' থাকার নিয়ম কোন দশকে চালু হয়েছিল?</v>
      </c>
      <c r="L99" s="10" t="str">
        <f>IFERROR(__xludf.DUMMYFUNCTION("GOOGLETRANSLATE(C99, ""en"", ""bn"")"),"ক) ১৯৭০ এর দশক, খ) ১৯৮০ এর দশক, গ) ১৯৯০ এর দশক, ঘ) ২০০০ এর দশক")</f>
        <v>ক) ১৯৭০ এর দশক, খ) ১৯৮০ এর দশক, গ) ১৯৯০ এর দশক, ঘ) ২০০০ এর দশক</v>
      </c>
      <c r="M99" s="10" t="str">
        <f>IFERROR(__xludf.DUMMYFUNCTION("GOOGLETRANSLATE(D99, ""en"", ""bn"")"),"গ) ১৯৯০ এর দশক")</f>
        <v>গ) ১৯৯০ এর দশক</v>
      </c>
      <c r="N99" s="10" t="str">
        <f>IFERROR(__xludf.DUMMYFUNCTION("GOOGLETRANSLATE(E99, ""en"", ""bn"")"),"খেলায় আরও গতিশীলতা যোগ করার জন্য 'বোনাস লাইন' ১৯৯০-এর দশকে চালু করা হয়েছিল, যার ফলে রেইডার একটি নির্দিষ্ট লাইন স্পর্শ করে অতিরিক্ত পয়েন্ট অর্জন করতে পারত।")</f>
        <v>খেলায় আরও গতিশীলতা যোগ করার জন্য 'বোনাস লাইন' ১৯৯০-এর দশকে চালু করা হয়েছিল, যার ফলে রেইডার একটি নির্দিষ্ট লাইন স্পর্শ করে অতিরিক্ত পয়েন্ট অর্জন করতে পারত।</v>
      </c>
    </row>
    <row r="100">
      <c r="A100" s="13">
        <v>99.0</v>
      </c>
      <c r="B100" s="13" t="s">
        <v>1858</v>
      </c>
      <c r="C100" s="13" t="s">
        <v>1859</v>
      </c>
      <c r="D100" s="13" t="s">
        <v>1860</v>
      </c>
      <c r="E100" s="13" t="s">
        <v>1861</v>
      </c>
      <c r="J100" s="10" t="str">
        <f>IFERROR(__xludf.DUMMYFUNCTION("GOOGLETRANSLATE(A100, ""en"", ""bn"")"),"৯৯")</f>
        <v>৯৯</v>
      </c>
      <c r="K100" s="10" t="str">
        <f>IFERROR(__xludf.DUMMYFUNCTION("GOOGLETRANSLATE(B100, ""en"", ""bn"")"),"ঐতিহাসিকভাবে, হা-ডু-ডু ম্যাচগুলি প্রায়শই কোন ধরণের লোকজ পরিবেশনার সাথে থাকত?")</f>
        <v>ঐতিহাসিকভাবে, হা-ডু-ডু ম্যাচগুলি প্রায়শই কোন ধরণের লোকজ পরিবেশনার সাথে থাকত?</v>
      </c>
      <c r="L100" s="10" t="str">
        <f>IFERROR(__xludf.DUMMYFUNCTION("GOOGLETRANSLATE(C100, ""en"", ""bn"")"),"A) জারি গান, B) বাউল গান, C) লালন গীতি, D) পালা গান")</f>
        <v>A) জারি গান, B) বাউল গান, C) লালন গীতি, D) পালা গান</v>
      </c>
      <c r="M100" s="10" t="str">
        <f>IFERROR(__xludf.DUMMYFUNCTION("GOOGLETRANSLATE(D100, ""en"", ""bn"")"),"ক) জারি গান")</f>
        <v>ক) জারি গান</v>
      </c>
      <c r="N100" s="10" t="str">
        <f>IFERROR(__xludf.DUMMYFUNCTION("GOOGLETRANSLATE(E100, ""en"", ""bn"")"),"হা-ডু-ডু খেলার সময় জারি গান (এক ধরণের লোকগীতি) প্রায়শই গাওয়া হত, যা বীরত্বের গল্প বর্ণনা করত এবং খেলোয়াড়দের অনুপ্রাণিত করত।")</f>
        <v>হা-ডু-ডু খেলার সময় জারি গান (এক ধরণের লোকগীতি) প্রায়শই গাওয়া হত, যা বীরত্বের গল্প বর্ণনা করত এবং খেলোয়াড়দের অনুপ্রাণিত করত।</v>
      </c>
    </row>
    <row r="101">
      <c r="A101" s="13">
        <v>100.0</v>
      </c>
      <c r="B101" s="13" t="s">
        <v>1862</v>
      </c>
      <c r="C101" s="13" t="s">
        <v>1863</v>
      </c>
      <c r="D101" s="13" t="s">
        <v>1864</v>
      </c>
      <c r="E101" s="13" t="s">
        <v>1865</v>
      </c>
      <c r="J101" s="10" t="str">
        <f>IFERROR(__xludf.DUMMYFUNCTION("GOOGLETRANSLATE(A101, ""en"", ""bn"")"),"১০০")</f>
        <v>১০০</v>
      </c>
      <c r="K101" s="10" t="str">
        <f>IFERROR(__xludf.DUMMYFUNCTION("GOOGLETRANSLATE(B101, ""en"", ""bn"")"),"গ্রামীণ বাংলায় ঐতিহাসিকভাবে হা-ডু-ডু বাজানো কোন ধরণের সামাজিক ঐক্যকে উৎসাহিত করেছে?")</f>
        <v>গ্রামীণ বাংলায় ঐতিহাসিকভাবে হা-ডু-ডু বাজানো কোন ধরণের সামাজিক ঐক্যকে উৎসাহিত করেছে?</v>
      </c>
      <c r="L101" s="10" t="str">
        <f>IFERROR(__xludf.DUMMYFUNCTION("GOOGLETRANSLATE(C101, ""en"", ""bn"")"),"ক) ধর্মীয় ঐক্য, খ) বর্ণ ঐক্য, গ) আন্তঃগ্রাম ঐক্য, ঘ) শ্রেণী ঐক্য")</f>
        <v>ক) ধর্মীয় ঐক্য, খ) বর্ণ ঐক্য, গ) আন্তঃগ্রাম ঐক্য, ঘ) শ্রেণী ঐক্য</v>
      </c>
      <c r="M101" s="10" t="str">
        <f>IFERROR(__xludf.DUMMYFUNCTION("GOOGLETRANSLATE(D101, ""en"", ""bn"")"),"গ) আন্তঃগ্রাম ঐক্য")</f>
        <v>গ) আন্তঃগ্রাম ঐক্য</v>
      </c>
      <c r="N101" s="10" t="str">
        <f>IFERROR(__xludf.DUMMYFUNCTION("GOOGLETRANSLATE(E101, ""en"", ""bn"")"),"এই খেলাটি প্রতিদ্বন্দ্বী গ্রামগুলির মধ্যে বন্ধুত্বপূর্ণ এবং কাঠামোগতভাবে প্রতিযোগিতা করার একটি উপায় ছিল, যা প্রায়শই উদযাপন এবং সম্পর্কের উন্নতির দিকে পরিচালিত করত।")</f>
        <v>এই খেলাটি প্রতিদ্বন্দ্বী গ্রামগুলির মধ্যে বন্ধুত্বপূর্ণ এবং কাঠামোগতভাবে প্রতিযোগিতা করার একটি উপায় ছিল, যা প্রায়শই উদযাপন এবং সম্পর্কের উন্নতির দিকে পরিচালিত করত।</v>
      </c>
    </row>
    <row r="102">
      <c r="A102" s="13">
        <v>101.0</v>
      </c>
      <c r="B102" s="13" t="s">
        <v>1866</v>
      </c>
      <c r="C102" s="13" t="s">
        <v>1867</v>
      </c>
      <c r="D102" s="13" t="s">
        <v>1868</v>
      </c>
      <c r="E102" s="13" t="s">
        <v>1869</v>
      </c>
      <c r="J102" s="10" t="str">
        <f>IFERROR(__xludf.DUMMYFUNCTION("GOOGLETRANSLATE(A102, ""en"", ""bn"")"),"১০১")</f>
        <v>১০১</v>
      </c>
      <c r="K102" s="10" t="str">
        <f>IFERROR(__xludf.DUMMYFUNCTION("GOOGLETRANSLATE(B102, ""en"", ""bn"")"),"হা-ডু-ডু দলে 'কোচ' বা 'প্রশিক্ষক'-এর ঐতিহাসিক ভূমিকা কী ছিল?")</f>
        <v>হা-ডু-ডু দলে 'কোচ' বা 'প্রশিক্ষক'-এর ঐতিহাসিক ভূমিকা কী ছিল?</v>
      </c>
      <c r="L102" s="10" t="str">
        <f>IFERROR(__xludf.DUMMYFUNCTION("GOOGLETRANSLATE(C102, ""en"", ""bn"")"),"ক) একজন আনুষ্ঠানিক কোচ, খ) একজন বয়স্ক খেলোয়াড়, গ) দলের অধিনায়ক, ঘ) গ্রামের একজন প্রবীণ ব্যক্তি")</f>
        <v>ক) একজন আনুষ্ঠানিক কোচ, খ) একজন বয়স্ক খেলোয়াড়, গ) দলের অধিনায়ক, ঘ) গ্রামের একজন প্রবীণ ব্যক্তি</v>
      </c>
      <c r="M102" s="10" t="str">
        <f>IFERROR(__xludf.DUMMYFUNCTION("GOOGLETRANSLATE(D102, ""en"", ""bn"")"),"ঘ) গ্রামের একজন প্রবীণ ব্যক্তি")</f>
        <v>ঘ) গ্রামের একজন প্রবীণ ব্যক্তি</v>
      </c>
      <c r="N102" s="10" t="str">
        <f>IFERROR(__xludf.DUMMYFUNCTION("GOOGLETRANSLATE(E102, ""en"", ""bn"")"),"ঐতিহাসিকভাবে, দলটির নেতৃত্বে ছিলেন একজন অভিজ্ঞ খেলোয়াড় অথবা একজন সম্মানিত গ্রামের প্রবীণ যিনি কৌশলগত পরামর্শ এবং পরামর্শ প্রদান করতেন।")</f>
        <v>ঐতিহাসিকভাবে, দলটির নেতৃত্বে ছিলেন একজন অভিজ্ঞ খেলোয়াড় অথবা একজন সম্মানিত গ্রামের প্রবীণ যিনি কৌশলগত পরামর্শ এবং পরামর্শ প্রদান করতেন।</v>
      </c>
    </row>
    <row r="103">
      <c r="A103" s="13">
        <v>102.0</v>
      </c>
      <c r="B103" s="13" t="s">
        <v>1870</v>
      </c>
      <c r="C103" s="13" t="s">
        <v>1871</v>
      </c>
      <c r="D103" s="13" t="s">
        <v>1872</v>
      </c>
      <c r="E103" s="13" t="s">
        <v>1873</v>
      </c>
      <c r="J103" s="10" t="str">
        <f>IFERROR(__xludf.DUMMYFUNCTION("GOOGLETRANSLATE(A103, ""en"", ""bn"")"),"১০২")</f>
        <v>১০২</v>
      </c>
      <c r="K103" s="10" t="str">
        <f>IFERROR(__xludf.DUMMYFUNCTION("GOOGLETRANSLATE(B103, ""en"", ""bn"")"),"হা-ডু-ডুতে দুটি বিপরীত দল গঠনের ঐতিহ্যবাহী পদ্ধতি কী ছিল?")</f>
        <v>হা-ডু-ডুতে দুটি বিপরীত দল গঠনের ঐতিহ্যবাহী পদ্ধতি কী ছিল?</v>
      </c>
      <c r="L103" s="10" t="str">
        <f>IFERROR(__xludf.DUMMYFUNCTION("GOOGLETRANSLATE(C103, ""en"", ""bn"")"),"ক) মুদ্রা টস দ্বারা, খ) ড্র দ্বারা, গ) অধিনায়কদের খেলোয়াড় নির্বাচনের পদ্ধতি দ্বারা, ঘ) গ্রামের সীমানা দ্বারা")</f>
        <v>ক) মুদ্রা টস দ্বারা, খ) ড্র দ্বারা, গ) অধিনায়কদের খেলোয়াড় নির্বাচনের পদ্ধতি দ্বারা, ঘ) গ্রামের সীমানা দ্বারা</v>
      </c>
      <c r="M103" s="10" t="str">
        <f>IFERROR(__xludf.DUMMYFUNCTION("GOOGLETRANSLATE(D103, ""en"", ""bn"")"),"গ) অধিনায়কদের খেলোয়াড় নির্বাচনের একটি পদ্ধতি দ্বারা")</f>
        <v>গ) অধিনায়কদের খেলোয়াড় নির্বাচনের একটি পদ্ধতি দ্বারা</v>
      </c>
      <c r="N103" s="10" t="str">
        <f>IFERROR(__xludf.DUMMYFUNCTION("GOOGLETRANSLATE(E103, ""en"", ""bn"")"),"ঐতিহাসিকভাবে, দুজন অধিনায়ক নির্বাচিত হতেন, যারা পালাক্রমে তাদের নিজ নিজ দলের জন্য খেলোয়াড় নির্বাচন করতেন, এই প্রক্রিয়াটি 'গোলা' নামে পরিচিত।")</f>
        <v>ঐতিহাসিকভাবে, দুজন অধিনায়ক নির্বাচিত হতেন, যারা পালাক্রমে তাদের নিজ নিজ দলের জন্য খেলোয়াড় নির্বাচন করতেন, এই প্রক্রিয়াটি 'গোলা' নামে পরিচিত।</v>
      </c>
    </row>
    <row r="104">
      <c r="A104" s="13">
        <v>103.0</v>
      </c>
      <c r="B104" s="13" t="s">
        <v>1874</v>
      </c>
      <c r="C104" s="13" t="s">
        <v>1875</v>
      </c>
      <c r="D104" s="13" t="s">
        <v>1876</v>
      </c>
      <c r="E104" s="13" t="s">
        <v>1877</v>
      </c>
      <c r="J104" s="10" t="str">
        <f>IFERROR(__xludf.DUMMYFUNCTION("GOOGLETRANSLATE(A104, ""en"", ""bn"")"),"১০৩")</f>
        <v>১০৩</v>
      </c>
      <c r="K104" s="10" t="str">
        <f>IFERROR(__xludf.DUMMYFUNCTION("GOOGLETRANSLATE(B104, ""en"", ""bn"")"),"বাংলাদেশে প্রথম পেশাদার হা-ডু-ডু লীগ কত সালে চালু হয়?")</f>
        <v>বাংলাদেশে প্রথম পেশাদার হা-ডু-ডু লীগ কত সালে চালু হয়?</v>
      </c>
      <c r="L104" s="10" t="str">
        <f>IFERROR(__xludf.DUMMYFUNCTION("GOOGLETRANSLATE(C104, ""en"", ""bn"")"),"ক) ১৯৯৫, খ) ২০০১, গ) ২০১০, ঘ) ২০১৫")</f>
        <v>ক) ১৯৯৫, খ) ২০০১, গ) ২০১০, ঘ) ২০১৫</v>
      </c>
      <c r="M104" s="10" t="str">
        <f>IFERROR(__xludf.DUMMYFUNCTION("GOOGLETRANSLATE(D104, ""en"", ""bn"")"),"গ) ২০১০")</f>
        <v>গ) ২০১০</v>
      </c>
      <c r="N104" s="10" t="str">
        <f>IFERROR(__xludf.DUMMYFUNCTION("GOOGLETRANSLATE(E104, ""en"", ""bn"")"),"পেশাদার কাবাডি লীগ (হা-ডু-ডু লীগ) ২০১০ সালে চালু হয়েছিল, যা খেলাধুলার পেশাদারীকরণের দিকে একটি গুরুত্বপূর্ণ পদক্ষেপ।")</f>
        <v>পেশাদার কাবাডি লীগ (হা-ডু-ডু লীগ) ২০১০ সালে চালু হয়েছিল, যা খেলাধুলার পেশাদারীকরণের দিকে একটি গুরুত্বপূর্ণ পদক্ষেপ।</v>
      </c>
    </row>
    <row r="105">
      <c r="A105" s="13">
        <v>104.0</v>
      </c>
      <c r="B105" s="13" t="s">
        <v>1878</v>
      </c>
      <c r="C105" s="13" t="s">
        <v>1879</v>
      </c>
      <c r="D105" s="13" t="s">
        <v>1880</v>
      </c>
      <c r="E105" s="13" t="s">
        <v>1881</v>
      </c>
      <c r="J105" s="10" t="str">
        <f>IFERROR(__xludf.DUMMYFUNCTION("GOOGLETRANSLATE(A105, ""en"", ""bn"")"),"১০৪")</f>
        <v>১০৪</v>
      </c>
      <c r="K105" s="10" t="str">
        <f>IFERROR(__xludf.DUMMYFUNCTION("GOOGLETRANSLATE(B105, ""en"", ""bn"")"),"১৯৭০ এবং ৮০ এর দশকে হা-ডু-ডুর জনপ্রিয়তার মূল কারণ কী ছিল?")</f>
        <v>১৯৭০ এবং ৮০ এর দশকে হা-ডু-ডুর জনপ্রিয়তার মূল কারণ কী ছিল?</v>
      </c>
      <c r="L105" s="10" t="str">
        <f>IFERROR(__xludf.DUMMYFUNCTION("GOOGLETRANSLATE(C105, ""en"", ""bn"")"),"ক) সরকারি সহায়তা, খ) মিডিয়া কভারেজ, গ) আন্তর্জাতিক সাফল্য, ঘ) সেলিব্রিটিদের অনুমোদন")</f>
        <v>ক) সরকারি সহায়তা, খ) মিডিয়া কভারেজ, গ) আন্তর্জাতিক সাফল্য, ঘ) সেলিব্রিটিদের অনুমোদন</v>
      </c>
      <c r="M105" s="10" t="str">
        <f>IFERROR(__xludf.DUMMYFUNCTION("GOOGLETRANSLATE(D105, ""en"", ""bn"")"),"খ) মিডিয়া কভারেজ")</f>
        <v>খ) মিডিয়া কভারেজ</v>
      </c>
      <c r="N105" s="10" t="str">
        <f>IFERROR(__xludf.DUMMYFUNCTION("GOOGLETRANSLATE(E105, ""en"", ""bn"")"),"স্বাধীনতা-উত্তর যুগে টেলিভিশন এবং রেডিওর বর্ধিত প্রচারের ফলে খেলাটি জাতীয় দর্শকদের কাছে পৌঁছে যায়, যা এটিকে ঘরে ঘরে জনপ্রিয় করে তোলে।")</f>
        <v>স্বাধীনতা-উত্তর যুগে টেলিভিশন এবং রেডিওর বর্ধিত প্রচারের ফলে খেলাটি জাতীয় দর্শকদের কাছে পৌঁছে যায়, যা এটিকে ঘরে ঘরে জনপ্রিয় করে তোলে।</v>
      </c>
    </row>
    <row r="106">
      <c r="A106" s="13">
        <v>105.0</v>
      </c>
      <c r="B106" s="13" t="s">
        <v>1882</v>
      </c>
      <c r="C106" s="13" t="s">
        <v>1883</v>
      </c>
      <c r="D106" s="13" t="s">
        <v>1884</v>
      </c>
      <c r="E106" s="13" t="s">
        <v>1885</v>
      </c>
      <c r="J106" s="10" t="str">
        <f>IFERROR(__xludf.DUMMYFUNCTION("GOOGLETRANSLATE(A106, ""en"", ""bn"")"),"১০৫")</f>
        <v>১০৫</v>
      </c>
      <c r="K106" s="10" t="str">
        <f>IFERROR(__xludf.DUMMYFUNCTION("GOOGLETRANSLATE(B106, ""en"", ""bn"")"),"ঐতিহাসিকভাবে, হা-ডু-ডু খেলায় সবচেয়ে সাধারণ আঘাত কী ছিল?")</f>
        <v>ঐতিহাসিকভাবে, হা-ডু-ডু খেলায় সবচেয়ে সাধারণ আঘাত কী ছিল?</v>
      </c>
      <c r="L106" s="10" t="str">
        <f>IFERROR(__xludf.DUMMYFUNCTION("GOOGLETRANSLATE(C106, ""en"", ""bn"")"),"ক) ভাঙা হাড়, খ) গোড়ালি মচকে যাওয়া, গ) মাথায় আঘাত, ঘ) কাটা এবং ক্ষত")</f>
        <v>ক) ভাঙা হাড়, খ) গোড়ালি মচকে যাওয়া, গ) মাথায় আঘাত, ঘ) কাটা এবং ক্ষত</v>
      </c>
      <c r="M106" s="10" t="str">
        <f>IFERROR(__xludf.DUMMYFUNCTION("GOOGLETRANSLATE(D106, ""en"", ""bn"")"),"খ) গোড়ালি মচকে যাওয়া")</f>
        <v>খ) গোড়ালি মচকে যাওয়া</v>
      </c>
      <c r="N106" s="10" t="str">
        <f>IFERROR(__xludf.DUMMYFUNCTION("GOOGLETRANSLATE(E106, ""en"", ""bn"")"),"খেলার দ্রুতগতি এবং অসম খেলার পৃষ্ঠের কারণে, গোড়ালি এবং হাঁটুতে মচকে যাওয়া খুবই সাধারণ আঘাত ছিল।")</f>
        <v>খেলার দ্রুতগতি এবং অসম খেলার পৃষ্ঠের কারণে, গোড়ালি এবং হাঁটুতে মচকে যাওয়া খুবই সাধারণ আঘাত ছিল।</v>
      </c>
    </row>
    <row r="107">
      <c r="A107" s="13">
        <v>106.0</v>
      </c>
      <c r="B107" s="13" t="s">
        <v>1886</v>
      </c>
      <c r="C107" s="13" t="s">
        <v>1887</v>
      </c>
      <c r="D107" s="13" t="s">
        <v>1888</v>
      </c>
      <c r="E107" s="13" t="s">
        <v>1889</v>
      </c>
      <c r="J107" s="10" t="str">
        <f>IFERROR(__xludf.DUMMYFUNCTION("GOOGLETRANSLATE(A107, ""en"", ""bn"")"),"১০৬")</f>
        <v>১০৬</v>
      </c>
      <c r="K107" s="10" t="str">
        <f>IFERROR(__xludf.DUMMYFUNCTION("GOOGLETRANSLATE(B107, ""en"", ""bn"")"),"প্রথম আন্তঃকলেজ হা-ডু-ডু টুর্নামেন্ট কোন সালে আয়োজিত হয়েছিল?")</f>
        <v>প্রথম আন্তঃকলেজ হা-ডু-ডু টুর্নামেন্ট কোন সালে আয়োজিত হয়েছিল?</v>
      </c>
      <c r="L107" s="10" t="str">
        <f>IFERROR(__xludf.DUMMYFUNCTION("GOOGLETRANSLATE(C107, ""en"", ""bn"")"),"ক) ১৯৭৫, খ) ১৯৮২, গ) ১৯৯০, ঘ) ২০০০")</f>
        <v>ক) ১৯৭৫, খ) ১৯৮২, গ) ১৯৯০, ঘ) ২০০০</v>
      </c>
      <c r="M107" s="10" t="str">
        <f>IFERROR(__xludf.DUMMYFUNCTION("GOOGLETRANSLATE(D107, ""en"", ""bn"")"),"খ) ১৯৮২")</f>
        <v>খ) ১৯৮২</v>
      </c>
      <c r="N107" s="10" t="str">
        <f>IFERROR(__xludf.DUMMYFUNCTION("GOOGLETRANSLATE(E107, ""en"", ""bn"")"),"১৯৮২ সালে প্রথম আনুষ্ঠানিক আন্তঃকলেজ হা-ডু-ডু টুর্নামেন্ট অনুষ্ঠিত হয়, যা বাংলাদেশের শিক্ষা প্রতিষ্ঠানগুলিতে এই খেলাটিকে আরও প্রশস্ত করে।")</f>
        <v>১৯৮২ সালে প্রথম আনুষ্ঠানিক আন্তঃকলেজ হা-ডু-ডু টুর্নামেন্ট অনুষ্ঠিত হয়, যা বাংলাদেশের শিক্ষা প্রতিষ্ঠানগুলিতে এই খেলাটিকে আরও প্রশস্ত করে।</v>
      </c>
    </row>
    <row r="108">
      <c r="A108" s="13">
        <v>107.0</v>
      </c>
      <c r="B108" s="13" t="s">
        <v>1890</v>
      </c>
      <c r="C108" s="13" t="s">
        <v>1891</v>
      </c>
      <c r="D108" s="13" t="s">
        <v>1892</v>
      </c>
      <c r="E108" s="13" t="s">
        <v>1893</v>
      </c>
      <c r="J108" s="10" t="str">
        <f>IFERROR(__xludf.DUMMYFUNCTION("GOOGLETRANSLATE(A108, ""en"", ""bn"")"),"১০৭")</f>
        <v>১০৭</v>
      </c>
      <c r="K108" s="10" t="str">
        <f>IFERROR(__xludf.DUMMYFUNCTION("GOOGLETRANSLATE(B108, ""en"", ""bn"")"),"ব্রিটিশ ঔপনিবেশিক সরকারের হা-ডু-ডু-এর প্রতি অসম্মতির মূল কারণ কী ছিল?")</f>
        <v>ব্রিটিশ ঔপনিবেশিক সরকারের হা-ডু-ডু-এর প্রতি অসম্মতির মূল কারণ কী ছিল?</v>
      </c>
      <c r="L108" s="10" t="str">
        <f>IFERROR(__xludf.DUMMYFUNCTION("GOOGLETRANSLATE(C108, ""en"", ""bn"")"),"ক) এটি তাদের কর্তৃত্বের জন্য হুমকি হিসেবে দেখা হয়েছিল, খ) এটিকে অসম্পূর্ণ হিসেবে দেখা হয়েছিল, গ) এটি ছিল অত্যধিক শারীরিক এবং আঘাতের কারণ, ঘ) এটি ছিল বাঙালি জাতীয়তাবাদের প্রতীক")</f>
        <v>ক) এটি তাদের কর্তৃত্বের জন্য হুমকি হিসেবে দেখা হয়েছিল, খ) এটিকে অসম্পূর্ণ হিসেবে দেখা হয়েছিল, গ) এটি ছিল অত্যধিক শারীরিক এবং আঘাতের কারণ, ঘ) এটি ছিল বাঙালি জাতীয়তাবাদের প্রতীক</v>
      </c>
      <c r="M108" s="10" t="str">
        <f>IFERROR(__xludf.DUMMYFUNCTION("GOOGLETRANSLATE(D108, ""en"", ""bn"")"),"ঘ) এটি ছিল বাঙালি জাতীয়তাবাদের প্রতীক")</f>
        <v>ঘ) এটি ছিল বাঙালি জাতীয়তাবাদের প্রতীক</v>
      </c>
      <c r="N108" s="10" t="str">
        <f>IFERROR(__xludf.DUMMYFUNCTION("GOOGLETRANSLATE(E108, ""en"", ""bn"")"),"ব্রিটিশরা হা-ডু-ডুকে বাঙালি জাতীয়তাবাদের প্রতীক এবং স্থানীয় সম্প্রদায়ের সমাবেশস্থল হিসেবে দেখত, যা তারা প্রায়শই দমন করার চেষ্টা করত।")</f>
        <v>ব্রিটিশরা হা-ডু-ডুকে বাঙালি জাতীয়তাবাদের প্রতীক এবং স্থানীয় সম্প্রদায়ের সমাবেশস্থল হিসেবে দেখত, যা তারা প্রায়শই দমন করার চেষ্টা করত।</v>
      </c>
    </row>
    <row r="109">
      <c r="A109" s="13">
        <v>108.0</v>
      </c>
      <c r="B109" s="13" t="s">
        <v>1894</v>
      </c>
      <c r="C109" s="13" t="s">
        <v>1895</v>
      </c>
      <c r="D109" s="13" t="s">
        <v>1896</v>
      </c>
      <c r="E109" s="13" t="s">
        <v>1897</v>
      </c>
      <c r="J109" s="10" t="str">
        <f>IFERROR(__xludf.DUMMYFUNCTION("GOOGLETRANSLATE(A109, ""en"", ""bn"")"),"১০৮")</f>
        <v>১০৮</v>
      </c>
      <c r="K109" s="10" t="str">
        <f>IFERROR(__xludf.DUMMYFUNCTION("GOOGLETRANSLATE(B109, ""en"", ""bn"")"),"ঐতিহাসিক হা-ডু-ডুতে, আক্রমণকারীরা প্রায়শই রক্ষকদের বিভ্রান্ত করার জন্য কোন কৌশল ব্যবহার করত?")</f>
        <v>ঐতিহাসিক হা-ডু-ডুতে, আক্রমণকারীরা প্রায়শই রক্ষকদের বিভ্রান্ত করার জন্য কোন কৌশল ব্যবহার করত?</v>
      </c>
      <c r="L109" s="10" t="str">
        <f>IFERROR(__xludf.DUMMYFUNCTION("GOOGLETRANSLATE(C109, ""en"", ""bn"")"),"ক) স্পর্শের ভান করা, খ) পিছনে দৌড়ানো, গ) জোরে চিৎকার করা, ঘ) কাদা ছোঁড়া")</f>
        <v>ক) স্পর্শের ভান করা, খ) পিছনে দৌড়ানো, গ) জোরে চিৎকার করা, ঘ) কাদা ছোঁড়া</v>
      </c>
      <c r="M109" s="10" t="str">
        <f>IFERROR(__xludf.DUMMYFUNCTION("GOOGLETRANSLATE(D109, ""en"", ""bn"")"),"ক) স্পর্শের ভান করা")</f>
        <v>ক) স্পর্শের ভান করা</v>
      </c>
      <c r="N109" s="10" t="str">
        <f>IFERROR(__xludf.DUMMYFUNCTION("GOOGLETRANSLATE(E109, ""en"", ""bn"")"),"রেইডার প্রায়শই 'নকল স্পর্শ' বা ডিফেন্ডিং খেলোয়াড়দের বিভ্রান্ত করার জন্য একটি পদক্ষেপ নিত, একটি কৌশল যার জন্য প্রচুর তত্পরতা এবং দ্রুত চিন্তাভাবনার প্রয়োজন হত।")</f>
        <v>রেইডার প্রায়শই 'নকল স্পর্শ' বা ডিফেন্ডিং খেলোয়াড়দের বিভ্রান্ত করার জন্য একটি পদক্ষেপ নিত, একটি কৌশল যার জন্য প্রচুর তত্পরতা এবং দ্রুত চিন্তাভাবনার প্রয়োজন হত।</v>
      </c>
    </row>
    <row r="110">
      <c r="A110" s="13">
        <v>109.0</v>
      </c>
      <c r="B110" s="13" t="s">
        <v>1898</v>
      </c>
      <c r="C110" s="13" t="s">
        <v>1899</v>
      </c>
      <c r="D110" s="13" t="s">
        <v>1900</v>
      </c>
      <c r="E110" s="13" t="s">
        <v>1901</v>
      </c>
      <c r="J110" s="10" t="str">
        <f>IFERROR(__xludf.DUMMYFUNCTION("GOOGLETRANSLATE(A110, ""en"", ""bn"")"),"১০৯")</f>
        <v>১০৯</v>
      </c>
      <c r="K110" s="10" t="str">
        <f>IFERROR(__xludf.DUMMYFUNCTION("GOOGLETRANSLATE(B110, ""en"", ""bn"")"),"হা-ডু-ডু-এর আধুনিক নিয়মগুলি স্কোরিং বাড়ানোর জন্য কোন নতুন উপাদানটি চালু করেছে?")</f>
        <v>হা-ডু-ডু-এর আধুনিক নিয়মগুলি স্কোরিং বাড়ানোর জন্য কোন নতুন উপাদানটি চালু করেছে?</v>
      </c>
      <c r="L110" s="10" t="str">
        <f>IFERROR(__xludf.DUMMYFUNCTION("GOOGLETRANSLATE(C110, ""en"", ""bn"")"),"ক) 'সুপার ট্যাকল', খ) 'খালি অভিযান', গ) 'বোনাস পয়েন্ট', ঘ) 'টাচ লাইন'")</f>
        <v>ক) 'সুপার ট্যাকল', খ) 'খালি অভিযান', গ) 'বোনাস পয়েন্ট', ঘ) 'টাচ লাইন'</v>
      </c>
      <c r="M110" s="10" t="str">
        <f>IFERROR(__xludf.DUMMYFUNCTION("GOOGLETRANSLATE(D110, ""en"", ""bn"")"),"ক) 'সুপার ট্যাকল'")</f>
        <v>ক) 'সুপার ট্যাকল'</v>
      </c>
      <c r="N110" s="10" t="str">
        <f>IFERROR(__xludf.DUMMYFUNCTION("GOOGLETRANSLATE(E110, ""en"", ""bn"")"),"'সুপার ট্যাকল' নিয়মটি চালু করা হয়েছিল ডিফেন্ডিং দলকে মাত্র কয়েকজন খেলোয়াড় নিয়ে একটি রেইডারকে ট্যাকল করার জন্য পুরস্কৃত করার জন্য, যা খেলায় আরও উত্তেজনা যোগ করে।")</f>
        <v>'সুপার ট্যাকল' নিয়মটি চালু করা হয়েছিল ডিফেন্ডিং দলকে মাত্র কয়েকজন খেলোয়াড় নিয়ে একটি রেইডারকে ট্যাকল করার জন্য পুরস্কৃত করার জন্য, যা খেলায় আরও উত্তেজনা যোগ করে।</v>
      </c>
    </row>
    <row r="111">
      <c r="A111" s="13">
        <v>110.0</v>
      </c>
      <c r="B111" s="13" t="s">
        <v>1902</v>
      </c>
      <c r="C111" s="13" t="s">
        <v>1903</v>
      </c>
      <c r="D111" s="13" t="s">
        <v>1904</v>
      </c>
      <c r="E111" s="13" t="s">
        <v>1905</v>
      </c>
      <c r="J111" s="10" t="str">
        <f>IFERROR(__xludf.DUMMYFUNCTION("GOOGLETRANSLATE(A111, ""en"", ""bn"")"),"১১০")</f>
        <v>১১০</v>
      </c>
      <c r="K111" s="10" t="str">
        <f>IFERROR(__xludf.DUMMYFUNCTION("GOOGLETRANSLATE(B111, ""en"", ""bn"")"),"প্রাচীনকালে হা-ডু-ডু খেলার প্রাথমিক প্রেরণা কী ছিল?")</f>
        <v>প্রাচীনকালে হা-ডু-ডু খেলার প্রাথমিক প্রেরণা কী ছিল?</v>
      </c>
      <c r="L111" s="10" t="str">
        <f>IFERROR(__xludf.DUMMYFUNCTION("GOOGLETRANSLATE(C111, ""en"", ""bn"")"),"ক) সামাজিক মর্যাদার জন্য, খ) শারীরিক সুস্থতা এবং বিনোদনের জন্য, গ) ধর্মীয় উদ্দেশ্যে, ঘ) আর্থিক লাভের জন্য")</f>
        <v>ক) সামাজিক মর্যাদার জন্য, খ) শারীরিক সুস্থতা এবং বিনোদনের জন্য, গ) ধর্মীয় উদ্দেশ্যে, ঘ) আর্থিক লাভের জন্য</v>
      </c>
      <c r="M111" s="10" t="str">
        <f>IFERROR(__xludf.DUMMYFUNCTION("GOOGLETRANSLATE(D111, ""en"", ""bn"")"),"খ) শারীরিক সুস্থতা এবং বিনোদনের জন্য")</f>
        <v>খ) শারীরিক সুস্থতা এবং বিনোদনের জন্য</v>
      </c>
      <c r="N111" s="10" t="str">
        <f>IFERROR(__xludf.DUMMYFUNCTION("GOOGLETRANSLATE(E111, ""en"", ""bn"")"),"খেলাটি ছিল শারীরিক কার্যকলাপ এবং সামাজিক বিনোদনের মিশ্রণ, যা গ্রামীণ সম্প্রদায়ের মানুষের জন্য একটি সুস্থ পথ প্রদান করে।")</f>
        <v>খেলাটি ছিল শারীরিক কার্যকলাপ এবং সামাজিক বিনোদনের মিশ্রণ, যা গ্রামীণ সম্প্রদায়ের মানুষের জন্য একটি সুস্থ পথ প্রদান করে।</v>
      </c>
    </row>
    <row r="112">
      <c r="A112" s="13">
        <v>111.0</v>
      </c>
      <c r="B112" s="13" t="s">
        <v>1906</v>
      </c>
      <c r="C112" s="13" t="s">
        <v>1907</v>
      </c>
      <c r="D112" s="13" t="s">
        <v>1908</v>
      </c>
      <c r="E112" s="13" t="s">
        <v>1909</v>
      </c>
      <c r="J112" s="10" t="str">
        <f>IFERROR(__xludf.DUMMYFUNCTION("GOOGLETRANSLATE(A112, ""en"", ""bn"")"),"১১১")</f>
        <v>১১১</v>
      </c>
      <c r="K112" s="10" t="str">
        <f>IFERROR(__xludf.DUMMYFUNCTION("GOOGLETRANSLATE(B112, ""en"", ""bn"")"),"হা-ডু-ডু খেলার একজন খেলোয়াড়ের 'পুনরুজ্জীবন'-এর ঐতিহাসিক পরিভাষা কী ছিল?")</f>
        <v>হা-ডু-ডু খেলার একজন খেলোয়াড়ের 'পুনরুজ্জীবন'-এর ঐতিহাসিক পরিভাষা কী ছিল?</v>
      </c>
      <c r="L112" s="10" t="str">
        <f>IFERROR(__xludf.DUMMYFUNCTION("GOOGLETRANSLATE(C112, ""en"", ""bn"")"),"A) 'জীবন,' B) 'ধামাকা,' C) 'জিন্দা,' D) 'ফেরোট'")</f>
        <v>A) 'জীবন,' B) 'ধামাকা,' C) 'জিন্দা,' D) 'ফেরোট'</v>
      </c>
      <c r="M112" s="10" t="str">
        <f>IFERROR(__xludf.DUMMYFUNCTION("GOOGLETRANSLATE(D112, ""en"", ""bn"")"),"ক) 'জীবন'")</f>
        <v>ক) 'জীবন'</v>
      </c>
      <c r="N112" s="10" t="str">
        <f>IFERROR(__xludf.DUMMYFUNCTION("GOOGLETRANSLATE(E112, ""en"", ""bn"")"),"'জীবন' (যার অর্থ 'জীবন') শব্দটি এমন একজন খেলোয়াড়ের পুনরুজ্জীবনের জন্য ব্যবহৃত হত যাকে ট্যাগ আউট করা হয়েছিল, যা খেলার 'জীবনে' তাদের প্রত্যাবর্তনের প্রতীক।")</f>
        <v>'জীবন' (যার অর্থ 'জীবন') শব্দটি এমন একজন খেলোয়াড়ের পুনরুজ্জীবনের জন্য ব্যবহৃত হত যাকে ট্যাগ আউট করা হয়েছিল, যা খেলার 'জীবনে' তাদের প্রত্যাবর্তনের প্রতীক।</v>
      </c>
    </row>
    <row r="113">
      <c r="A113" s="13">
        <v>112.0</v>
      </c>
      <c r="B113" s="13" t="s">
        <v>1910</v>
      </c>
      <c r="C113" s="13" t="s">
        <v>1911</v>
      </c>
      <c r="D113" s="13" t="s">
        <v>1912</v>
      </c>
      <c r="E113" s="13" t="s">
        <v>1913</v>
      </c>
      <c r="J113" s="10" t="str">
        <f>IFERROR(__xludf.DUMMYFUNCTION("GOOGLETRANSLATE(A113, ""en"", ""bn"")"),"১১২")</f>
        <v>১১২</v>
      </c>
      <c r="K113" s="10" t="str">
        <f>IFERROR(__xludf.DUMMYFUNCTION("GOOGLETRANSLATE(B113, ""en"", ""bn"")"),"উনিশ শতকের শেষের দিকে, বাংলার কোন সামাজিক শ্রেণী হা-ডু-ডু সংরক্ষণে গুরুত্বপূর্ণ ভূমিকা পালন করেছিল?")</f>
        <v>উনিশ শতকের শেষের দিকে, বাংলার কোন সামাজিক শ্রেণী হা-ডু-ডু সংরক্ষণে গুরুত্বপূর্ণ ভূমিকা পালন করেছিল?</v>
      </c>
      <c r="L113" s="10" t="str">
        <f>IFERROR(__xludf.DUMMYFUNCTION("GOOGLETRANSLATE(C113, ""en"", ""bn"")"),"ক) জমিদার (জমিদার), খ) কৃষক, গ) শহুরে অভিজাতরা, ঘ) ব্রিটিশ প্রশাসকরা")</f>
        <v>ক) জমিদার (জমিদার), খ) কৃষক, গ) শহুরে অভিজাতরা, ঘ) ব্রিটিশ প্রশাসকরা</v>
      </c>
      <c r="M113" s="10" t="str">
        <f>IFERROR(__xludf.DUMMYFUNCTION("GOOGLETRANSLATE(D113, ""en"", ""bn"")"),"ক) জমিদাররা (জমিদার)")</f>
        <v>ক) জমিদাররা (জমিদার)</v>
      </c>
      <c r="N113" s="10" t="str">
        <f>IFERROR(__xludf.DUMMYFUNCTION("GOOGLETRANSLATE(E113, ""en"", ""bn"")"),"অনেক স্থানীয় জমিদার হা-ডু-ডুর মতো ঐতিহ্যবাহী খেলাধুলাকে সমর্থন ও পৃষ্ঠপোষকতা করতেন, সামাজিক বন্ধন এবং স্থানীয় রীতিনীতি বজায় রাখার জন্য তাদের জমিতে টুর্নামেন্ট আয়োজন করতেন।")</f>
        <v>অনেক স্থানীয় জমিদার হা-ডু-ডুর মতো ঐতিহ্যবাহী খেলাধুলাকে সমর্থন ও পৃষ্ঠপোষকতা করতেন, সামাজিক বন্ধন এবং স্থানীয় রীতিনীতি বজায় রাখার জন্য তাদের জমিতে টুর্নামেন্ট আয়োজন করতেন।</v>
      </c>
    </row>
    <row r="114">
      <c r="A114" s="13">
        <v>113.0</v>
      </c>
      <c r="B114" s="13" t="s">
        <v>1914</v>
      </c>
      <c r="C114" s="13" t="s">
        <v>1915</v>
      </c>
      <c r="D114" s="13" t="s">
        <v>1916</v>
      </c>
      <c r="E114" s="13" t="s">
        <v>1917</v>
      </c>
      <c r="J114" s="10" t="str">
        <f>IFERROR(__xludf.DUMMYFUNCTION("GOOGLETRANSLATE(A114, ""en"", ""bn"")"),"১১৩")</f>
        <v>১১৩</v>
      </c>
      <c r="K114" s="10" t="str">
        <f>IFERROR(__xludf.DUMMYFUNCTION("GOOGLETRANSLATE(B114, ""en"", ""bn"")"),"আনুষ্ঠানিক নিয়ম প্রতিষ্ঠার আগে হা-ডু-ডুতে 'রেফারিদের' ঐতিহাসিক ভূমিকা কী ছিল?")</f>
        <v>আনুষ্ঠানিক নিয়ম প্রতিষ্ঠার আগে হা-ডু-ডুতে 'রেফারিদের' ঐতিহাসিক ভূমিকা কী ছিল?</v>
      </c>
      <c r="L114" s="10" t="str">
        <f>IFERROR(__xludf.DUMMYFUNCTION("GOOGLETRANSLATE(C114, ""en"", ""bn"")"),"ক) তাদের বলা হত 'পঞ্চায়েত', খ) তাদের বলা হত 'গুরু', গ) তাদের বলা হত 'সাধু', ঘ) তাদের বলা হত 'বিচারক'")</f>
        <v>ক) তাদের বলা হত 'পঞ্চায়েত', খ) তাদের বলা হত 'গুরু', গ) তাদের বলা হত 'সাধু', ঘ) তাদের বলা হত 'বিচারক'</v>
      </c>
      <c r="M114" s="10" t="str">
        <f>IFERROR(__xludf.DUMMYFUNCTION("GOOGLETRANSLATE(D114, ""en"", ""bn"")"),"ক) তাদের 'পঞ্চায়েত' বলা হত")</f>
        <v>ক) তাদের 'পঞ্চায়েত' বলা হত</v>
      </c>
      <c r="N114" s="10" t="str">
        <f>IFERROR(__xludf.DUMMYFUNCTION("GOOGLETRANSLATE(E114, ""en"", ""bn"")"),"রেফারিিং প্রায়শই গ্রামের প্রবীণদের একটি দল দ্বারা পরিচালিত হত, যারা 'পঞ্চায়েত' নামে পরিচিত, যারা সম্মিলিতভাবে সিদ্ধান্ত গ্রহণ করত।")</f>
        <v>রেফারিিং প্রায়শই গ্রামের প্রবীণদের একটি দল দ্বারা পরিচালিত হত, যারা 'পঞ্চায়েত' নামে পরিচিত, যারা সম্মিলিতভাবে সিদ্ধান্ত গ্রহণ করত।</v>
      </c>
    </row>
    <row r="115">
      <c r="A115" s="13">
        <v>114.0</v>
      </c>
      <c r="B115" s="13" t="s">
        <v>1918</v>
      </c>
      <c r="C115" s="13" t="s">
        <v>1919</v>
      </c>
      <c r="D115" s="13" t="s">
        <v>1920</v>
      </c>
      <c r="E115" s="13" t="s">
        <v>1921</v>
      </c>
      <c r="J115" s="10" t="str">
        <f>IFERROR(__xludf.DUMMYFUNCTION("GOOGLETRANSLATE(A115, ""en"", ""bn"")"),"১১৪")</f>
        <v>১১৪</v>
      </c>
      <c r="K115" s="10" t="str">
        <f>IFERROR(__xludf.DUMMYFUNCTION("GOOGLETRANSLATE(B115, ""en"", ""bn"")"),"বর্ষাকালে হা-ডু-ডু খেলার মূল কারণ কী ছিল?")</f>
        <v>বর্ষাকালে হা-ডু-ডু খেলার মূল কারণ কী ছিল?</v>
      </c>
      <c r="L115" s="10" t="str">
        <f>IFERROR(__xludf.DUMMYFUNCTION("GOOGLETRANSLATE(C115, ""en"", ""bn"")"),"ক) কর্দমাক্ত মাটি ব্যবহার করা, খ) এটি ছিল একমাত্র সময় যখন মানুষের অবসর সময় ছিল, গ) এটি ছিল শীতল হওয়ার একটি উপায়, ঘ) এটি ছিল একটি ধর্মীয় আচার")</f>
        <v>ক) কর্দমাক্ত মাটি ব্যবহার করা, খ) এটি ছিল একমাত্র সময় যখন মানুষের অবসর সময় ছিল, গ) এটি ছিল শীতল হওয়ার একটি উপায়, ঘ) এটি ছিল একটি ধর্মীয় আচার</v>
      </c>
      <c r="M115" s="10" t="str">
        <f>IFERROR(__xludf.DUMMYFUNCTION("GOOGLETRANSLATE(D115, ""en"", ""bn"")"),"ক) কর্দমাক্ত মাটি ব্যবহার করা")</f>
        <v>ক) কর্দমাক্ত মাটি ব্যবহার করা</v>
      </c>
      <c r="N115" s="10" t="str">
        <f>IFERROR(__xludf.DUMMYFUNCTION("GOOGLETRANSLATE(E115, ""en"", ""bn"")"),"বর্ষার বৃষ্টির ফলে সৃষ্ট নরম, কর্দমাক্ত মাটি খেলাটিকে নিরাপদ করে তুলেছে, ফলে পতন এবং ট্যাকলের প্রভাব কম হয়েছে।")</f>
        <v>বর্ষার বৃষ্টির ফলে সৃষ্ট নরম, কর্দমাক্ত মাটি খেলাটিকে নিরাপদ করে তুলেছে, ফলে পতন এবং ট্যাকলের প্রভাব কম হয়েছে।</v>
      </c>
    </row>
    <row r="116">
      <c r="A116" s="13">
        <v>115.0</v>
      </c>
      <c r="B116" s="13" t="s">
        <v>1922</v>
      </c>
      <c r="C116" s="13" t="s">
        <v>1923</v>
      </c>
      <c r="D116" s="13" t="s">
        <v>1924</v>
      </c>
      <c r="E116" s="13" t="s">
        <v>1925</v>
      </c>
      <c r="J116" s="10" t="str">
        <f>IFERROR(__xludf.DUMMYFUNCTION("GOOGLETRANSLATE(A116, ""en"", ""bn"")"),"১১৫")</f>
        <v>১১৫</v>
      </c>
      <c r="K116" s="10" t="str">
        <f>IFERROR(__xludf.DUMMYFUNCTION("GOOGLETRANSLATE(B116, ""en"", ""bn"")"),"নিরাপদ থাকার জন্য আক্রমণকারীকে যে 'রেখা' অতিক্রম করতে হত তার ঐতিহাসিক পরিভাষা কী ছিল?")</f>
        <v>নিরাপদ থাকার জন্য আক্রমণকারীকে যে 'রেখা' অতিক্রম করতে হত তার ঐতিহাসিক পরিভাষা কী ছিল?</v>
      </c>
      <c r="L116" s="10" t="str">
        <f>IFERROR(__xludf.DUMMYFUNCTION("GOOGLETRANSLATE(C116, ""en"", ""bn"")"),"A) 'খাট,' B) 'রেখা,' C) 'সিমনা,' D) 'লক্ষ্মণ রেখা'")</f>
        <v>A) 'খাট,' B) 'রেখা,' C) 'সিমনা,' D) 'লক্ষ্মণ রেখা'</v>
      </c>
      <c r="M116" s="10" t="str">
        <f>IFERROR(__xludf.DUMMYFUNCTION("GOOGLETRANSLATE(D116, ""en"", ""bn"")"),"ঘ) 'লক্ষ্মণরেখা'")</f>
        <v>ঘ) 'লক্ষ্মণরেখা'</v>
      </c>
      <c r="N116" s="10" t="str">
        <f>IFERROR(__xludf.DUMMYFUNCTION("GOOGLETRANSLATE(E116, ""en"", ""bn"")"),"নিরাপদ রেখাকে প্রায়শই কাব্যিকভাবে 'লক্ষ্মণ রেখা' বলা হত, যা হিন্দু পুরাণ থেকে পাওয়া একটি শব্দ যা একটি অলঙ্ঘনীয় সীমানাকে নির্দেশ করে।")</f>
        <v>নিরাপদ রেখাকে প্রায়শই কাব্যিকভাবে 'লক্ষ্মণ রেখা' বলা হত, যা হিন্দু পুরাণ থেকে পাওয়া একটি শব্দ যা একটি অলঙ্ঘনীয় সীমানাকে নির্দেশ করে।</v>
      </c>
    </row>
    <row r="117">
      <c r="A117" s="13">
        <v>116.0</v>
      </c>
      <c r="B117" s="13" t="s">
        <v>1926</v>
      </c>
      <c r="C117" s="13" t="s">
        <v>1927</v>
      </c>
      <c r="D117" s="13" t="s">
        <v>1928</v>
      </c>
      <c r="E117" s="13" t="s">
        <v>1929</v>
      </c>
      <c r="J117" s="10" t="str">
        <f>IFERROR(__xludf.DUMMYFUNCTION("GOOGLETRANSLATE(A117, ""en"", ""bn"")"),"১১৬")</f>
        <v>১১৬</v>
      </c>
      <c r="K117" s="10" t="str">
        <f>IFERROR(__xludf.DUMMYFUNCTION("GOOGLETRANSLATE(B117, ""en"", ""bn"")"),"আন্তর্জাতিক দলগুলির সাথে প্রথম আনুষ্ঠানিক হা-ডু-ডু ম্যাচটি কোন সালে অনুষ্ঠিত হয়েছিল?")</f>
        <v>আন্তর্জাতিক দলগুলির সাথে প্রথম আনুষ্ঠানিক হা-ডু-ডু ম্যাচটি কোন সালে অনুষ্ঠিত হয়েছিল?</v>
      </c>
      <c r="L117" s="10" t="str">
        <f>IFERROR(__xludf.DUMMYFUNCTION("GOOGLETRANSLATE(C117, ""en"", ""bn"")"),"ক) ১৯৭৮, খ) ১৯৮০, গ) ১৯৮২, ঘ) ১৯৮৫")</f>
        <v>ক) ১৯৭৮, খ) ১৯৮০, গ) ১৯৮২, ঘ) ১৯৮৫</v>
      </c>
      <c r="M117" s="10" t="str">
        <f>IFERROR(__xludf.DUMMYFUNCTION("GOOGLETRANSLATE(D117, ""en"", ""bn"")"),"ক) ১৯৭৮")</f>
        <v>ক) ১৯৭৮</v>
      </c>
      <c r="N117" s="10" t="str">
        <f>IFERROR(__xludf.DUMMYFUNCTION("GOOGLETRANSLATE(E117, ""en"", ""bn"")"),"প্রথম আন্তর্জাতিক ম্যাচটি ১৯৭৮ সালে এশিয়ান গেমসের অংশ হিসেবে অনুষ্ঠিত হয়েছিল, যেখানে হা-ডু-ডু একটি প্রদর্শনী খেলা হিসেবে খেলা হয়েছিল।")</f>
        <v>প্রথম আন্তর্জাতিক ম্যাচটি ১৯৭৮ সালে এশিয়ান গেমসের অংশ হিসেবে অনুষ্ঠিত হয়েছিল, যেখানে হা-ডু-ডু একটি প্রদর্শনী খেলা হিসেবে খেলা হয়েছিল।</v>
      </c>
    </row>
    <row r="118">
      <c r="A118" s="13">
        <v>117.0</v>
      </c>
      <c r="B118" s="13" t="s">
        <v>1930</v>
      </c>
      <c r="C118" s="13" t="s">
        <v>1931</v>
      </c>
      <c r="D118" s="13" t="s">
        <v>1932</v>
      </c>
      <c r="E118" s="13" t="s">
        <v>1933</v>
      </c>
      <c r="J118" s="10" t="str">
        <f>IFERROR(__xludf.DUMMYFUNCTION("GOOGLETRANSLATE(A118, ""en"", ""bn"")"),"১১৭")</f>
        <v>১১৭</v>
      </c>
      <c r="K118" s="10" t="str">
        <f>IFERROR(__xludf.DUMMYFUNCTION("GOOGLETRANSLATE(B118, ""en"", ""bn"")"),"'হা-ডু-ডু' নামটি কোন ভাষা থেকে এসেছে?")</f>
        <v>'হা-ডু-ডু' নামটি কোন ভাষা থেকে এসেছে?</v>
      </c>
      <c r="L118" s="10" t="str">
        <f>IFERROR(__xludf.DUMMYFUNCTION("GOOGLETRANSLATE(C118, ""en"", ""bn"")"),"ক) বাংলা, খ) সংস্কৃত, গ) হিন্দি, ঘ) ফারসি")</f>
        <v>ক) বাংলা, খ) সংস্কৃত, গ) হিন্দি, ঘ) ফারসি</v>
      </c>
      <c r="M118" s="10" t="str">
        <f>IFERROR(__xludf.DUMMYFUNCTION("GOOGLETRANSLATE(D118, ""en"", ""bn"")"),"ক) বাংলা")</f>
        <v>ক) বাংলা</v>
      </c>
      <c r="N118" s="10" t="str">
        <f>IFERROR(__xludf.DUMMYFUNCTION("GOOGLETRANSLATE(E118, ""en"", ""bn"")"),"নামটি সম্পূর্ণরূপে বাংলা, একটি অনম্যাটোপোইয়া যা রেইডারের অনন্য এবং অবিচ্ছিন্ন মন্ত্র থেকে উদ্ভূত।")</f>
        <v>নামটি সম্পূর্ণরূপে বাংলা, একটি অনম্যাটোপোইয়া যা রেইডারের অনন্য এবং অবিচ্ছিন্ন মন্ত্র থেকে উদ্ভূত।</v>
      </c>
    </row>
    <row r="119">
      <c r="A119" s="13">
        <v>118.0</v>
      </c>
      <c r="B119" s="13" t="s">
        <v>1934</v>
      </c>
      <c r="C119" s="13" t="s">
        <v>1935</v>
      </c>
      <c r="D119" s="13" t="s">
        <v>1936</v>
      </c>
      <c r="E119" s="13" t="s">
        <v>1937</v>
      </c>
      <c r="J119" s="10" t="str">
        <f>IFERROR(__xludf.DUMMYFUNCTION("GOOGLETRANSLATE(A119, ""en"", ""bn"")"),"১১৮")</f>
        <v>১১৮</v>
      </c>
      <c r="K119" s="10" t="str">
        <f>IFERROR(__xludf.DUMMYFUNCTION("GOOGLETRANSLATE(B119, ""en"", ""bn"")"),"ঐতিহাসিকভাবে, হা-ডু-ডু ম্যাচে দুটি দল কীভাবে একে অপরের থেকে আলাদা ছিল?")</f>
        <v>ঐতিহাসিকভাবে, হা-ডু-ডু ম্যাচে দুটি দল কীভাবে একে অপরের থেকে আলাদা ছিল?</v>
      </c>
      <c r="L119" s="10" t="str">
        <f>IFERROR(__xludf.DUMMYFUNCTION("GOOGLETRANSLATE(C119, ""en"", ""bn"")"),"ক) ভিন্ন রঙের পোশাক পরে, খ) একজন অধিনায়কের বাহুবন্ধনী দ্বারা, গ) ভিন্ন দলের মন্ত্র দ্বারা, ঘ) একটি দলের পতাকা দ্বারা")</f>
        <v>ক) ভিন্ন রঙের পোশাক পরে, খ) একজন অধিনায়কের বাহুবন্ধনী দ্বারা, গ) ভিন্ন দলের মন্ত্র দ্বারা, ঘ) একটি দলের পতাকা দ্বারা</v>
      </c>
      <c r="M119" s="10" t="str">
        <f>IFERROR(__xludf.DUMMYFUNCTION("GOOGLETRANSLATE(D119, ""en"", ""bn"")"),"খ) একজন ক্যাপ্টেনের বাহুবন্ধনী দ্বারা")</f>
        <v>খ) একজন ক্যাপ্টেনের বাহুবন্ধনী দ্বারা</v>
      </c>
      <c r="N119" s="10" t="str">
        <f>IFERROR(__xludf.DUMMYFUNCTION("GOOGLETRANSLATE(E119, ""en"", ""bn"")"),"দুটি দলের মধ্যে পার্থক্য বোঝাতে প্রায়শই একটি সাধারণ অধিনায়কের আর্মব্যান্ড বা কাপড়ের টুকরো ব্যবহার করা হত।")</f>
        <v>দুটি দলের মধ্যে পার্থক্য বোঝাতে প্রায়শই একটি সাধারণ অধিনায়কের আর্মব্যান্ড বা কাপড়ের টুকরো ব্যবহার করা হত।</v>
      </c>
    </row>
    <row r="120">
      <c r="A120" s="13">
        <v>119.0</v>
      </c>
      <c r="B120" s="13" t="s">
        <v>1938</v>
      </c>
      <c r="C120" s="13" t="s">
        <v>1939</v>
      </c>
      <c r="D120" s="13" t="s">
        <v>1940</v>
      </c>
      <c r="E120" s="13" t="s">
        <v>1941</v>
      </c>
      <c r="J120" s="10" t="str">
        <f>IFERROR(__xludf.DUMMYFUNCTION("GOOGLETRANSLATE(A120, ""en"", ""bn"")"),"১১৯")</f>
        <v>১১৯</v>
      </c>
      <c r="K120" s="10" t="str">
        <f>IFERROR(__xludf.DUMMYFUNCTION("GOOGLETRANSLATE(B120, ""en"", ""bn"")"),"হা-ডু-ডুতে 'স্পর্শ'-এর ঐতিহাসিক তাৎপর্য কী ছিল?")</f>
        <v>হা-ডু-ডুতে 'স্পর্শ'-এর ঐতিহাসিক তাৎপর্য কী ছিল?</v>
      </c>
      <c r="L120" s="10" t="str">
        <f>IFERROR(__xludf.DUMMYFUNCTION("GOOGLETRANSLATE(C120, ""en"", ""bn"")"),"ক) এটি ছিল শ্রদ্ধার প্রতীক, খ) এটি ছিল একটি পয়েন্ট অর্জনের প্রতীক, গ) এটি ছিল রেফারির প্রতি একটি সংকেত, ঘ) এটি ছিল যুদ্ধবিরতি দেখানোর একটি উপায়।")</f>
        <v>ক) এটি ছিল শ্রদ্ধার প্রতীক, খ) এটি ছিল একটি পয়েন্ট অর্জনের প্রতীক, গ) এটি ছিল রেফারির প্রতি একটি সংকেত, ঘ) এটি ছিল যুদ্ধবিরতি দেখানোর একটি উপায়।</v>
      </c>
      <c r="M120" s="10" t="str">
        <f>IFERROR(__xludf.DUMMYFUNCTION("GOOGLETRANSLATE(D120, ""en"", ""bn"")"),"খ) এটি একটি পয়েন্ট অর্জনের লক্ষণ ছিল")</f>
        <v>খ) এটি একটি পয়েন্ট অর্জনের লক্ষণ ছিল</v>
      </c>
      <c r="N120" s="10" t="str">
        <f>IFERROR(__xludf.DUMMYFUNCTION("GOOGLETRANSLATE(E120, ""en"", ""bn"")"),"একজন রেইডারের প্রতিপক্ষকে স্পর্শ করে তাদের দলে ফিরে আসার সহজ কাজটি ছিল পয়েন্ট অর্জনের ঐতিহাসিক এবং মৌলিক উপায়।")</f>
        <v>একজন রেইডারের প্রতিপক্ষকে স্পর্শ করে তাদের দলে ফিরে আসার সহজ কাজটি ছিল পয়েন্ট অর্জনের ঐতিহাসিক এবং মৌলিক উপায়।</v>
      </c>
    </row>
    <row r="121">
      <c r="A121" s="13">
        <v>120.0</v>
      </c>
      <c r="B121" s="13" t="s">
        <v>1942</v>
      </c>
      <c r="C121" s="13" t="s">
        <v>1943</v>
      </c>
      <c r="D121" s="13" t="s">
        <v>1944</v>
      </c>
      <c r="E121" s="13" t="s">
        <v>1945</v>
      </c>
      <c r="J121" s="10" t="str">
        <f>IFERROR(__xludf.DUMMYFUNCTION("GOOGLETRANSLATE(A121, ""en"", ""bn"")"),"১২০")</f>
        <v>১২০</v>
      </c>
      <c r="K121" s="10" t="str">
        <f>IFERROR(__xludf.DUMMYFUNCTION("GOOGLETRANSLATE(B121, ""en"", ""bn"")"),"ঐতিহাসিক হা-ডু-ডু ম্যাচে জনতা বা দর্শকদের ভূমিকা কী ছিল?")</f>
        <v>ঐতিহাসিক হা-ডু-ডু ম্যাচে জনতা বা দর্শকদের ভূমিকা কী ছিল?</v>
      </c>
      <c r="L121" s="10" t="str">
        <f>IFERROR(__xludf.DUMMYFUNCTION("GOOGLETRANSLATE(C121, ""en"", ""bn"")"),"ক) তারা তৃতীয় দল হিসেবে কাজ করেছিল, খ) তারা নীরব পর্যবেক্ষক ছিল, গ) তারা জুরির অংশ ছিল, ঘ) খেলোয়াড়দের অনুপ্রাণিত করার জন্য তারা স্লোগান দিয়েছিল এবং উল্লাস করেছিল")</f>
        <v>ক) তারা তৃতীয় দল হিসেবে কাজ করেছিল, খ) তারা নীরব পর্যবেক্ষক ছিল, গ) তারা জুরির অংশ ছিল, ঘ) খেলোয়াড়দের অনুপ্রাণিত করার জন্য তারা স্লোগান দিয়েছিল এবং উল্লাস করেছিল</v>
      </c>
      <c r="M121" s="10" t="str">
        <f>IFERROR(__xludf.DUMMYFUNCTION("GOOGLETRANSLATE(D121, ""en"", ""bn"")"),"ঘ) খেলোয়াড়দের অনুপ্রাণিত করার জন্য তারা স্লোগান ও উল্লাস করেছিল")</f>
        <v>ঘ) খেলোয়াড়দের অনুপ্রাণিত করার জন্য তারা স্লোগান ও উল্লাস করেছিল</v>
      </c>
      <c r="N121" s="10" t="str">
        <f>IFERROR(__xludf.DUMMYFUNCTION("GOOGLETRANSLATE(E121, ""en"", ""bn"")"),"জনতা গুরুত্বপূর্ণ ভূমিকা পালন করেছিল, তারা স্লোগান এবং জোরে চিৎকার করে একটি গতিশীল পরিবেশ তৈরি করেছিল এবং তাদের প্রিয় দলগুলিকে উৎসাহিত করেছিল।")</f>
        <v>জনতা গুরুত্বপূর্ণ ভূমিকা পালন করেছিল, তারা স্লোগান এবং জোরে চিৎকার করে একটি গতিশীল পরিবেশ তৈরি করেছিল এবং তাদের প্রিয় দলগুলিকে উৎসাহিত করেছিল।</v>
      </c>
    </row>
    <row r="122">
      <c r="A122" s="13">
        <v>121.0</v>
      </c>
      <c r="B122" s="13" t="s">
        <v>1946</v>
      </c>
      <c r="C122" s="13" t="s">
        <v>1947</v>
      </c>
      <c r="D122" s="13" t="s">
        <v>1948</v>
      </c>
      <c r="E122" s="13" t="s">
        <v>1949</v>
      </c>
      <c r="J122" s="10" t="str">
        <f>IFERROR(__xludf.DUMMYFUNCTION("GOOGLETRANSLATE(A122, ""en"", ""bn"")"),"১২১")</f>
        <v>১২১</v>
      </c>
      <c r="K122" s="10" t="str">
        <f>IFERROR(__xludf.DUMMYFUNCTION("GOOGLETRANSLATE(B122, ""en"", ""bn"")"),"কোন রাজবংশের রাজত্বকালে লোকসংস্কৃতির অংশ হিসেবে হা-ডু-ডু খেলাটি বিকশিত হয়েছিল?")</f>
        <v>কোন রাজবংশের রাজত্বকালে লোকসংস্কৃতির অংশ হিসেবে হা-ডু-ডু খেলাটি বিকশিত হয়েছিল?</v>
      </c>
      <c r="L122" s="10" t="str">
        <f>IFERROR(__xludf.DUMMYFUNCTION("GOOGLETRANSLATE(C122, ""en"", ""bn"")"),"ক) সেন রাজবংশ, খ) পাল রাজবংশ, গ) মুঘল সাম্রাজ্য, ঘ) বাংলার সালতানাত")</f>
        <v>ক) সেন রাজবংশ, খ) পাল রাজবংশ, গ) মুঘল সাম্রাজ্য, ঘ) বাংলার সালতানাত</v>
      </c>
      <c r="M122" s="10" t="str">
        <f>IFERROR(__xludf.DUMMYFUNCTION("GOOGLETRANSLATE(D122, ""en"", ""bn"")"),"ঘ) বাংলার সালতানাত")</f>
        <v>ঘ) বাংলার সালতানাত</v>
      </c>
      <c r="N122" s="10" t="str">
        <f>IFERROR(__xludf.DUMMYFUNCTION("GOOGLETRANSLATE(E122, ""en"", ""bn"")"),"বাংলার সুলতানি আমলে স্থানীয় লোকসংস্কৃতি, যার মধ্যে ছিল হা-ডু-ডু, সমগ্র অঞ্চলে সমৃদ্ধি লাভ এবং ছড়িয়ে পড়ার জন্য একটি অনুকূল পরিবেশ তৈরি হয়েছিল।")</f>
        <v>বাংলার সুলতানি আমলে স্থানীয় লোকসংস্কৃতি, যার মধ্যে ছিল হা-ডু-ডু, সমগ্র অঞ্চলে সমৃদ্ধি লাভ এবং ছড়িয়ে পড়ার জন্য একটি অনুকূল পরিবেশ তৈরি হয়েছিল।</v>
      </c>
    </row>
    <row r="123">
      <c r="A123" s="13">
        <v>122.0</v>
      </c>
      <c r="B123" s="13" t="s">
        <v>1950</v>
      </c>
      <c r="C123" s="13" t="s">
        <v>1951</v>
      </c>
      <c r="D123" s="13" t="s">
        <v>1952</v>
      </c>
      <c r="E123" s="13" t="s">
        <v>1953</v>
      </c>
      <c r="J123" s="10" t="str">
        <f>IFERROR(__xludf.DUMMYFUNCTION("GOOGLETRANSLATE(A123, ""en"", ""bn"")"),"১২২")</f>
        <v>১২২</v>
      </c>
      <c r="K123" s="10" t="str">
        <f>IFERROR(__xludf.DUMMYFUNCTION("GOOGLETRANSLATE(B123, ""en"", ""bn"")"),"ঐতিহাসিকভাবে রক্ষণভাগের দল আক্রমণকারীকে ফাঁদে ফেলার জন্য কোন ধরণের কৌশলগত পদক্ষেপ ব্যবহার করেছিল?")</f>
        <v>ঐতিহাসিকভাবে রক্ষণভাগের দল আক্রমণকারীকে ফাঁদে ফেলার জন্য কোন ধরণের কৌশলগত পদক্ষেপ ব্যবহার করেছিল?</v>
      </c>
      <c r="L123" s="10" t="str">
        <f>IFERROR(__xludf.DUMMYFUNCTION("GOOGLETRANSLATE(C123, ""en"", ""bn"")"),"ক) 'সুপার চেইন', খ) 'গ্রুপ ট্যাকল', গ) 'কোণার ব্লক', ঘ) 'মানব প্রাচীর'")</f>
        <v>ক) 'সুপার চেইন', খ) 'গ্রুপ ট্যাকল', গ) 'কোণার ব্লক', ঘ) 'মানব প্রাচীর'</v>
      </c>
      <c r="M123" s="10" t="str">
        <f>IFERROR(__xludf.DUMMYFUNCTION("GOOGLETRANSLATE(D123, ""en"", ""bn"")"),"ঘ) 'মানব প্রাচীর'")</f>
        <v>ঘ) 'মানব প্রাচীর'</v>
      </c>
      <c r="N123" s="10" t="str">
        <f>IFERROR(__xludf.DUMMYFUNCTION("GOOGLETRANSLATE(E123, ""en"", ""bn"")"),"রক্ষণভাগের খেলোয়াড়রা প্রায়শই অস্ত্র সংযুক্ত করে একটি শক্ত 'মানব প্রাচীর' তৈরি করত, যার ফলে আক্রমণকারীর পক্ষে স্পর্শের পরে পালানো প্রায় অসম্ভব হয়ে পড়ত।")</f>
        <v>রক্ষণভাগের খেলোয়াড়রা প্রায়শই অস্ত্র সংযুক্ত করে একটি শক্ত 'মানব প্রাচীর' তৈরি করত, যার ফলে আক্রমণকারীর পক্ষে স্পর্শের পরে পালানো প্রায় অসম্ভব হয়ে পড়ত।</v>
      </c>
    </row>
    <row r="124">
      <c r="A124" s="13">
        <v>123.0</v>
      </c>
      <c r="B124" s="13" t="s">
        <v>1954</v>
      </c>
      <c r="C124" s="13" t="s">
        <v>1955</v>
      </c>
      <c r="D124" s="13" t="s">
        <v>1829</v>
      </c>
      <c r="E124" s="13" t="s">
        <v>1956</v>
      </c>
      <c r="J124" s="10" t="str">
        <f>IFERROR(__xludf.DUMMYFUNCTION("GOOGLETRANSLATE(A124, ""en"", ""bn"")"),"১২৩")</f>
        <v>১২৩</v>
      </c>
      <c r="K124" s="10" t="str">
        <f>IFERROR(__xludf.DUMMYFUNCTION("GOOGLETRANSLATE(B124, ""en"", ""bn"")"),"বাংলাদেশের প্রথম প্রধান কর্পোরেট-স্পন্সরিত হা-ডু-ডু টুর্নামেন্ট কোন শহরে অনুষ্ঠিত হয়েছিল?")</f>
        <v>বাংলাদেশের প্রথম প্রধান কর্পোরেট-স্পন্সরিত হা-ডু-ডু টুর্নামেন্ট কোন শহরে অনুষ্ঠিত হয়েছিল?</v>
      </c>
      <c r="L124" s="10" t="str">
        <f>IFERROR(__xludf.DUMMYFUNCTION("GOOGLETRANSLATE(C124, ""en"", ""bn"")"),"ক) সিলেট, খ) চট্টগ্রাম, গ) ঢাকা, ঘ) খুলনা")</f>
        <v>ক) সিলেট, খ) চট্টগ্রাম, গ) ঢাকা, ঘ) খুলনা</v>
      </c>
      <c r="M124" s="10" t="str">
        <f>IFERROR(__xludf.DUMMYFUNCTION("GOOGLETRANSLATE(D124, ""en"", ""bn"")"),"গ) ঢাকা")</f>
        <v>গ) ঢাকা</v>
      </c>
      <c r="N124" s="10" t="str">
        <f>IFERROR(__xludf.DUMMYFUNCTION("GOOGLETRANSLATE(E124, ""en"", ""bn"")"),"প্রথম বৃহৎ কর্পোরেট-স্পন্সরকৃত টুর্নামেন্টটি ঢাকায় অনুষ্ঠিত হয়েছিল, যা খেলাধুলার লোকজ খেলা থেকে পেশাদার খেলায় রূপান্তরকে চিহ্নিত করে।")</f>
        <v>প্রথম বৃহৎ কর্পোরেট-স্পন্সরকৃত টুর্নামেন্টটি ঢাকায় অনুষ্ঠিত হয়েছিল, যা খেলাধুলার লোকজ খেলা থেকে পেশাদার খেলায় রূপান্তরকে চিহ্নিত করে।</v>
      </c>
    </row>
    <row r="125">
      <c r="A125" s="13">
        <v>124.0</v>
      </c>
      <c r="B125" s="13" t="s">
        <v>1957</v>
      </c>
      <c r="C125" s="13" t="s">
        <v>1958</v>
      </c>
      <c r="D125" s="13" t="s">
        <v>1959</v>
      </c>
      <c r="E125" s="13" t="s">
        <v>1960</v>
      </c>
      <c r="J125" s="10" t="str">
        <f>IFERROR(__xludf.DUMMYFUNCTION("GOOGLETRANSLATE(A125, ""en"", ""bn"")"),"১২৪")</f>
        <v>১২৪</v>
      </c>
      <c r="K125" s="10" t="str">
        <f>IFERROR(__xludf.DUMMYFUNCTION("GOOGLETRANSLATE(B125, ""en"", ""bn"")"),"যে দলের সমস্ত খেলোয়াড়কে বাদ দেওয়া হয়েছিল, তার ঐতিহাসিক নাম কী ছিল?")</f>
        <v>যে দলের সমস্ত খেলোয়াড়কে বাদ দেওয়া হয়েছিল, তার ঐতিহাসিক নাম কী ছিল?</v>
      </c>
      <c r="L125" s="10" t="str">
        <f>IFERROR(__xludf.DUMMYFUNCTION("GOOGLETRANSLATE(C125, ""en"", ""bn"")"),"A) 'শুন্যো,' B) 'শিকার,' C) 'শরবোতোষ,' D) 'অল আউট'")</f>
        <v>A) 'শুন্যো,' B) 'শিকার,' C) 'শরবোতোষ,' D) 'অল আউট'</v>
      </c>
      <c r="M125" s="10" t="str">
        <f>IFERROR(__xludf.DUMMYFUNCTION("GOOGLETRANSLATE(D125, ""en"", ""bn"")"),"ঘ) 'অল আউট'")</f>
        <v>ঘ) 'অল আউট'</v>
      </c>
      <c r="N125" s="10" t="str">
        <f>IFERROR(__xludf.DUMMYFUNCTION("GOOGLETRANSLATE(E125, ""en"", ""bn"")"),"কাবাডি থেকে ধার করা 'অল আউট' শব্দটি ছিল ঐতিহাসিক এবং এখনও প্রচলিত শব্দ, যখন একটি দলের পুরো লাইনআপ বাদ পড়ে।")</f>
        <v>কাবাডি থেকে ধার করা 'অল আউট' শব্দটি ছিল ঐতিহাসিক এবং এখনও প্রচলিত শব্দ, যখন একটি দলের পুরো লাইনআপ বাদ পড়ে।</v>
      </c>
    </row>
    <row r="126">
      <c r="A126" s="13">
        <v>125.0</v>
      </c>
      <c r="B126" s="13" t="s">
        <v>1961</v>
      </c>
      <c r="C126" s="13" t="s">
        <v>1962</v>
      </c>
      <c r="D126" s="13" t="s">
        <v>1963</v>
      </c>
      <c r="E126" s="13" t="s">
        <v>1964</v>
      </c>
      <c r="J126" s="10" t="str">
        <f>IFERROR(__xludf.DUMMYFUNCTION("GOOGLETRANSLATE(A126, ""en"", ""bn"")"),"১২৫")</f>
        <v>১২৫</v>
      </c>
      <c r="K126" s="10" t="str">
        <f>IFERROR(__xludf.DUMMYFUNCTION("GOOGLETRANSLATE(B126, ""en"", ""bn"")"),"হা-ডু-ডু মূলত দক্ষতা এবং তত্পরতার খেলা হিসেবে খেলা হত। কোন ঐতিহাসিক ঘটনা এটিকে আরও শারীরিক, যুদ্ধের মতো খেলায় রূপান্তরিত করেছিল?")</f>
        <v>হা-ডু-ডু মূলত দক্ষতা এবং তত্পরতার খেলা হিসেবে খেলা হত। কোন ঐতিহাসিক ঘটনা এটিকে আরও শারীরিক, যুদ্ধের মতো খেলায় রূপান্তরিত করেছিল?</v>
      </c>
      <c r="L126" s="10" t="str">
        <f>IFERROR(__xludf.DUMMYFUNCTION("GOOGLETRANSLATE(C126, ""en"", ""bn"")"),"ক) আন্তঃগ্রাম দ্বন্দ্ব, খ) কুস্তির প্রভাব, গ) শারীরিক প্রশিক্ষণের প্রয়োজনীয়তা, ঘ) নতুন নিয়মের ব্যবহার")</f>
        <v>ক) আন্তঃগ্রাম দ্বন্দ্ব, খ) কুস্তির প্রভাব, গ) শারীরিক প্রশিক্ষণের প্রয়োজনীয়তা, ঘ) নতুন নিয়মের ব্যবহার</v>
      </c>
      <c r="M126" s="10" t="str">
        <f>IFERROR(__xludf.DUMMYFUNCTION("GOOGLETRANSLATE(D126, ""en"", ""bn"")"),"খ) কুস্তির প্রভাব")</f>
        <v>খ) কুস্তির প্রভাব</v>
      </c>
      <c r="N126" s="10" t="str">
        <f>IFERROR(__xludf.DUMMYFUNCTION("GOOGLETRANSLATE(E126, ""en"", ""bn"")"),"খেলার শারীরিক উপাদান, যেমন ট্যাকলিং এবং গ্র্যাপলিং, ঐতিহ্যবাহী কুস্তি দ্বারা ব্যাপকভাবে প্রভাবিত ছিল, যা এই অঞ্চলেও জনপ্রিয় ছিল।")</f>
        <v>খেলার শারীরিক উপাদান, যেমন ট্যাকলিং এবং গ্র্যাপলিং, ঐতিহ্যবাহী কুস্তি দ্বারা ব্যাপকভাবে প্রভাবিত ছিল, যা এই অঞ্চলেও জনপ্রিয় ছিল।</v>
      </c>
    </row>
    <row r="127">
      <c r="A127" s="13">
        <v>126.0</v>
      </c>
      <c r="B127" s="13" t="s">
        <v>1965</v>
      </c>
      <c r="C127" s="13" t="s">
        <v>1966</v>
      </c>
      <c r="D127" s="13" t="s">
        <v>1967</v>
      </c>
      <c r="E127" s="13" t="s">
        <v>1968</v>
      </c>
      <c r="J127" s="10" t="str">
        <f>IFERROR(__xludf.DUMMYFUNCTION("GOOGLETRANSLATE(A127, ""en"", ""bn"")"),"১২৬")</f>
        <v>১২৬</v>
      </c>
      <c r="K127" s="10" t="str">
        <f>IFERROR(__xludf.DUMMYFUNCTION("GOOGLETRANSLATE(B127, ""en"", ""bn"")"),"বাংলার ঐতিহাসিক প্রেক্ষাপটে, হা-ডু-ডু টুর্নামেন্টের তহবিলের প্রাথমিক উৎস কী ছিল?")</f>
        <v>বাংলার ঐতিহাসিক প্রেক্ষাপটে, হা-ডু-ডু টুর্নামেন্টের তহবিলের প্রাথমিক উৎস কী ছিল?</v>
      </c>
      <c r="L127" s="10" t="str">
        <f>IFERROR(__xludf.DUMMYFUNCTION("GOOGLETRANSLATE(C127, ""en"", ""bn"")"),"ক) সরকারি অনুদান, খ) বেসরকারি পৃষ্ঠপোষকতা, গ) সরকারি অনুদান, ঘ) ধনী জমিদার বা জমিদার")</f>
        <v>ক) সরকারি অনুদান, খ) বেসরকারি পৃষ্ঠপোষকতা, গ) সরকারি অনুদান, ঘ) ধনী জমিদার বা জমিদার</v>
      </c>
      <c r="M127" s="10" t="str">
        <f>IFERROR(__xludf.DUMMYFUNCTION("GOOGLETRANSLATE(D127, ""en"", ""bn"")"),"ঘ) ধনী জমিদার বা জমিদার")</f>
        <v>ঘ) ধনী জমিদার বা জমিদার</v>
      </c>
      <c r="N127" s="10" t="str">
        <f>IFERROR(__xludf.DUMMYFUNCTION("GOOGLETRANSLATE(E127, ""en"", ""bn"")"),"ধনী জমিদাররা, অথবা জমিদাররা, তাদের সামাজিক মর্যাদা এবং সুনাম বজায় রাখার জন্য হা-ডু-ডু সহ গ্রামীণ খেলাধুলার ঐতিহ্যবাহী পৃষ্ঠপোষক ছিলেন।")</f>
        <v>ধনী জমিদাররা, অথবা জমিদাররা, তাদের সামাজিক মর্যাদা এবং সুনাম বজায় রাখার জন্য হা-ডু-ডু সহ গ্রামীণ খেলাধুলার ঐতিহ্যবাহী পৃষ্ঠপোষক ছিলেন।</v>
      </c>
    </row>
    <row r="128">
      <c r="A128" s="13">
        <v>127.0</v>
      </c>
      <c r="B128" s="13" t="s">
        <v>1969</v>
      </c>
      <c r="C128" s="13" t="s">
        <v>1970</v>
      </c>
      <c r="D128" s="13" t="s">
        <v>1971</v>
      </c>
      <c r="E128" s="13" t="s">
        <v>1972</v>
      </c>
      <c r="J128" s="10" t="str">
        <f>IFERROR(__xludf.DUMMYFUNCTION("GOOGLETRANSLATE(A128, ""en"", ""bn"")"),"১২৭")</f>
        <v>১২৭</v>
      </c>
      <c r="K128" s="10" t="str">
        <f>IFERROR(__xludf.DUMMYFUNCTION("GOOGLETRANSLATE(B128, ""en"", ""bn"")"),"উনিশ শতকে হা-ডু-ডু এবং এর ভারতীয় প্রতিরূপ কাবাডির মধ্যে মূল পার্থক্য কী ছিল?")</f>
        <v>উনিশ শতকে হা-ডু-ডু এবং এর ভারতীয় প্রতিরূপ কাবাডির মধ্যে মূল পার্থক্য কী ছিল?</v>
      </c>
      <c r="L128" s="10" t="str">
        <f>IFERROR(__xludf.DUMMYFUNCTION("GOOGLETRANSLATE(C128, ""en"", ""bn"")"),"ক) মাঠের আকার, খ) খেলোয়াড়ের সংখ্যা, গ) কর্দমাক্ত মাঠে হা-ডু-ডু খেলা হয়েছিল, ঘ) ক্রমাগত জপ এবং শ্বাস-প্রশ্বাস ধরে রাখার নিয়ম")</f>
        <v>ক) মাঠের আকার, খ) খেলোয়াড়ের সংখ্যা, গ) কর্দমাক্ত মাঠে হা-ডু-ডু খেলা হয়েছিল, ঘ) ক্রমাগত জপ এবং শ্বাস-প্রশ্বাস ধরে রাখার নিয়ম</v>
      </c>
      <c r="M128" s="10" t="str">
        <f>IFERROR(__xludf.DUMMYFUNCTION("GOOGLETRANSLATE(D128, ""en"", ""bn"")"),"গ) একটি কর্দমাক্ত মাঠে হা-ডু-ডু খেলা হত")</f>
        <v>গ) একটি কর্দমাক্ত মাঠে হা-ডু-ডু খেলা হত</v>
      </c>
      <c r="N128" s="10" t="str">
        <f>IFERROR(__xludf.DUMMYFUNCTION("GOOGLETRANSLATE(E128, ""en"", ""bn"")"),"যদিও উভয় খেলা একই রকম, হা-ডু-ডু তার ঐতিহ্যবাহী খেলার মাঠ থেকে আলাদা ছিল, যা ছিল কর্দমাক্ত মাঠ, যা এর গ্রামীণ পরিচয়ের একটি মূল উপাদান।")</f>
        <v>যদিও উভয় খেলা একই রকম, হা-ডু-ডু তার ঐতিহ্যবাহী খেলার মাঠ থেকে আলাদা ছিল, যা ছিল কর্দমাক্ত মাঠ, যা এর গ্রামীণ পরিচয়ের একটি মূল উপাদান।</v>
      </c>
    </row>
    <row r="129">
      <c r="A129" s="13">
        <v>128.0</v>
      </c>
      <c r="B129" s="13" t="s">
        <v>1973</v>
      </c>
      <c r="C129" s="13" t="s">
        <v>1974</v>
      </c>
      <c r="D129" s="13" t="s">
        <v>1975</v>
      </c>
      <c r="E129" s="13" t="s">
        <v>1976</v>
      </c>
      <c r="J129" s="10" t="str">
        <f>IFERROR(__xludf.DUMMYFUNCTION("GOOGLETRANSLATE(A129, ""en"", ""bn"")"),"১২৮")</f>
        <v>১২৮</v>
      </c>
      <c r="K129" s="10" t="str">
        <f>IFERROR(__xludf.DUMMYFUNCTION("GOOGLETRANSLATE(B129, ""en"", ""bn"")"),"কোন ঐতিহাসিক যুগে হা-ডু-ডুর নিয়মগুলিকে প্রমিত করার প্রথম আনুষ্ঠানিক প্রচেষ্টা দেখা গিয়েছিল?")</f>
        <v>কোন ঐতিহাসিক যুগে হা-ডু-ডুর নিয়মগুলিকে প্রমিত করার প্রথম আনুষ্ঠানিক প্রচেষ্টা দেখা গিয়েছিল?</v>
      </c>
      <c r="L129" s="10" t="str">
        <f>IFERROR(__xludf.DUMMYFUNCTION("GOOGLETRANSLATE(C129, ""en"", ""bn"")"),"ক) আঠারো শতকের শেষের দিকে, খ) বিংশ শতাব্দীর গোড়ার দিকে, গ) স্বাধীনতা-পরবর্তী যুগ, ঘ) ব্রিটিশ ঔপনিবেশিক যুগ")</f>
        <v>ক) আঠারো শতকের শেষের দিকে, খ) বিংশ শতাব্দীর গোড়ার দিকে, গ) স্বাধীনতা-পরবর্তী যুগ, ঘ) ব্রিটিশ ঔপনিবেশিক যুগ</v>
      </c>
      <c r="M129" s="10" t="str">
        <f>IFERROR(__xludf.DUMMYFUNCTION("GOOGLETRANSLATE(D129, ""en"", ""bn"")"),"গ) স্বাধীনতা-পরবর্তী যুগ")</f>
        <v>গ) স্বাধীনতা-পরবর্তী যুগ</v>
      </c>
      <c r="N129" s="10" t="str">
        <f>IFERROR(__xludf.DUMMYFUNCTION("GOOGLETRANSLATE(E129, ""en"", ""bn"")"),"১৯৭১ সালে বাংলাদেশের স্বাধীনতার পর বাংলাদেশ কাবাডি ফেডারেশন গঠনের মাধ্যমে খেলাটিকে মানসম্মত করার প্রথম আনুষ্ঠানিক প্রচেষ্টা শুরু হয়।")</f>
        <v>১৯৭১ সালে বাংলাদেশের স্বাধীনতার পর বাংলাদেশ কাবাডি ফেডারেশন গঠনের মাধ্যমে খেলাটিকে মানসম্মত করার প্রথম আনুষ্ঠানিক প্রচেষ্টা শুরু হয়।</v>
      </c>
    </row>
    <row r="130">
      <c r="A130" s="13">
        <v>129.0</v>
      </c>
      <c r="B130" s="13" t="s">
        <v>1977</v>
      </c>
      <c r="C130" s="13" t="s">
        <v>1978</v>
      </c>
      <c r="D130" s="13" t="s">
        <v>1979</v>
      </c>
      <c r="E130" s="13" t="s">
        <v>1980</v>
      </c>
      <c r="J130" s="10" t="str">
        <f>IFERROR(__xludf.DUMMYFUNCTION("GOOGLETRANSLATE(A130, ""en"", ""bn"")"),"১২৯")</f>
        <v>১২৯</v>
      </c>
      <c r="K130" s="10" t="str">
        <f>IFERROR(__xludf.DUMMYFUNCTION("GOOGLETRANSLATE(B130, ""en"", ""bn"")"),"ঐতিহাসিকভাবে, হা-ডু-ডু ম্যাচের সময়কাল কীভাবে নির্ধারিত হত?")</f>
        <v>ঐতিহাসিকভাবে, হা-ডু-ডু ম্যাচের সময়কাল কীভাবে নির্ধারিত হত?</v>
      </c>
      <c r="L130" s="10" t="str">
        <f>IFERROR(__xludf.DUMMYFUNCTION("GOOGLETRANSLATE(C130, ""en"", ""bn"")"),"ক) একটি নির্দিষ্ট সময়সীমা অনুসারে, খ) কত পয়েন্ট অর্জন করা হয়েছে, গ) নির্দিষ্ট সংখ্যক অভিযান দ্বারা, ঘ) খেলোয়াড়দের ক্লান্তি দ্বারা")</f>
        <v>ক) একটি নির্দিষ্ট সময়সীমা অনুসারে, খ) কত পয়েন্ট অর্জন করা হয়েছে, গ) নির্দিষ্ট সংখ্যক অভিযান দ্বারা, ঘ) খেলোয়াড়দের ক্লান্তি দ্বারা</v>
      </c>
      <c r="M130" s="10" t="str">
        <f>IFERROR(__xludf.DUMMYFUNCTION("GOOGLETRANSLATE(D130, ""en"", ""bn"")"),"ঘ) খেলোয়াড়দের ক্লান্তির কারণে")</f>
        <v>ঘ) খেলোয়াড়দের ক্লান্তির কারণে</v>
      </c>
      <c r="N130" s="10" t="str">
        <f>IFERROR(__xludf.DUMMYFUNCTION("GOOGLETRANSLATE(E130, ""en"", ""bn"")"),"ঐতিহ্যবাহী ধরণে, খেলাটি ততক্ষণ পর্যন্ত চলতে থাকত যতক্ষণ না কোনও একটি দল আর খেলতে সক্ষম হয়, যার ফলে ধৈর্য একটি গুরুত্বপূর্ণ বিষয় হয়ে দাঁড়াত।")</f>
        <v>ঐতিহ্যবাহী ধরণে, খেলাটি ততক্ষণ পর্যন্ত চলতে থাকত যতক্ষণ না কোনও একটি দল আর খেলতে সক্ষম হয়, যার ফলে ধৈর্য একটি গুরুত্বপূর্ণ বিষয় হয়ে দাঁড়াত।</v>
      </c>
    </row>
    <row r="131">
      <c r="A131" s="13">
        <v>130.0</v>
      </c>
      <c r="B131" s="13" t="s">
        <v>1981</v>
      </c>
      <c r="C131" s="13" t="s">
        <v>1982</v>
      </c>
      <c r="D131" s="13" t="s">
        <v>1983</v>
      </c>
      <c r="E131" s="13" t="s">
        <v>1984</v>
      </c>
      <c r="J131" s="10" t="str">
        <f>IFERROR(__xludf.DUMMYFUNCTION("GOOGLETRANSLATE(A131, ""en"", ""bn"")"),"১৩০")</f>
        <v>১৩০</v>
      </c>
      <c r="K131" s="10" t="str">
        <f>IFERROR(__xludf.DUMMYFUNCTION("GOOGLETRANSLATE(B131, ""en"", ""bn"")"),"আধুনিক হা-ডু-ডুতে 'বাল্ক লাইন'-এর কৌশলগত ব্যবহার অন্য কোন খেলা থেকে গৃহীত হয়েছিল?")</f>
        <v>আধুনিক হা-ডু-ডুতে 'বাল্ক লাইন'-এর কৌশলগত ব্যবহার অন্য কোন খেলা থেকে গৃহীত হয়েছিল?</v>
      </c>
      <c r="L131" s="10" t="str">
        <f>IFERROR(__xludf.DUMMYFUNCTION("GOOGLETRANSLATE(C131, ""en"", ""bn"")"),"ক) কুস্তি, খ) রাগবি, গ) ফুটবল, ঘ) কাবাডি")</f>
        <v>ক) কুস্তি, খ) রাগবি, গ) ফুটবল, ঘ) কাবাডি</v>
      </c>
      <c r="M131" s="10" t="str">
        <f>IFERROR(__xludf.DUMMYFUNCTION("GOOGLETRANSLATE(D131, ""en"", ""bn"")"),"ঘ) কাবাডি")</f>
        <v>ঘ) কাবাডি</v>
      </c>
      <c r="N131" s="10" t="str">
        <f>IFERROR(__xludf.DUMMYFUNCTION("GOOGLETRANSLATE(E131, ""en"", ""bn"")"),"বাল্ক লাইনের ধারণা, যেখানে রেইডকে বৈধ করার জন্য রেইডারকে একটি নির্দিষ্ট লাইন অতিক্রম করতে হয়, কাবাডির আধুনিক নিয়ম থেকে গৃহীত হয়েছিল।")</f>
        <v>বাল্ক লাইনের ধারণা, যেখানে রেইডকে বৈধ করার জন্য রেইডারকে একটি নির্দিষ্ট লাইন অতিক্রম করতে হয়, কাবাডির আধুনিক নিয়ম থেকে গৃহীত হয়েছিল।</v>
      </c>
    </row>
    <row r="132">
      <c r="A132" s="13">
        <v>131.0</v>
      </c>
      <c r="B132" s="13" t="s">
        <v>1985</v>
      </c>
      <c r="C132" s="13" t="s">
        <v>1986</v>
      </c>
      <c r="D132" s="13" t="s">
        <v>1987</v>
      </c>
      <c r="E132" s="13" t="s">
        <v>1988</v>
      </c>
      <c r="J132" s="10" t="str">
        <f>IFERROR(__xludf.DUMMYFUNCTION("GOOGLETRANSLATE(A132, ""en"", ""bn"")"),"১৩১")</f>
        <v>১৩১</v>
      </c>
      <c r="K132" s="10" t="str">
        <f>IFERROR(__xludf.DUMMYFUNCTION("GOOGLETRANSLATE(B132, ""en"", ""bn"")"),"বাংলার কোন ঐতিহাসিক লোক ঐতিহ্য প্রায়শই হা-ডু-ডু খেলার সাথে জড়িত?")</f>
        <v>বাংলার কোন ঐতিহাসিক লোক ঐতিহ্য প্রায়শই হা-ডু-ডু খেলার সাথে জড়িত?</v>
      </c>
      <c r="L132" s="10" t="str">
        <f>IFERROR(__xludf.DUMMYFUNCTION("GOOGLETRANSLATE(C132, ""en"", ""bn"")"),"A) বাউল গান, B) পুতুল, C) ঘাটু গান, D) যাত্রা")</f>
        <v>A) বাউল গান, B) পুতুল, C) ঘাটু গান, D) যাত্রা</v>
      </c>
      <c r="M132" s="10" t="str">
        <f>IFERROR(__xludf.DUMMYFUNCTION("GOOGLETRANSLATE(D132, ""en"", ""bn"")"),"গ) ঘাটু গান")</f>
        <v>গ) ঘাটু গান</v>
      </c>
      <c r="N132" s="10" t="str">
        <f>IFERROR(__xludf.DUMMYFUNCTION("GOOGLETRANSLATE(E132, ""en"", ""bn"")"),"বর্ষাকালে পরিবেশিত লোকসঙ্গীতের একটি রূপ, ঘাটু গান, গ্রামীণ এলাকায় প্রায়শই হা-ডু-ডু ম্যাচের সাথে বা পরে পরিবেশিত হত।")</f>
        <v>বর্ষাকালে পরিবেশিত লোকসঙ্গীতের একটি রূপ, ঘাটু গান, গ্রামীণ এলাকায় প্রায়শই হা-ডু-ডু ম্যাচের সাথে বা পরে পরিবেশিত হত।</v>
      </c>
    </row>
    <row r="133">
      <c r="A133" s="13">
        <v>132.0</v>
      </c>
      <c r="B133" s="13" t="s">
        <v>1989</v>
      </c>
      <c r="C133" s="13" t="s">
        <v>1990</v>
      </c>
      <c r="D133" s="13" t="s">
        <v>1991</v>
      </c>
      <c r="E133" s="13" t="s">
        <v>1992</v>
      </c>
      <c r="J133" s="10" t="str">
        <f>IFERROR(__xludf.DUMMYFUNCTION("GOOGLETRANSLATE(A133, ""en"", ""bn"")"),"১৩২")</f>
        <v>১৩২</v>
      </c>
      <c r="K133" s="10" t="str">
        <f>IFERROR(__xludf.DUMMYFUNCTION("GOOGLETRANSLATE(B133, ""en"", ""bn"")"),"হা-ডু-ডুতে 'হাইড্রেটর'-এর ভূমিকা ঐতিহাসিকভাবে কোন দুই ধরণের দক্ষতার মিশ্রণ?")</f>
        <v>হা-ডু-ডুতে 'হাইড্রেটর'-এর ভূমিকা ঐতিহাসিকভাবে কোন দুই ধরণের দক্ষতার মিশ্রণ?</v>
      </c>
      <c r="L133" s="10" t="str">
        <f>IFERROR(__xludf.DUMMYFUNCTION("GOOGLETRANSLATE(C133, ""en"", ""bn"")"),"ক) দৌড় এবং কুস্তি, খ) তত্পরতা এবং শক্তি, গ) দলগত কাজ এবং ব্যক্তিগত দক্ষতা, ঘ) প্রতিরক্ষা এবং আক্রমণ")</f>
        <v>ক) দৌড় এবং কুস্তি, খ) তত্পরতা এবং শক্তি, গ) দলগত কাজ এবং ব্যক্তিগত দক্ষতা, ঘ) প্রতিরক্ষা এবং আক্রমণ</v>
      </c>
      <c r="M133" s="10" t="str">
        <f>IFERROR(__xludf.DUMMYFUNCTION("GOOGLETRANSLATE(D133, ""en"", ""bn"")"),"খ) তত্পরতা এবং শক্তি")</f>
        <v>খ) তত্পরতা এবং শক্তি</v>
      </c>
      <c r="N133" s="10" t="str">
        <f>IFERROR(__xludf.DUMMYFUNCTION("GOOGLETRANSLATE(E133, ""en"", ""bn"")"),"একজন রাইডারের সাফল্য নির্ভর করত ট্যাকল এড়ানোর তৎপরতা এবং রক্ষণভাগের হাত থেকে মুক্ত হওয়ার শক্তির উপর।")</f>
        <v>একজন রাইডারের সাফল্য নির্ভর করত ট্যাকল এড়ানোর তৎপরতা এবং রক্ষণভাগের হাত থেকে মুক্ত হওয়ার শক্তির উপর।</v>
      </c>
    </row>
    <row r="134">
      <c r="A134" s="13">
        <v>133.0</v>
      </c>
      <c r="B134" s="13" t="s">
        <v>1993</v>
      </c>
      <c r="C134" s="13" t="s">
        <v>1994</v>
      </c>
      <c r="D134" s="13" t="s">
        <v>1995</v>
      </c>
      <c r="E134" s="13" t="s">
        <v>1996</v>
      </c>
      <c r="J134" s="10" t="str">
        <f>IFERROR(__xludf.DUMMYFUNCTION("GOOGLETRANSLATE(A134, ""en"", ""bn"")"),"১৩৩")</f>
        <v>১৩৩</v>
      </c>
      <c r="K134" s="10" t="str">
        <f>IFERROR(__xludf.DUMMYFUNCTION("GOOGLETRANSLATE(B134, ""en"", ""bn"")"),"বিংশ শতাব্দীর শেষের দিকে হা-ডু-ডুর টিকে থাকার সবচেয়ে গুরুত্বপূর্ণ চ্যালেঞ্জ কী ছিল?")</f>
        <v>বিংশ শতাব্দীর শেষের দিকে হা-ডু-ডুর টিকে থাকার সবচেয়ে গুরুত্বপূর্ণ চ্যালেঞ্জ কী ছিল?</v>
      </c>
      <c r="L134" s="10" t="str">
        <f>IFERROR(__xludf.DUMMYFUNCTION("GOOGLETRANSLATE(C134, ""en"", ""bn"")"),"ক) সরকারি তহবিলের অভাব, খ) জনস্বার্থের অভাব, গ) ক্রিকেট ও ফুটবল থেকে প্রতিযোগিতা, ঘ) কৃষি পদ্ধতিতে পরিবর্তন")</f>
        <v>ক) সরকারি তহবিলের অভাব, খ) জনস্বার্থের অভাব, গ) ক্রিকেট ও ফুটবল থেকে প্রতিযোগিতা, ঘ) কৃষি পদ্ধতিতে পরিবর্তন</v>
      </c>
      <c r="M134" s="10" t="str">
        <f>IFERROR(__xludf.DUMMYFUNCTION("GOOGLETRANSLATE(D134, ""en"", ""bn"")"),"গ) ক্রিকেট এবং ফুটবলের প্রতিযোগিতা")</f>
        <v>গ) ক্রিকেট এবং ফুটবলের প্রতিযোগিতা</v>
      </c>
      <c r="N134" s="10" t="str">
        <f>IFERROR(__xludf.DUMMYFUNCTION("GOOGLETRANSLATE(E134, ""en"", ""bn"")"),"পেশাদার লীগ এবং মিডিয়া কভারেজের মাধ্যমে বিশ্বব্যাপী জনপ্রিয় খেলাধুলার উত্থান হা-ডু-ডুর ঐতিহ্যবাহী আধিপত্যের জন্য সবচেয়ে বড় হুমকি হয়ে দাঁড়িয়েছে।")</f>
        <v>পেশাদার লীগ এবং মিডিয়া কভারেজের মাধ্যমে বিশ্বব্যাপী জনপ্রিয় খেলাধুলার উত্থান হা-ডু-ডুর ঐতিহ্যবাহী আধিপত্যের জন্য সবচেয়ে বড় হুমকি হয়ে দাঁড়িয়েছে।</v>
      </c>
    </row>
    <row r="135">
      <c r="A135" s="13">
        <v>134.0</v>
      </c>
      <c r="B135" s="13" t="s">
        <v>1997</v>
      </c>
      <c r="C135" s="13" t="s">
        <v>1998</v>
      </c>
      <c r="D135" s="13" t="s">
        <v>1999</v>
      </c>
      <c r="E135" s="13" t="s">
        <v>2000</v>
      </c>
      <c r="J135" s="10" t="str">
        <f>IFERROR(__xludf.DUMMYFUNCTION("GOOGLETRANSLATE(A135, ""en"", ""bn"")"),"১৩৪")</f>
        <v>১৩৪</v>
      </c>
      <c r="K135" s="10" t="str">
        <f>IFERROR(__xludf.DUMMYFUNCTION("GOOGLETRANSLATE(B135, ""en"", ""bn"")"),"খেলার কোন দিকটিকে উৎসাহিত করার জন্য হা-ডু-ডুতে 'বোনাস পয়েন্ট' নিয়ম চালু করা হয়েছিল?")</f>
        <v>খেলার কোন দিকটিকে উৎসাহিত করার জন্য হা-ডু-ডুতে 'বোনাস পয়েন্ট' নিয়ম চালু করা হয়েছিল?</v>
      </c>
      <c r="L135" s="10" t="str">
        <f>IFERROR(__xludf.DUMMYFUNCTION("GOOGLETRANSLATE(C135, ""en"", ""bn"")"),"ক) আরও আক্রমণাত্মক রক্ষণ, খ) দীর্ঘ অভিযান, গ) আরও কৌশলগত অভিযান, ঘ) দ্রুততর খেলা")</f>
        <v>ক) আরও আক্রমণাত্মক রক্ষণ, খ) দীর্ঘ অভিযান, গ) আরও কৌশলগত অভিযান, ঘ) দ্রুততর খেলা</v>
      </c>
      <c r="M135" s="10" t="str">
        <f>IFERROR(__xludf.DUMMYFUNCTION("GOOGLETRANSLATE(D135, ""en"", ""bn"")"),"গ) আরও কৌশলগত অভিযান")</f>
        <v>গ) আরও কৌশলগত অভিযান</v>
      </c>
      <c r="N135" s="10" t="str">
        <f>IFERROR(__xludf.DUMMYFUNCTION("GOOGLETRANSLATE(E135, ""en"", ""bn"")"),"বোনাস পয়েন্ট নিয়ম, যা একজন রেইডারকে বোনাস লাইন স্পর্শ করার জন্য পুরস্কৃত করে, তা সহজ ট্যাগের পরিবর্তে আরও কৌশলগত এবং গণনাকৃত রেইডকে উৎসাহিত করার জন্য বাস্তবায়িত হয়েছিল।")</f>
        <v>বোনাস পয়েন্ট নিয়ম, যা একজন রেইডারকে বোনাস লাইন স্পর্শ করার জন্য পুরস্কৃত করে, তা সহজ ট্যাগের পরিবর্তে আরও কৌশলগত এবং গণনাকৃত রেইডকে উৎসাহিত করার জন্য বাস্তবায়িত হয়েছিল।</v>
      </c>
    </row>
    <row r="136">
      <c r="A136" s="13">
        <v>135.0</v>
      </c>
      <c r="B136" s="13" t="s">
        <v>2001</v>
      </c>
      <c r="C136" s="13" t="s">
        <v>2002</v>
      </c>
      <c r="D136" s="13" t="s">
        <v>2003</v>
      </c>
      <c r="E136" s="13" t="s">
        <v>2004</v>
      </c>
      <c r="J136" s="10" t="str">
        <f>IFERROR(__xludf.DUMMYFUNCTION("GOOGLETRANSLATE(A136, ""en"", ""bn"")"),"১৩৫")</f>
        <v>১৩৫</v>
      </c>
      <c r="K136" s="10" t="str">
        <f>IFERROR(__xludf.DUMMYFUNCTION("GOOGLETRANSLATE(B136, ""en"", ""bn"")"),"বাংলাদেশের গ্রামাঞ্চলের কোন ঐতিহাসিক উৎসবে হা-ডু-ডুকে প্রধান ক্রীড়া প্রতিযোগিতা হিসেবে স্থান দেওয়া হয়েছিল?")</f>
        <v>বাংলাদেশের গ্রামাঞ্চলের কোন ঐতিহাসিক উৎসবে হা-ডু-ডুকে প্রধান ক্রীড়া প্রতিযোগিতা হিসেবে স্থান দেওয়া হয়েছিল?</v>
      </c>
      <c r="L136" s="10" t="str">
        <f>IFERROR(__xludf.DUMMYFUNCTION("GOOGLETRANSLATE(C136, ""en"", ""bn"")"),"ক) ""নৌকা বাইচ"" (নৌকা প্রতিযোগিতা), খ) ""পৌষ মেলা"" (শীতকালীন মেলা), গ) ""লাঠিখেলা"" (লাঠি লড়াই), ঘ) ""গ্রামীণ ক্রীড়া উৎসব""")</f>
        <v>ক) "নৌকা বাইচ" (নৌকা প্রতিযোগিতা), খ) "পৌষ মেলা" (শীতকালীন মেলা), গ) "লাঠিখেলা" (লাঠি লড়াই), ঘ) "গ্রামীণ ক্রীড়া উৎসব"</v>
      </c>
      <c r="M136" s="10" t="str">
        <f>IFERROR(__xludf.DUMMYFUNCTION("GOOGLETRANSLATE(D136, ""en"", ""bn"")"),"ঘ) ""গ্রামীণ ক্রীড়া উৎসব""")</f>
        <v>ঘ) "গ্রামীণ ক্রীড়া উৎসব"</v>
      </c>
      <c r="N136" s="10" t="str">
        <f>IFERROR(__xludf.DUMMYFUNCTION("GOOGLETRANSLATE(E136, ""en"", ""bn"")"),"স্থানীয় ""গ্রামীণ ক্রীড়া উৎসব"", যা প্রায়শই ফসল কাটার সময় বা অন্যান্য সম্প্রদায়ের অনুষ্ঠানের সময় অনুষ্ঠিত হত, হা-ডু-ডুকে উৎসবের কেন্দ্রবিন্দুতে পরিণত করত।")</f>
        <v>স্থানীয় "গ্রামীণ ক্রীড়া উৎসব", যা প্রায়শই ফসল কাটার সময় বা অন্যান্য সম্প্রদায়ের অনুষ্ঠানের সময় অনুষ্ঠিত হত, হা-ডু-ডুকে উৎসবের কেন্দ্রবিন্দুতে পরিণত করত।</v>
      </c>
    </row>
    <row r="137">
      <c r="A137" s="13">
        <v>136.0</v>
      </c>
      <c r="B137" s="13" t="s">
        <v>2005</v>
      </c>
      <c r="C137" s="13" t="s">
        <v>2006</v>
      </c>
      <c r="D137" s="13" t="s">
        <v>2007</v>
      </c>
      <c r="E137" s="13" t="s">
        <v>2008</v>
      </c>
      <c r="J137" s="10" t="str">
        <f>IFERROR(__xludf.DUMMYFUNCTION("GOOGLETRANSLATE(A137, ""en"", ""bn"")"),"১৩৬")</f>
        <v>১৩৬</v>
      </c>
      <c r="K137" s="10" t="str">
        <f>IFERROR(__xludf.DUMMYFUNCTION("GOOGLETRANSLATE(B137, ""en"", ""bn"")"),"হা-ডু-ডু আদালতের 'লবি' এলাকার ঐতিহাসিক গুরুত্ব কী ছিল?")</f>
        <v>হা-ডু-ডু আদালতের 'লবি' এলাকার ঐতিহাসিক গুরুত্ব কী ছিল?</v>
      </c>
      <c r="L137" s="10" t="str">
        <f>IFERROR(__xludf.DUMMYFUNCTION("GOOGLETRANSLATE(C137, ""en"", ""bn"")"),"ক) এটি খেলোয়াড়দের জন্য একটি নিরাপদ অঞ্চল ছিল, খ) এটি দর্শকদের জন্য একটি এলাকা ছিল, গ) এটি একটি সংগ্রামের জন্য একটি নিরপেক্ষ অঞ্চল ছিল, ঘ) এটি একটি সীমানার বাইরের এলাকা ছিল")</f>
        <v>ক) এটি খেলোয়াড়দের জন্য একটি নিরাপদ অঞ্চল ছিল, খ) এটি দর্শকদের জন্য একটি এলাকা ছিল, গ) এটি একটি সংগ্রামের জন্য একটি নিরপেক্ষ অঞ্চল ছিল, ঘ) এটি একটি সীমানার বাইরের এলাকা ছিল</v>
      </c>
      <c r="M137" s="10" t="str">
        <f>IFERROR(__xludf.DUMMYFUNCTION("GOOGLETRANSLATE(D137, ""en"", ""bn"")"),"গ) এটি একটি সংগ্রামের জন্য একটি নিরপেক্ষ অঞ্চল ছিল")</f>
        <v>গ) এটি একটি সংগ্রামের জন্য একটি নিরপেক্ষ অঞ্চল ছিল</v>
      </c>
      <c r="N137" s="10" t="str">
        <f>IFERROR(__xludf.DUMMYFUNCTION("GOOGLETRANSLATE(E137, ""en"", ""bn"")"),"লবি, কোর্টের একটি পার্শ্ব চ্যানেল, ছিল একটি নিরপেক্ষ এলাকা যেখানে রেইডার এবং ডিফেন্ডার সীমানার বাইরে না গিয়ে লড়াই করতে পারত।")</f>
        <v>লবি, কোর্টের একটি পার্শ্ব চ্যানেল, ছিল একটি নিরপেক্ষ এলাকা যেখানে রেইডার এবং ডিফেন্ডার সীমানার বাইরে না গিয়ে লড়াই করতে পারত।</v>
      </c>
    </row>
    <row r="138">
      <c r="A138" s="13">
        <v>137.0</v>
      </c>
      <c r="B138" s="13" t="s">
        <v>2009</v>
      </c>
      <c r="C138" s="13" t="s">
        <v>2010</v>
      </c>
      <c r="D138" s="13" t="s">
        <v>2011</v>
      </c>
      <c r="E138" s="13" t="s">
        <v>2012</v>
      </c>
      <c r="J138" s="10" t="str">
        <f>IFERROR(__xludf.DUMMYFUNCTION("GOOGLETRANSLATE(A138, ""en"", ""bn"")"),"১৩৭")</f>
        <v>১৩৭</v>
      </c>
      <c r="K138" s="10" t="str">
        <f>IFERROR(__xludf.DUMMYFUNCTION("GOOGLETRANSLATE(B138, ""en"", ""bn"")"),"ঐতিহাসিক হা-ডু-ডুতে, প্রতিরক্ষাকে প্রায়শই কী হিসাবে উল্লেখ করা হত, যা এর ভূমিকা নির্দেশ করে?")</f>
        <v>ঐতিহাসিক হা-ডু-ডুতে, প্রতিরক্ষাকে প্রায়শই কী হিসাবে উল্লেখ করা হত, যা এর ভূমিকা নির্দেশ করে?</v>
      </c>
      <c r="L138" s="10" t="str">
        <f>IFERROR(__xludf.DUMMYFUNCTION("GOOGLETRANSLATE(C138, ""en"", ""bn"")"),"ক) 'প্রাচীর', খ) 'বাধা', গ) 'দুর্গ', ঘ) 'রক্ষক'")</f>
        <v>ক) 'প্রাচীর', খ) 'বাধা', গ) 'দুর্গ', ঘ) 'রক্ষক'</v>
      </c>
      <c r="M138" s="10" t="str">
        <f>IFERROR(__xludf.DUMMYFUNCTION("GOOGLETRANSLATE(D138, ""en"", ""bn"")"),"ক) 'দেয়াল'")</f>
        <v>ক) 'দেয়াল'</v>
      </c>
      <c r="N138" s="10" t="str">
        <f>IFERROR(__xludf.DUMMYFUNCTION("GOOGLETRANSLATE(E138, ""en"", ""bn"")"),"সংযুক্ত খেলোয়াড়দের সমন্বয়ে গঠিত ডিফেন্ডিং দলটিকে প্রায়শই 'প্রাচীর' বলা হত তাদের দৃঢ় এবং দুর্ভেদ্য প্রতিরক্ষার জন্য।")</f>
        <v>সংযুক্ত খেলোয়াড়দের সমন্বয়ে গঠিত ডিফেন্ডিং দলটিকে প্রায়শই 'প্রাচীর' বলা হত তাদের দৃঢ় এবং দুর্ভেদ্য প্রতিরক্ষার জন্য।</v>
      </c>
    </row>
    <row r="139">
      <c r="A139" s="13">
        <v>138.0</v>
      </c>
      <c r="B139" s="13" t="s">
        <v>2013</v>
      </c>
      <c r="C139" s="13" t="s">
        <v>2014</v>
      </c>
      <c r="D139" s="13" t="s">
        <v>2015</v>
      </c>
      <c r="E139" s="13" t="s">
        <v>2016</v>
      </c>
      <c r="J139" s="10" t="str">
        <f>IFERROR(__xludf.DUMMYFUNCTION("GOOGLETRANSLATE(A139, ""en"", ""bn"")"),"১৩৮")</f>
        <v>১৩৮</v>
      </c>
      <c r="K139" s="10" t="str">
        <f>IFERROR(__xludf.DUMMYFUNCTION("GOOGLETRANSLATE(B139, ""en"", ""bn"")"),"প্রথম সম্পূর্ণ মহিলাদের হা-ডু-ডু টুর্নামেন্ট কোন সালে অনুষ্ঠিত হয়েছিল?")</f>
        <v>প্রথম সম্পূর্ণ মহিলাদের হা-ডু-ডু টুর্নামেন্ট কোন সালে অনুষ্ঠিত হয়েছিল?</v>
      </c>
      <c r="L139" s="10" t="str">
        <f>IFERROR(__xludf.DUMMYFUNCTION("GOOGLETRANSLATE(C139, ""en"", ""bn"")"),"ক) ১৯৮০, খ) ১৯৮৭, গ) ১৯৯৫, ঘ) ২০০২")</f>
        <v>ক) ১৯৮০, খ) ১৯৮৭, গ) ১৯৯৫, ঘ) ২০০২</v>
      </c>
      <c r="M139" s="10" t="str">
        <f>IFERROR(__xludf.DUMMYFUNCTION("GOOGLETRANSLATE(D139, ""en"", ""bn"")"),"খ) ১৯৮৭")</f>
        <v>খ) ১৯৮৭</v>
      </c>
      <c r="N139" s="10" t="str">
        <f>IFERROR(__xludf.DUMMYFUNCTION("GOOGLETRANSLATE(E139, ""en"", ""bn"")"),"১৯৮৭ সালে প্রথম আনুষ্ঠানিক মহিলা টুর্নামেন্ট আয়োজন করা হয়েছিল, যা খেলাধুলায় মহিলাদের অংশগ্রহণের পথ প্রশস্ত করে।")</f>
        <v>১৯৮৭ সালে প্রথম আনুষ্ঠানিক মহিলা টুর্নামেন্ট আয়োজন করা হয়েছিল, যা খেলাধুলায় মহিলাদের অংশগ্রহণের পথ প্রশস্ত করে।</v>
      </c>
    </row>
    <row r="140">
      <c r="A140" s="13">
        <v>139.0</v>
      </c>
      <c r="B140" s="13" t="s">
        <v>2017</v>
      </c>
      <c r="C140" s="13" t="s">
        <v>2018</v>
      </c>
      <c r="D140" s="13" t="s">
        <v>2019</v>
      </c>
      <c r="E140" s="13" t="s">
        <v>2020</v>
      </c>
      <c r="J140" s="10" t="str">
        <f>IFERROR(__xludf.DUMMYFUNCTION("GOOGLETRANSLATE(A140, ""en"", ""bn"")"),"১৩৯")</f>
        <v>১৩৯</v>
      </c>
      <c r="K140" s="10" t="str">
        <f>IFERROR(__xludf.DUMMYFUNCTION("GOOGLETRANSLATE(B140, ""en"", ""bn"")"),"ঐতিহাসিক হা-ডু-ডুতে কোন ধরণের কৌশলগত পদক্ষেপকে 'চেইন ট্যাকল' বলা হত?")</f>
        <v>ঐতিহাসিক হা-ডু-ডুতে কোন ধরণের কৌশলগত পদক্ষেপকে 'চেইন ট্যাকল' বলা হত?</v>
      </c>
      <c r="L140" s="10" t="str">
        <f>IFERROR(__xludf.DUMMYFUNCTION("GOOGLETRANSLATE(C140, ""en"", ""bn"")"),"ক) একসাথে দুজন খেলোয়াড় ট্যাকল করছে, খ) একজন খেলোয়াড় রেইডারকে ট্যাকল করছে, গ) একাধিক ট্যাকল করছে, ঘ) তিন বা ততোধিক খেলোয়াড় রেইডারকে ট্যাকল করার জন্য অস্ত্র সংযুক্ত করছে।")</f>
        <v>ক) একসাথে দুজন খেলোয়াড় ট্যাকল করছে, খ) একজন খেলোয়াড় রেইডারকে ট্যাকল করছে, গ) একাধিক ট্যাকল করছে, ঘ) তিন বা ততোধিক খেলোয়াড় রেইডারকে ট্যাকল করার জন্য অস্ত্র সংযুক্ত করছে।</v>
      </c>
      <c r="M140" s="10" t="str">
        <f>IFERROR(__xludf.DUMMYFUNCTION("GOOGLETRANSLATE(D140, ""en"", ""bn"")"),"ঘ) তিন বা ততোধিক খেলোয়াড় রেইডারকে মোকাবেলা করার জন্য অস্ত্র সংযুক্ত করে")</f>
        <v>ঘ) তিন বা ততোধিক খেলোয়াড় রেইডারকে মোকাবেলা করার জন্য অস্ত্র সংযুক্ত করে</v>
      </c>
      <c r="N140" s="10" t="str">
        <f>IFERROR(__xludf.DUMMYFUNCTION("GOOGLETRANSLATE(E140, ""en"", ""bn"")"),"'চেইন ট্যাকল' ছিল একটি গুরুত্বপূর্ণ প্রতিরক্ষামূলক কৌশল যেখানে ডিফেন্ডাররা সম্মিলিতভাবে আক্রমণকারীকে মোকাবেলা এবং নিয়ন্ত্রণ করার জন্য অস্ত্র সংযুক্ত করত।")</f>
        <v>'চেইন ট্যাকল' ছিল একটি গুরুত্বপূর্ণ প্রতিরক্ষামূলক কৌশল যেখানে ডিফেন্ডাররা সম্মিলিতভাবে আক্রমণকারীকে মোকাবেলা এবং নিয়ন্ত্রণ করার জন্য অস্ত্র সংযুক্ত করত।</v>
      </c>
    </row>
    <row r="141">
      <c r="A141" s="13">
        <v>140.0</v>
      </c>
      <c r="B141" s="13" t="s">
        <v>2021</v>
      </c>
      <c r="C141" s="13" t="s">
        <v>2022</v>
      </c>
      <c r="D141" s="13" t="s">
        <v>2023</v>
      </c>
      <c r="E141" s="13" t="s">
        <v>2024</v>
      </c>
      <c r="J141" s="10" t="str">
        <f>IFERROR(__xludf.DUMMYFUNCTION("GOOGLETRANSLATE(A141, ""en"", ""bn"")"),"১৪০")</f>
        <v>১৪০</v>
      </c>
      <c r="K141" s="10" t="str">
        <f>IFERROR(__xludf.DUMMYFUNCTION("GOOGLETRANSLATE(B141, ""en"", ""bn"")"),"কৃষক এবং কৃষি শ্রমিকদের মধ্যে হা-ডু-ডু জনপ্রিয় খেলা হওয়ার মূল কারণ কী ছিল?")</f>
        <v>কৃষক এবং কৃষি শ্রমিকদের মধ্যে হা-ডু-ডু জনপ্রিয় খেলা হওয়ার মূল কারণ কী ছিল?</v>
      </c>
      <c r="L141" s="10" t="str">
        <f>IFERROR(__xludf.DUMMYFUNCTION("GOOGLETRANSLATE(C141, ""en"", ""bn"")"),"ক) এর জন্য কোনও সরঞ্জামের প্রয়োজন ছিল না, খ) এটি যে কোনও জায়গায় খেলা যেত, গ) এটি সময় কাটানোর একটি উপায় ছিল, ঘ) এটি ছিল এক ধরণের শারীরিক ব্যায়াম।")</f>
        <v>ক) এর জন্য কোনও সরঞ্জামের প্রয়োজন ছিল না, খ) এটি যে কোনও জায়গায় খেলা যেত, গ) এটি সময় কাটানোর একটি উপায় ছিল, ঘ) এটি ছিল এক ধরণের শারীরিক ব্যায়াম।</v>
      </c>
      <c r="M141" s="10" t="str">
        <f>IFERROR(__xludf.DUMMYFUNCTION("GOOGLETRANSLATE(D141, ""en"", ""bn"")"),"ক) এর জন্য কোনও সরঞ্জামের প্রয়োজন ছিল না")</f>
        <v>ক) এর জন্য কোনও সরঞ্জামের প্রয়োজন ছিল না</v>
      </c>
      <c r="N141" s="10" t="str">
        <f>IFERROR(__xludf.DUMMYFUNCTION("GOOGLETRANSLATE(E141, ""en"", ""bn"")"),"হা-ডু-ডুতে কোনও বিশেষ সরঞ্জাম বা সরঞ্জামের প্রয়োজন হয় না, তাই এটি সমস্ত অর্থনৈতিক পটভূমির মানুষের কাছে অত্যন্ত সহজলভ্য ছিল।")</f>
        <v>হা-ডু-ডুতে কোনও বিশেষ সরঞ্জাম বা সরঞ্জামের প্রয়োজন হয় না, তাই এটি সমস্ত অর্থনৈতিক পটভূমির মানুষের কাছে অত্যন্ত সহজলভ্য ছিল।</v>
      </c>
    </row>
    <row r="142">
      <c r="A142" s="13">
        <v>141.0</v>
      </c>
      <c r="B142" s="13" t="s">
        <v>1839</v>
      </c>
      <c r="C142" s="13" t="s">
        <v>1840</v>
      </c>
      <c r="D142" s="13" t="s">
        <v>1841</v>
      </c>
      <c r="E142" s="14" t="s">
        <v>1842</v>
      </c>
      <c r="J142" s="10" t="str">
        <f>IFERROR(__xludf.DUMMYFUNCTION("GOOGLETRANSLATE(A142, ""en"", ""bn"")"),"১৪১")</f>
        <v>১৪১</v>
      </c>
      <c r="K142" s="10" t="str">
        <f>IFERROR(__xludf.DUMMYFUNCTION("GOOGLETRANSLATE(B142, ""en"", ""bn"")"),"ট্যাগ আউট হওয়ার পর একজন খেলোয়াড়ের খেলায় 'পুনরুজ্জীবন' বা 'পুনরায় প্রবেশ'-এর ঐতিহাসিক পরিভাষা কী ছিল?")</f>
        <v>ট্যাগ আউট হওয়ার পর একজন খেলোয়াড়ের খেলায় 'পুনরুজ্জীবন' বা 'পুনরায় প্রবেশ'-এর ঐতিহাসিক পরিভাষা কী ছিল?</v>
      </c>
      <c r="L142" s="10" t="str">
        <f>IFERROR(__xludf.DUMMYFUNCTION("GOOGLETRANSLATE(C142, ""en"", ""bn"")"),"A) 'জীবন,' B) 'পুনরাগোমন,' C) 'ফেরে আশা,' D) 'মুক্তির'")</f>
        <v>A) 'জীবন,' B) 'পুনরাগোমন,' C) 'ফেরে আশা,' D) 'মুক্তির'</v>
      </c>
      <c r="M142" s="10" t="str">
        <f>IFERROR(__xludf.DUMMYFUNCTION("GOOGLETRANSLATE(D142, ""en"", ""bn"")"),"খ) 'পুনোরগোমন'")</f>
        <v>খ) 'পুনোরগোমন'</v>
      </c>
      <c r="N142" s="10" t="str">
        <f>IFERROR(__xludf.DUMMYFUNCTION("GOOGLETRANSLATE(E142, ""en"", ""bn"")"),"পুনোরাগোমন' (যার অর্থ 'প্রত্যাবর্তন' বা 'পুনরায় প্রবেশ') ছিল একজন খেলোয়াড়ের সতীর্থের সফলভাবে পয়েন্ট অর্জনের পর খেলায় ফিরে আসার ঐতিহ্যবাহী শব্দ।")</f>
        <v>পুনোরাগোমন' (যার অর্থ 'প্রত্যাবর্তন' বা 'পুনরায় প্রবেশ') ছিল একজন খেলোয়াড়ের সতীর্থের সফলভাবে পয়েন্ট অর্জনের পর খেলায় ফিরে আসার ঐতিহ্যবাহী শব্দ।</v>
      </c>
    </row>
    <row r="143">
      <c r="A143" s="13">
        <v>142.0</v>
      </c>
      <c r="B143" s="13" t="s">
        <v>1819</v>
      </c>
      <c r="C143" s="13" t="s">
        <v>1820</v>
      </c>
      <c r="D143" s="13" t="s">
        <v>1821</v>
      </c>
      <c r="E143" s="13" t="s">
        <v>1822</v>
      </c>
      <c r="J143" s="10" t="str">
        <f>IFERROR(__xludf.DUMMYFUNCTION("GOOGLETRANSLATE(A143, ""en"", ""bn"")"),"১৪২")</f>
        <v>১৪২</v>
      </c>
      <c r="K143" s="10" t="str">
        <f>IFERROR(__xludf.DUMMYFUNCTION("GOOGLETRANSLATE(B143, ""en"", ""bn"")"),"হা-ডু-ডু আদালতের কেন্দ্ররেখার ঐতিহাসিক নাম কী ছিল?")</f>
        <v>হা-ডু-ডু আদালতের কেন্দ্ররেখার ঐতিহাসিক নাম কী ছিল?</v>
      </c>
      <c r="L143" s="10" t="str">
        <f>IFERROR(__xludf.DUMMYFUNCTION("GOOGLETRANSLATE(C143, ""en"", ""bn"")"),"ক) 'স্পর্শ রেখা', খ) 'মধ্যরেখা', গ) 'বাল্ক রেখা', ঘ) 'জীবন রেখা'")</f>
        <v>ক) 'স্পর্শ রেখা', খ) 'মধ্যরেখা', গ) 'বাল্ক রেখা', ঘ) 'জীবন রেখা'</v>
      </c>
      <c r="M143" s="10" t="str">
        <f>IFERROR(__xludf.DUMMYFUNCTION("GOOGLETRANSLATE(D143, ""en"", ""bn"")"),"ঘ) 'জীবনরেখা'")</f>
        <v>ঘ) 'জীবনরেখা'</v>
      </c>
      <c r="N143" s="10" t="str">
        <f>IFERROR(__xludf.DUMMYFUNCTION("GOOGLETRANSLATE(E143, ""en"", ""bn"")"),"নিরাপদ থাকার জন্য আক্রমণকারীকে যে কেন্দ্রীয় রেখা অতিক্রম করতে হয়, তা ঐতিহাসিকভাবে এবং প্রতীকীভাবে 'জীবন রেখা' বা 'জীবন রেখা' নামে পরিচিত ছিল।")</f>
        <v>নিরাপদ থাকার জন্য আক্রমণকারীকে যে কেন্দ্রীয় রেখা অতিক্রম করতে হয়, তা ঐতিহাসিকভাবে এবং প্রতীকীভাবে 'জীবন রেখা' বা 'জীবন রেখা' নামে পরিচিত ছিল।</v>
      </c>
    </row>
    <row r="144">
      <c r="A144" s="13">
        <v>143.0</v>
      </c>
      <c r="B144" s="13" t="s">
        <v>1823</v>
      </c>
      <c r="C144" s="13" t="s">
        <v>1824</v>
      </c>
      <c r="D144" s="13" t="s">
        <v>1825</v>
      </c>
      <c r="E144" s="13" t="s">
        <v>1826</v>
      </c>
      <c r="J144" s="10" t="str">
        <f>IFERROR(__xludf.DUMMYFUNCTION("GOOGLETRANSLATE(A144, ""en"", ""bn"")"),"১৪৩")</f>
        <v>১৪৩</v>
      </c>
      <c r="K144" s="10" t="str">
        <f>IFERROR(__xludf.DUMMYFUNCTION("GOOGLETRANSLATE(B144, ""en"", ""bn"")"),"বিংশ শতাব্দীর শেষের দিকে শহরাঞ্চলে হা-ডু-ডুর পতনের মূল কারণ কী ছিল?")</f>
        <v>বিংশ শতাব্দীর শেষের দিকে শহরাঞ্চলে হা-ডু-ডুর পতনের মূল কারণ কী ছিল?</v>
      </c>
      <c r="L144" s="10" t="str">
        <f>IFERROR(__xludf.DUMMYFUNCTION("GOOGLETRANSLATE(C144, ""en"", ""bn"")"),"ক) উপযুক্ত মাঠের অভাব, খ) অন্যান্য খেলাধুলায় প্রতিযোগিতা, গ) তরুণদের আগ্রহের অভাব, ঘ) সরঞ্জামের উচ্চ মূল্য")</f>
        <v>ক) উপযুক্ত মাঠের অভাব, খ) অন্যান্য খেলাধুলায় প্রতিযোগিতা, গ) তরুণদের আগ্রহের অভাব, ঘ) সরঞ্জামের উচ্চ মূল্য</v>
      </c>
      <c r="M144" s="10" t="str">
        <f>IFERROR(__xludf.DUMMYFUNCTION("GOOGLETRANSLATE(D144, ""en"", ""bn"")"),"খ) অন্যান্য খেলাধুলার প্রতিযোগিতা")</f>
        <v>খ) অন্যান্য খেলাধুলার প্রতিযোগিতা</v>
      </c>
      <c r="N144" s="10" t="str">
        <f>IFERROR(__xludf.DUMMYFUNCTION("GOOGLETRANSLATE(E144, ""en"", ""bn"")"),"ক্রিকেট ও ফুটবলের উত্থান, তাদের আন্তর্জাতিক আকর্ষণ এবং উন্নত অবকাঠামোর কারণে, শহরাঞ্চলে হা-ডু-ডুর জনপ্রিয়তা হ্রাস পায়।")</f>
        <v>ক্রিকেট ও ফুটবলের উত্থান, তাদের আন্তর্জাতিক আকর্ষণ এবং উন্নত অবকাঠামোর কারণে, শহরাঞ্চলে হা-ডু-ডুর জনপ্রিয়তা হ্রাস পায়।</v>
      </c>
    </row>
    <row r="145">
      <c r="A145" s="13">
        <v>144.0</v>
      </c>
      <c r="B145" s="13" t="s">
        <v>1827</v>
      </c>
      <c r="C145" s="13" t="s">
        <v>1828</v>
      </c>
      <c r="D145" s="13" t="s">
        <v>1829</v>
      </c>
      <c r="E145" s="13" t="s">
        <v>1830</v>
      </c>
      <c r="J145" s="10" t="str">
        <f>IFERROR(__xludf.DUMMYFUNCTION("GOOGLETRANSLATE(A145, ""en"", ""bn"")"),"১৪৪")</f>
        <v>১৪৪</v>
      </c>
      <c r="K145" s="10" t="str">
        <f>IFERROR(__xludf.DUMMYFUNCTION("GOOGLETRANSLATE(B145, ""en"", ""bn"")"),"প্রথম প্রধান জাতীয় হা-ডু-ডু টুর্নামেন্ট কোন শহরে অনুষ্ঠিত হয়েছিল?")</f>
        <v>প্রথম প্রধান জাতীয় হা-ডু-ডু টুর্নামেন্ট কোন শহরে অনুষ্ঠিত হয়েছিল?</v>
      </c>
      <c r="L145" s="10" t="str">
        <f>IFERROR(__xludf.DUMMYFUNCTION("GOOGLETRANSLATE(C145, ""en"", ""bn"")"),"ক) চট্টগ্রাম, খ) সিলেট, গ) ঢাকা, ঘ) খুলনা")</f>
        <v>ক) চট্টগ্রাম, খ) সিলেট, গ) ঢাকা, ঘ) খুলনা</v>
      </c>
      <c r="M145" s="10" t="str">
        <f>IFERROR(__xludf.DUMMYFUNCTION("GOOGLETRANSLATE(D145, ""en"", ""bn"")"),"গ) ঢাকা")</f>
        <v>গ) ঢাকা</v>
      </c>
      <c r="N145" s="10" t="str">
        <f>IFERROR(__xludf.DUMMYFUNCTION("GOOGLETRANSLATE(E145, ""en"", ""bn"")"),"স্বাধীনতার পর খেলাধুলাকে জনপ্রিয় করার লক্ষ্যে প্রথম আনুষ্ঠানিক জাতীয় টুর্নামেন্টটি রাজধানী ঢাকায় অনুষ্ঠিত হয়েছিল।")</f>
        <v>স্বাধীনতার পর খেলাধুলাকে জনপ্রিয় করার লক্ষ্যে প্রথম আনুষ্ঠানিক জাতীয় টুর্নামেন্টটি রাজধানী ঢাকায় অনুষ্ঠিত হয়েছিল।</v>
      </c>
    </row>
    <row r="146">
      <c r="A146" s="13">
        <v>145.0</v>
      </c>
      <c r="B146" s="13" t="s">
        <v>1831</v>
      </c>
      <c r="C146" s="13" t="s">
        <v>1832</v>
      </c>
      <c r="D146" s="13" t="s">
        <v>1833</v>
      </c>
      <c r="E146" s="13" t="s">
        <v>1834</v>
      </c>
      <c r="J146" s="10" t="str">
        <f>IFERROR(__xludf.DUMMYFUNCTION("GOOGLETRANSLATE(A146, ""en"", ""bn"")"),"১৪৫")</f>
        <v>১৪৫</v>
      </c>
      <c r="K146" s="10" t="str">
        <f>IFERROR(__xludf.DUMMYFUNCTION("GOOGLETRANSLATE(B146, ""en"", ""bn"")"),"বাংলার ইতিহাসের কোন ঐতিহাসিক ব্যক্তিত্ব প্রায়শই সাধারণ মানুষের মধ্যে হা-ডু-ডু প্রচারের সাথে যুক্ত?")</f>
        <v>বাংলার ইতিহাসের কোন ঐতিহাসিক ব্যক্তিত্ব প্রায়শই সাধারণ মানুষের মধ্যে হা-ডু-ডু প্রচারের সাথে যুক্ত?</v>
      </c>
      <c r="L146" s="10" t="str">
        <f>IFERROR(__xludf.DUMMYFUNCTION("GOOGLETRANSLATE(C146, ""en"", ""bn"")"),"A) নেতাজি সুভাষ চন্দ্র বসু, B) বঙ্গবন্ধু শেখ মুজিবুর রহমান, C) রবীন্দ্রনাথ ঠাকুর, D) কাজী নজরুল ইসলাম")</f>
        <v>A) নেতাজি সুভাষ চন্দ্র বসু, B) বঙ্গবন্ধু শেখ মুজিবুর রহমান, C) রবীন্দ্রনাথ ঠাকুর, D) কাজী নজরুল ইসলাম</v>
      </c>
      <c r="M146" s="10" t="str">
        <f>IFERROR(__xludf.DUMMYFUNCTION("GOOGLETRANSLATE(D146, ""en"", ""bn"")"),"খ) বঙ্গবন্ধু শেখ মুজিবুর রহমান")</f>
        <v>খ) বঙ্গবন্ধু শেখ মুজিবুর রহমান</v>
      </c>
      <c r="N146" s="10" t="str">
        <f>IFERROR(__xludf.DUMMYFUNCTION("GOOGLETRANSLATE(E146, ""en"", ""bn"")"),"বাংলাদেশের প্রতিষ্ঠাতা বঙ্গবন্ধু শেখ মুজিবুর রহমান ঐতিহ্যবাহী বাঙালি সংস্কৃতির একজন জোরালো সমর্থক ছিলেন এবং খেলাধুলার পুনরুজ্জীবনে গুরুত্বপূর্ণ ভূমিকা পালন করেছিলেন।")</f>
        <v>বাংলাদেশের প্রতিষ্ঠাতা বঙ্গবন্ধু শেখ মুজিবুর রহমান ঐতিহ্যবাহী বাঙালি সংস্কৃতির একজন জোরালো সমর্থক ছিলেন এবং খেলাধুলার পুনরুজ্জীবনে গুরুত্বপূর্ণ ভূমিকা পালন করেছিলেন।</v>
      </c>
    </row>
    <row r="147">
      <c r="A147" s="13">
        <v>146.0</v>
      </c>
      <c r="B147" s="13" t="s">
        <v>1835</v>
      </c>
      <c r="C147" s="13" t="s">
        <v>1836</v>
      </c>
      <c r="D147" s="13" t="s">
        <v>1837</v>
      </c>
      <c r="E147" s="13" t="s">
        <v>1838</v>
      </c>
      <c r="J147" s="10" t="str">
        <f>IFERROR(__xludf.DUMMYFUNCTION("GOOGLETRANSLATE(A147, ""en"", ""bn"")"),"১৪৬")</f>
        <v>১৪৬</v>
      </c>
      <c r="K147" s="10" t="str">
        <f>IFERROR(__xludf.DUMMYFUNCTION("GOOGLETRANSLATE(B147, ""en"", ""bn"")"),"গ্রামীণ বাংলার হা-ডু-ডু বাদকদের ঐতিহ্যবাহী 'ইউনিফর্ম' কী ছিল?")</f>
        <v>গ্রামীণ বাংলার হা-ডু-ডু বাদকদের ঐতিহ্যবাহী 'ইউনিফর্ম' কী ছিল?</v>
      </c>
      <c r="L147" s="10" t="str">
        <f>IFERROR(__xludf.DUMMYFUNCTION("GOOGLETRANSLATE(C147, ""en"", ""bn"")"),"ক) লুঙ্গি, খ) ধুতি, গ) ঢিলেঢালা প্যান্ট, ঘ) হাফপ্যান্ট")</f>
        <v>ক) লুঙ্গি, খ) ধুতি, গ) ঢিলেঢালা প্যান্ট, ঘ) হাফপ্যান্ট</v>
      </c>
      <c r="M147" s="10" t="str">
        <f>IFERROR(__xludf.DUMMYFUNCTION("GOOGLETRANSLATE(D147, ""en"", ""bn"")"),"ক) লুঙ্গি")</f>
        <v>ক) লুঙ্গি</v>
      </c>
      <c r="N147" s="10" t="str">
        <f>IFERROR(__xludf.DUMMYFUNCTION("GOOGLETRANSLATE(E147, ""en"", ""bn"")"),"গ্রামাঞ্চলের খেলোয়াড়রা ঐতিহ্যগতভাবে লুঙ্গি (কোমরে জড়িয়ে রাখা একটি ঢিলেঢালা পোশাক) অথবা আরাম এবং চলাচলের সুবিধার জন্য সাধারণ সুতির প্যান্ট পরতেন।")</f>
        <v>গ্রামাঞ্চলের খেলোয়াড়রা ঐতিহ্যগতভাবে লুঙ্গি (কোমরে জড়িয়ে রাখা একটি ঢিলেঢালা পোশাক) অথবা আরাম এবং চলাচলের সুবিধার জন্য সাধারণ সুতির প্যান্ট পরতেন।</v>
      </c>
    </row>
    <row r="148">
      <c r="A148" s="13">
        <v>147.0</v>
      </c>
      <c r="B148" s="13" t="s">
        <v>1839</v>
      </c>
      <c r="C148" s="13" t="s">
        <v>1840</v>
      </c>
      <c r="D148" s="13" t="s">
        <v>1841</v>
      </c>
      <c r="E148" s="14" t="s">
        <v>1842</v>
      </c>
      <c r="J148" s="10" t="str">
        <f>IFERROR(__xludf.DUMMYFUNCTION("GOOGLETRANSLATE(A148, ""en"", ""bn"")"),"১৪৭")</f>
        <v>১৪৭</v>
      </c>
      <c r="K148" s="10" t="str">
        <f>IFERROR(__xludf.DUMMYFUNCTION("GOOGLETRANSLATE(B148, ""en"", ""bn"")"),"ট্যাগ আউট হওয়ার পর একজন খেলোয়াড়ের খেলায় 'পুনরুজ্জীবন' বা 'পুনরায় প্রবেশ'-এর ঐতিহাসিক পরিভাষা কী ছিল?")</f>
        <v>ট্যাগ আউট হওয়ার পর একজন খেলোয়াড়ের খেলায় 'পুনরুজ্জীবন' বা 'পুনরায় প্রবেশ'-এর ঐতিহাসিক পরিভাষা কী ছিল?</v>
      </c>
      <c r="L148" s="10" t="str">
        <f>IFERROR(__xludf.DUMMYFUNCTION("GOOGLETRANSLATE(C148, ""en"", ""bn"")"),"A) 'জীবন,' B) 'পুনরাগোমন,' C) 'ফেরে আশা,' D) 'মুক্তির'")</f>
        <v>A) 'জীবন,' B) 'পুনরাগোমন,' C) 'ফেরে আশা,' D) 'মুক্তির'</v>
      </c>
      <c r="M148" s="10" t="str">
        <f>IFERROR(__xludf.DUMMYFUNCTION("GOOGLETRANSLATE(D148, ""en"", ""bn"")"),"খ) 'পুনোরগোমন'")</f>
        <v>খ) 'পুনোরগোমন'</v>
      </c>
      <c r="N148" s="10" t="str">
        <f>IFERROR(__xludf.DUMMYFUNCTION("GOOGLETRANSLATE(E148, ""en"", ""bn"")"),"পুনোরাগোমন' (যার অর্থ 'প্রত্যাবর্তন' বা 'পুনরায় প্রবেশ') ছিল একজন খেলোয়াড়ের সতীর্থের সফলভাবে পয়েন্ট অর্জনের পর খেলায় ফিরে আসার ঐতিহ্যবাহী শব্দ।")</f>
        <v>পুনোরাগোমন' (যার অর্থ 'প্রত্যাবর্তন' বা 'পুনরায় প্রবেশ') ছিল একজন খেলোয়াড়ের সতীর্থের সফলভাবে পয়েন্ট অর্জনের পর খেলায় ফিরে আসার ঐতিহ্যবাহী শব্দ।</v>
      </c>
    </row>
    <row r="149">
      <c r="A149" s="13">
        <v>148.0</v>
      </c>
      <c r="B149" s="13" t="s">
        <v>1843</v>
      </c>
      <c r="C149" s="13" t="s">
        <v>1844</v>
      </c>
      <c r="D149" s="13" t="s">
        <v>1845</v>
      </c>
      <c r="E149" s="13" t="s">
        <v>1846</v>
      </c>
      <c r="J149" s="10" t="str">
        <f>IFERROR(__xludf.DUMMYFUNCTION("GOOGLETRANSLATE(A149, ""en"", ""bn"")"),"১৪৮")</f>
        <v>১৪৮</v>
      </c>
      <c r="K149" s="10" t="str">
        <f>IFERROR(__xludf.DUMMYFUNCTION("GOOGLETRANSLATE(B149, ""en"", ""bn"")"),"বাংলার সুলতানি আমলে হা-ডু-ডুর জনপ্রিয়তা কোন রাজবংশের শারীরিক সুস্থতার প্রতি আগ্রহের ফলস্বরূপ ছিল?")</f>
        <v>বাংলার সুলতানি আমলে হা-ডু-ডুর জনপ্রিয়তা কোন রাজবংশের শারীরিক সুস্থতার প্রতি আগ্রহের ফলস্বরূপ ছিল?</v>
      </c>
      <c r="L149" s="10" t="str">
        <f>IFERROR(__xludf.DUMMYFUNCTION("GOOGLETRANSLATE(C149, ""en"", ""bn"")"),"ক) ইলিয়াস শাহী রাজবংশ, খ) হোসেন শাহী রাজবংশ, গ) মুঘল রাজবংশ, ঘ) ঘোরি রাজবংশ")</f>
        <v>ক) ইলিয়াস শাহী রাজবংশ, খ) হোসেন শাহী রাজবংশ, গ) মুঘল রাজবংশ, ঘ) ঘোরি রাজবংশ</v>
      </c>
      <c r="M149" s="10" t="str">
        <f>IFERROR(__xludf.DUMMYFUNCTION("GOOGLETRANSLATE(D149, ""en"", ""bn"")"),"ক) ইলিয়াস শাহী রাজবংশ")</f>
        <v>ক) ইলিয়াস শাহী রাজবংশ</v>
      </c>
      <c r="N149" s="10" t="str">
        <f>IFERROR(__xludf.DUMMYFUNCTION("GOOGLETRANSLATE(E149, ""en"", ""bn"")"),"ইলিয়াস শাহী রাজবংশ স্থানীয় বাঙালি সংস্কৃতি এবং শারীরিক শিল্পের প্রচারের জন্য পরিচিত ছিল, যা হা-ডু-ডুর মতো খেলাধুলাকে জনপ্রিয় করতে সাহায্য করেছিল।")</f>
        <v>ইলিয়াস শাহী রাজবংশ স্থানীয় বাঙালি সংস্কৃতি এবং শারীরিক শিল্পের প্রচারের জন্য পরিচিত ছিল, যা হা-ডু-ডুর মতো খেলাধুলাকে জনপ্রিয় করতে সাহায্য করেছিল।</v>
      </c>
    </row>
    <row r="150">
      <c r="A150" s="13">
        <v>149.0</v>
      </c>
      <c r="B150" s="13" t="s">
        <v>1847</v>
      </c>
      <c r="C150" s="13" t="s">
        <v>1848</v>
      </c>
      <c r="D150" s="13" t="s">
        <v>1849</v>
      </c>
      <c r="E150" s="13" t="s">
        <v>1850</v>
      </c>
      <c r="J150" s="10" t="str">
        <f>IFERROR(__xludf.DUMMYFUNCTION("GOOGLETRANSLATE(A150, ""en"", ""bn"")"),"১৪৯")</f>
        <v>১৪৯</v>
      </c>
      <c r="K150" s="10" t="str">
        <f>IFERROR(__xludf.DUMMYFUNCTION("GOOGLETRANSLATE(B150, ""en"", ""bn"")"),"বিংশ শতাব্দীর কোন বাংলাদেশী চলচ্চিত্রের মূল বিষয়বস্তু ছিল হা-ডু-ডু?")</f>
        <v>বিংশ শতাব্দীর কোন বাংলাদেশী চলচ্চিত্রের মূল বিষয়বস্তু ছিল হা-ডু-ডু?</v>
      </c>
      <c r="L150" s="10" t="str">
        <f>IFERROR(__xludf.DUMMYFUNCTION("GOOGLETRANSLATE(C150, ""en"", ""bn"")"),"A) 'নবাব সিরাজ-উদ-দৌলা,' B) 'সুরের আগুন,' C) 'দুহশাশোন,' D) 'কাবাডি'")</f>
        <v>A) 'নবাব সিরাজ-উদ-দৌলা,' B) 'সুরের আগুন,' C) 'দুহশাশোন,' D) 'কাবাডি'</v>
      </c>
      <c r="M150" s="10" t="str">
        <f>IFERROR(__xludf.DUMMYFUNCTION("GOOGLETRANSLATE(D150, ""en"", ""bn"")"),"খ) 'সুরের আগুন'")</f>
        <v>খ) 'সুরের আগুন'</v>
      </c>
      <c r="N150" s="10" t="str">
        <f>IFERROR(__xludf.DUMMYFUNCTION("GOOGLETRANSLATE(E150, ""en"", ""bn"")"),"১৯৭৮ সালের 'সুরের আগুন' চলচ্চিত্রে হা-ডু-ডুকে একটি বিশিষ্ট বিষয়বস্তু হিসেবে দেখানো হয়েছিল, যা নতুন প্রজন্মের কাছে এর সারমর্ম এবং সাংস্কৃতিক তাৎপর্য তুলে ধরতে সাহায্য করেছিল।")</f>
        <v>১৯৭৮ সালের 'সুরের আগুন' চলচ্চিত্রে হা-ডু-ডুকে একটি বিশিষ্ট বিষয়বস্তু হিসেবে দেখানো হয়েছিল, যা নতুন প্রজন্মের কাছে এর সারমর্ম এবং সাংস্কৃতিক তাৎপর্য তুলে ধরতে সাহায্য করেছিল।</v>
      </c>
    </row>
    <row r="151">
      <c r="A151" s="13">
        <v>150.0</v>
      </c>
      <c r="B151" s="13" t="s">
        <v>1851</v>
      </c>
      <c r="C151" s="13" t="s">
        <v>1852</v>
      </c>
      <c r="D151" s="13" t="s">
        <v>1853</v>
      </c>
      <c r="E151" s="13" t="s">
        <v>1854</v>
      </c>
      <c r="J151" s="10" t="str">
        <f>IFERROR(__xludf.DUMMYFUNCTION("GOOGLETRANSLATE(A151, ""en"", ""bn"")"),"১৫০")</f>
        <v>১৫০</v>
      </c>
      <c r="K151" s="10" t="str">
        <f>IFERROR(__xludf.DUMMYFUNCTION("GOOGLETRANSLATE(B151, ""en"", ""bn"")"),"হা-ডু-ডু ম্যাচে পুরো দলের ঐতিহাসিক নাম কী ছিল?")</f>
        <v>হা-ডু-ডু ম্যাচে পুরো দলের ঐতিহাসিক নাম কী ছিল?</v>
      </c>
      <c r="L151" s="10" t="str">
        <f>IFERROR(__xludf.DUMMYFUNCTION("GOOGLETRANSLATE(C151, ""en"", ""bn"")"),"ক) 'ডাল', 'খ) 'গোষ্ঠী,' গ) 'বাহিনী,' ঘ) 'জুঠো'")</f>
        <v>ক) 'ডাল', 'খ) 'গোষ্ঠী,' গ) 'বাহিনী,' ঘ) 'জুঠো'</v>
      </c>
      <c r="M151" s="10" t="str">
        <f>IFERROR(__xludf.DUMMYFUNCTION("GOOGLETRANSLATE(D151, ""en"", ""bn"")"),"ক) 'ডাল'")</f>
        <v>ক) 'ডাল'</v>
      </c>
      <c r="N151" s="10" t="str">
        <f>IFERROR(__xludf.DUMMYFUNCTION("GOOGLETRANSLATE(E151, ""en"", ""bn"")"),"'ডাল' শব্দটি (যার অর্থ 'দল' বা 'দল') হা-ডু-ডু খেলার একটি দলের জন্য ব্যবহৃত সাধারণ শব্দ ছিল এবং এখনও আছে।")</f>
        <v>'ডাল' শব্দটি (যার অর্থ 'দল' বা 'দল') হা-ডু-ডু খেলার একটি দলের জন্য ব্যবহৃত সাধারণ শব্দ ছিল এবং এখনও আছে।</v>
      </c>
    </row>
    <row r="152">
      <c r="A152" s="13">
        <v>151.0</v>
      </c>
      <c r="B152" s="13" t="s">
        <v>1855</v>
      </c>
      <c r="C152" s="13" t="s">
        <v>1142</v>
      </c>
      <c r="D152" s="13" t="s">
        <v>1856</v>
      </c>
      <c r="E152" s="13" t="s">
        <v>1857</v>
      </c>
      <c r="J152" s="10" t="str">
        <f>IFERROR(__xludf.DUMMYFUNCTION("GOOGLETRANSLATE(A152, ""en"", ""bn"")"),"১৫১")</f>
        <v>১৫১</v>
      </c>
      <c r="K152" s="10" t="str">
        <f>IFERROR(__xludf.DUMMYFUNCTION("GOOGLETRANSLATE(B152, ""en"", ""bn"")"),"আধুনিক হা-ডু-ডুতে 'বোনাস লাইন' থাকার নিয়ম কোন দশকে চালু হয়েছিল?")</f>
        <v>আধুনিক হা-ডু-ডুতে 'বোনাস লাইন' থাকার নিয়ম কোন দশকে চালু হয়েছিল?</v>
      </c>
      <c r="L152" s="10" t="str">
        <f>IFERROR(__xludf.DUMMYFUNCTION("GOOGLETRANSLATE(C152, ""en"", ""bn"")"),"ক) ১৯৭০ এর দশক, খ) ১৯৮০ এর দশক, গ) ১৯৯০ এর দশক, ঘ) ২০০০ এর দশক")</f>
        <v>ক) ১৯৭০ এর দশক, খ) ১৯৮০ এর দশক, গ) ১৯৯০ এর দশক, ঘ) ২০০০ এর দশক</v>
      </c>
      <c r="M152" s="10" t="str">
        <f>IFERROR(__xludf.DUMMYFUNCTION("GOOGLETRANSLATE(D152, ""en"", ""bn"")"),"গ) ১৯৯০ এর দশক")</f>
        <v>গ) ১৯৯০ এর দশক</v>
      </c>
      <c r="N152" s="10" t="str">
        <f>IFERROR(__xludf.DUMMYFUNCTION("GOOGLETRANSLATE(E152, ""en"", ""bn"")"),"খেলায় আরও গতিশীলতা যোগ করার জন্য 'বোনাস লাইন' ১৯৯০-এর দশকে চালু করা হয়েছিল, যার ফলে রেইডার একটি নির্দিষ্ট লাইন স্পর্শ করে অতিরিক্ত পয়েন্ট অর্জন করতে পারত।")</f>
        <v>খেলায় আরও গতিশীলতা যোগ করার জন্য 'বোনাস লাইন' ১৯৯০-এর দশকে চালু করা হয়েছিল, যার ফলে রেইডার একটি নির্দিষ্ট লাইন স্পর্শ করে অতিরিক্ত পয়েন্ট অর্জন করতে পারত।</v>
      </c>
    </row>
    <row r="153">
      <c r="A153" s="13">
        <v>152.0</v>
      </c>
      <c r="B153" s="13" t="s">
        <v>1858</v>
      </c>
      <c r="C153" s="13" t="s">
        <v>1859</v>
      </c>
      <c r="D153" s="13" t="s">
        <v>1860</v>
      </c>
      <c r="E153" s="13" t="s">
        <v>1861</v>
      </c>
      <c r="J153" s="10" t="str">
        <f>IFERROR(__xludf.DUMMYFUNCTION("GOOGLETRANSLATE(A153, ""en"", ""bn"")"),"১৫২")</f>
        <v>১৫২</v>
      </c>
      <c r="K153" s="10" t="str">
        <f>IFERROR(__xludf.DUMMYFUNCTION("GOOGLETRANSLATE(B153, ""en"", ""bn"")"),"ঐতিহাসিকভাবে, হা-ডু-ডু ম্যাচগুলি প্রায়শই কোন ধরণের লোকজ পরিবেশনার সাথে থাকত?")</f>
        <v>ঐতিহাসিকভাবে, হা-ডু-ডু ম্যাচগুলি প্রায়শই কোন ধরণের লোকজ পরিবেশনার সাথে থাকত?</v>
      </c>
      <c r="L153" s="10" t="str">
        <f>IFERROR(__xludf.DUMMYFUNCTION("GOOGLETRANSLATE(C153, ""en"", ""bn"")"),"A) জারি গান, B) বাউল গান, C) লালন গীতি, D) পালা গান")</f>
        <v>A) জারি গান, B) বাউল গান, C) লালন গীতি, D) পালা গান</v>
      </c>
      <c r="M153" s="10" t="str">
        <f>IFERROR(__xludf.DUMMYFUNCTION("GOOGLETRANSLATE(D153, ""en"", ""bn"")"),"ক) জারি গান")</f>
        <v>ক) জারি গান</v>
      </c>
      <c r="N153" s="10" t="str">
        <f>IFERROR(__xludf.DUMMYFUNCTION("GOOGLETRANSLATE(E153, ""en"", ""bn"")"),"হা-ডু-ডু খেলার সময় জারি গান (এক ধরণের লোকগীতি) প্রায়শই গাওয়া হত, যা বীরত্বের গল্প বর্ণনা করত এবং খেলোয়াড়দের অনুপ্রাণিত করত।")</f>
        <v>হা-ডু-ডু খেলার সময় জারি গান (এক ধরণের লোকগীতি) প্রায়শই গাওয়া হত, যা বীরত্বের গল্প বর্ণনা করত এবং খেলোয়াড়দের অনুপ্রাণিত করত।</v>
      </c>
    </row>
    <row r="154">
      <c r="A154" s="13">
        <v>153.0</v>
      </c>
      <c r="B154" s="13" t="s">
        <v>1862</v>
      </c>
      <c r="C154" s="13" t="s">
        <v>1863</v>
      </c>
      <c r="D154" s="13" t="s">
        <v>1864</v>
      </c>
      <c r="E154" s="13" t="s">
        <v>1865</v>
      </c>
      <c r="J154" s="10" t="str">
        <f>IFERROR(__xludf.DUMMYFUNCTION("GOOGLETRANSLATE(A154, ""en"", ""bn"")"),"১৫৩")</f>
        <v>১৫৩</v>
      </c>
      <c r="K154" s="10" t="str">
        <f>IFERROR(__xludf.DUMMYFUNCTION("GOOGLETRANSLATE(B154, ""en"", ""bn"")"),"গ্রামীণ বাংলায় ঐতিহাসিকভাবে হা-ডু-ডু বাজানো কোন ধরণের সামাজিক ঐক্যকে উৎসাহিত করেছে?")</f>
        <v>গ্রামীণ বাংলায় ঐতিহাসিকভাবে হা-ডু-ডু বাজানো কোন ধরণের সামাজিক ঐক্যকে উৎসাহিত করেছে?</v>
      </c>
      <c r="L154" s="10" t="str">
        <f>IFERROR(__xludf.DUMMYFUNCTION("GOOGLETRANSLATE(C154, ""en"", ""bn"")"),"ক) ধর্মীয় ঐক্য, খ) বর্ণ ঐক্য, গ) আন্তঃগ্রাম ঐক্য, ঘ) শ্রেণী ঐক্য")</f>
        <v>ক) ধর্মীয় ঐক্য, খ) বর্ণ ঐক্য, গ) আন্তঃগ্রাম ঐক্য, ঘ) শ্রেণী ঐক্য</v>
      </c>
      <c r="M154" s="10" t="str">
        <f>IFERROR(__xludf.DUMMYFUNCTION("GOOGLETRANSLATE(D154, ""en"", ""bn"")"),"গ) আন্তঃগ্রাম ঐক্য")</f>
        <v>গ) আন্তঃগ্রাম ঐক্য</v>
      </c>
      <c r="N154" s="10" t="str">
        <f>IFERROR(__xludf.DUMMYFUNCTION("GOOGLETRANSLATE(E154, ""en"", ""bn"")"),"এই খেলাটি প্রতিদ্বন্দ্বী গ্রামগুলির মধ্যে বন্ধুত্বপূর্ণ এবং কাঠামোগতভাবে প্রতিযোগিতা করার একটি উপায় ছিল, যা প্রায়শই উদযাপন এবং সম্পর্কের উন্নতির দিকে পরিচালিত করত।")</f>
        <v>এই খেলাটি প্রতিদ্বন্দ্বী গ্রামগুলির মধ্যে বন্ধুত্বপূর্ণ এবং কাঠামোগতভাবে প্রতিযোগিতা করার একটি উপায় ছিল, যা প্রায়শই উদযাপন এবং সম্পর্কের উন্নতির দিকে পরিচালিত করত।</v>
      </c>
    </row>
    <row r="155">
      <c r="A155" s="13">
        <v>154.0</v>
      </c>
      <c r="B155" s="13" t="s">
        <v>1866</v>
      </c>
      <c r="C155" s="13" t="s">
        <v>1867</v>
      </c>
      <c r="D155" s="13" t="s">
        <v>1868</v>
      </c>
      <c r="E155" s="13" t="s">
        <v>1869</v>
      </c>
      <c r="J155" s="10" t="str">
        <f>IFERROR(__xludf.DUMMYFUNCTION("GOOGLETRANSLATE(A155, ""en"", ""bn"")"),"১৫৪")</f>
        <v>১৫৪</v>
      </c>
      <c r="K155" s="10" t="str">
        <f>IFERROR(__xludf.DUMMYFUNCTION("GOOGLETRANSLATE(B155, ""en"", ""bn"")"),"হা-ডু-ডু দলে 'কোচ' বা 'প্রশিক্ষক'-এর ঐতিহাসিক ভূমিকা কী ছিল?")</f>
        <v>হা-ডু-ডু দলে 'কোচ' বা 'প্রশিক্ষক'-এর ঐতিহাসিক ভূমিকা কী ছিল?</v>
      </c>
      <c r="L155" s="10" t="str">
        <f>IFERROR(__xludf.DUMMYFUNCTION("GOOGLETRANSLATE(C155, ""en"", ""bn"")"),"ক) একজন আনুষ্ঠানিক কোচ, খ) একজন বয়স্ক খেলোয়াড়, গ) দলের অধিনায়ক, ঘ) গ্রামের একজন প্রবীণ ব্যক্তি")</f>
        <v>ক) একজন আনুষ্ঠানিক কোচ, খ) একজন বয়স্ক খেলোয়াড়, গ) দলের অধিনায়ক, ঘ) গ্রামের একজন প্রবীণ ব্যক্তি</v>
      </c>
      <c r="M155" s="10" t="str">
        <f>IFERROR(__xludf.DUMMYFUNCTION("GOOGLETRANSLATE(D155, ""en"", ""bn"")"),"ঘ) গ্রামের একজন প্রবীণ ব্যক্তি")</f>
        <v>ঘ) গ্রামের একজন প্রবীণ ব্যক্তি</v>
      </c>
      <c r="N155" s="10" t="str">
        <f>IFERROR(__xludf.DUMMYFUNCTION("GOOGLETRANSLATE(E155, ""en"", ""bn"")"),"ঐতিহাসিকভাবে, দলটির নেতৃত্বে ছিলেন একজন অভিজ্ঞ খেলোয়াড় অথবা একজন সম্মানিত গ্রামের প্রবীণ যিনি কৌশলগত পরামর্শ এবং পরামর্শ প্রদান করতেন।")</f>
        <v>ঐতিহাসিকভাবে, দলটির নেতৃত্বে ছিলেন একজন অভিজ্ঞ খেলোয়াড় অথবা একজন সম্মানিত গ্রামের প্রবীণ যিনি কৌশলগত পরামর্শ এবং পরামর্শ প্রদান করতেন।</v>
      </c>
    </row>
    <row r="156">
      <c r="A156" s="13">
        <v>155.0</v>
      </c>
      <c r="B156" s="13" t="s">
        <v>1870</v>
      </c>
      <c r="C156" s="13" t="s">
        <v>1871</v>
      </c>
      <c r="D156" s="13" t="s">
        <v>1872</v>
      </c>
      <c r="E156" s="13" t="s">
        <v>1873</v>
      </c>
      <c r="J156" s="10" t="str">
        <f>IFERROR(__xludf.DUMMYFUNCTION("GOOGLETRANSLATE(A156, ""en"", ""bn"")"),"১৫৫")</f>
        <v>১৫৫</v>
      </c>
      <c r="K156" s="10" t="str">
        <f>IFERROR(__xludf.DUMMYFUNCTION("GOOGLETRANSLATE(B156, ""en"", ""bn"")"),"হা-ডু-ডুতে দুটি বিপরীত দল গঠনের ঐতিহ্যবাহী পদ্ধতি কী ছিল?")</f>
        <v>হা-ডু-ডুতে দুটি বিপরীত দল গঠনের ঐতিহ্যবাহী পদ্ধতি কী ছিল?</v>
      </c>
      <c r="L156" s="10" t="str">
        <f>IFERROR(__xludf.DUMMYFUNCTION("GOOGLETRANSLATE(C156, ""en"", ""bn"")"),"ক) মুদ্রা টস দ্বারা, খ) ড্র দ্বারা, গ) অধিনায়কদের খেলোয়াড় নির্বাচনের পদ্ধতি দ্বারা, ঘ) গ্রামের সীমানা দ্বারা")</f>
        <v>ক) মুদ্রা টস দ্বারা, খ) ড্র দ্বারা, গ) অধিনায়কদের খেলোয়াড় নির্বাচনের পদ্ধতি দ্বারা, ঘ) গ্রামের সীমানা দ্বারা</v>
      </c>
      <c r="M156" s="10" t="str">
        <f>IFERROR(__xludf.DUMMYFUNCTION("GOOGLETRANSLATE(D156, ""en"", ""bn"")"),"গ) অধিনায়কদের খেলোয়াড় নির্বাচনের একটি পদ্ধতি দ্বারা")</f>
        <v>গ) অধিনায়কদের খেলোয়াড় নির্বাচনের একটি পদ্ধতি দ্বারা</v>
      </c>
      <c r="N156" s="10" t="str">
        <f>IFERROR(__xludf.DUMMYFUNCTION("GOOGLETRANSLATE(E156, ""en"", ""bn"")"),"ঐতিহাসিকভাবে, দুজন অধিনায়ক নির্বাচিত হতেন, যারা পালাক্রমে তাদের নিজ নিজ দলের জন্য খেলোয়াড় নির্বাচন করতেন, এই প্রক্রিয়াটি 'গোলা' নামে পরিচিত।")</f>
        <v>ঐতিহাসিকভাবে, দুজন অধিনায়ক নির্বাচিত হতেন, যারা পালাক্রমে তাদের নিজ নিজ দলের জন্য খেলোয়াড় নির্বাচন করতেন, এই প্রক্রিয়াটি 'গোলা' নামে পরিচিত।</v>
      </c>
    </row>
    <row r="157">
      <c r="A157" s="13">
        <v>156.0</v>
      </c>
      <c r="B157" s="13" t="s">
        <v>1874</v>
      </c>
      <c r="C157" s="13" t="s">
        <v>1875</v>
      </c>
      <c r="D157" s="13" t="s">
        <v>1876</v>
      </c>
      <c r="E157" s="13" t="s">
        <v>1877</v>
      </c>
      <c r="J157" s="10" t="str">
        <f>IFERROR(__xludf.DUMMYFUNCTION("GOOGLETRANSLATE(A157, ""en"", ""bn"")"),"১৫৬")</f>
        <v>১৫৬</v>
      </c>
      <c r="K157" s="10" t="str">
        <f>IFERROR(__xludf.DUMMYFUNCTION("GOOGLETRANSLATE(B157, ""en"", ""bn"")"),"বাংলাদেশে প্রথম পেশাদার হা-ডু-ডু লীগ কত সালে চালু হয়?")</f>
        <v>বাংলাদেশে প্রথম পেশাদার হা-ডু-ডু লীগ কত সালে চালু হয়?</v>
      </c>
      <c r="L157" s="10" t="str">
        <f>IFERROR(__xludf.DUMMYFUNCTION("GOOGLETRANSLATE(C157, ""en"", ""bn"")"),"ক) ১৯৯৫, খ) ২০০১, গ) ২০১০, ঘ) ২০১৫")</f>
        <v>ক) ১৯৯৫, খ) ২০০১, গ) ২০১০, ঘ) ২০১৫</v>
      </c>
      <c r="M157" s="10" t="str">
        <f>IFERROR(__xludf.DUMMYFUNCTION("GOOGLETRANSLATE(D157, ""en"", ""bn"")"),"গ) ২০১০")</f>
        <v>গ) ২০১০</v>
      </c>
      <c r="N157" s="10" t="str">
        <f>IFERROR(__xludf.DUMMYFUNCTION("GOOGLETRANSLATE(E157, ""en"", ""bn"")"),"পেশাদার কাবাডি লীগ (হা-ডু-ডু লীগ) ২০১০ সালে চালু হয়েছিল, যা খেলাধুলার পেশাদারীকরণের দিকে একটি গুরুত্বপূর্ণ পদক্ষেপ।")</f>
        <v>পেশাদার কাবাডি লীগ (হা-ডু-ডু লীগ) ২০১০ সালে চালু হয়েছিল, যা খেলাধুলার পেশাদারীকরণের দিকে একটি গুরুত্বপূর্ণ পদক্ষেপ।</v>
      </c>
    </row>
    <row r="158">
      <c r="A158" s="13">
        <v>157.0</v>
      </c>
      <c r="B158" s="13" t="s">
        <v>1878</v>
      </c>
      <c r="C158" s="13" t="s">
        <v>1879</v>
      </c>
      <c r="D158" s="13" t="s">
        <v>1880</v>
      </c>
      <c r="E158" s="13" t="s">
        <v>1881</v>
      </c>
      <c r="J158" s="10" t="str">
        <f>IFERROR(__xludf.DUMMYFUNCTION("GOOGLETRANSLATE(A158, ""en"", ""bn"")"),"১৫৭")</f>
        <v>১৫৭</v>
      </c>
      <c r="K158" s="10" t="str">
        <f>IFERROR(__xludf.DUMMYFUNCTION("GOOGLETRANSLATE(B158, ""en"", ""bn"")"),"১৯৭০ এবং ৮০ এর দশকে হা-ডু-ডুর জনপ্রিয়তার মূল কারণ কী ছিল?")</f>
        <v>১৯৭০ এবং ৮০ এর দশকে হা-ডু-ডুর জনপ্রিয়তার মূল কারণ কী ছিল?</v>
      </c>
      <c r="L158" s="10" t="str">
        <f>IFERROR(__xludf.DUMMYFUNCTION("GOOGLETRANSLATE(C158, ""en"", ""bn"")"),"ক) সরকারি সহায়তা, খ) মিডিয়া কভারেজ, গ) আন্তর্জাতিক সাফল্য, ঘ) সেলিব্রিটিদের অনুমোদন")</f>
        <v>ক) সরকারি সহায়তা, খ) মিডিয়া কভারেজ, গ) আন্তর্জাতিক সাফল্য, ঘ) সেলিব্রিটিদের অনুমোদন</v>
      </c>
      <c r="M158" s="10" t="str">
        <f>IFERROR(__xludf.DUMMYFUNCTION("GOOGLETRANSLATE(D158, ""en"", ""bn"")"),"খ) মিডিয়া কভারেজ")</f>
        <v>খ) মিডিয়া কভারেজ</v>
      </c>
      <c r="N158" s="10" t="str">
        <f>IFERROR(__xludf.DUMMYFUNCTION("GOOGLETRANSLATE(E158, ""en"", ""bn"")"),"স্বাধীনতা-উত্তর যুগে টেলিভিশন এবং রেডিওর বর্ধিত প্রচারের ফলে খেলাটি জাতীয় দর্শকদের কাছে পৌঁছে যায়, যা এটিকে ঘরে ঘরে জনপ্রিয় করে তোলে।")</f>
        <v>স্বাধীনতা-উত্তর যুগে টেলিভিশন এবং রেডিওর বর্ধিত প্রচারের ফলে খেলাটি জাতীয় দর্শকদের কাছে পৌঁছে যায়, যা এটিকে ঘরে ঘরে জনপ্রিয় করে তোলে।</v>
      </c>
    </row>
    <row r="159">
      <c r="A159" s="13">
        <v>158.0</v>
      </c>
      <c r="B159" s="13" t="s">
        <v>1882</v>
      </c>
      <c r="C159" s="13" t="s">
        <v>1883</v>
      </c>
      <c r="D159" s="13" t="s">
        <v>1884</v>
      </c>
      <c r="E159" s="13" t="s">
        <v>1885</v>
      </c>
      <c r="J159" s="10" t="str">
        <f>IFERROR(__xludf.DUMMYFUNCTION("GOOGLETRANSLATE(A159, ""en"", ""bn"")"),"১৫৮")</f>
        <v>১৫৮</v>
      </c>
      <c r="K159" s="10" t="str">
        <f>IFERROR(__xludf.DUMMYFUNCTION("GOOGLETRANSLATE(B159, ""en"", ""bn"")"),"ঐতিহাসিকভাবে, হা-ডু-ডু খেলায় সবচেয়ে সাধারণ আঘাত কী ছিল?")</f>
        <v>ঐতিহাসিকভাবে, হা-ডু-ডু খেলায় সবচেয়ে সাধারণ আঘাত কী ছিল?</v>
      </c>
      <c r="L159" s="10" t="str">
        <f>IFERROR(__xludf.DUMMYFUNCTION("GOOGLETRANSLATE(C159, ""en"", ""bn"")"),"ক) ভাঙা হাড়, খ) গোড়ালি মচকে যাওয়া, গ) মাথায় আঘাত, ঘ) কাটা এবং ক্ষত")</f>
        <v>ক) ভাঙা হাড়, খ) গোড়ালি মচকে যাওয়া, গ) মাথায় আঘাত, ঘ) কাটা এবং ক্ষত</v>
      </c>
      <c r="M159" s="10" t="str">
        <f>IFERROR(__xludf.DUMMYFUNCTION("GOOGLETRANSLATE(D159, ""en"", ""bn"")"),"খ) গোড়ালি মচকে যাওয়া")</f>
        <v>খ) গোড়ালি মচকে যাওয়া</v>
      </c>
      <c r="N159" s="10" t="str">
        <f>IFERROR(__xludf.DUMMYFUNCTION("GOOGLETRANSLATE(E159, ""en"", ""bn"")"),"খেলার দ্রুতগতি এবং অসম খেলার পৃষ্ঠের কারণে, গোড়ালি এবং হাঁটুতে মচকে যাওয়া খুবই সাধারণ আঘাত ছিল।")</f>
        <v>খেলার দ্রুতগতি এবং অসম খেলার পৃষ্ঠের কারণে, গোড়ালি এবং হাঁটুতে মচকে যাওয়া খুবই সাধারণ আঘাত ছিল।</v>
      </c>
    </row>
    <row r="160">
      <c r="A160" s="13">
        <v>159.0</v>
      </c>
      <c r="B160" s="13" t="s">
        <v>1886</v>
      </c>
      <c r="C160" s="13" t="s">
        <v>1887</v>
      </c>
      <c r="D160" s="13" t="s">
        <v>1888</v>
      </c>
      <c r="E160" s="13" t="s">
        <v>1889</v>
      </c>
      <c r="J160" s="10" t="str">
        <f>IFERROR(__xludf.DUMMYFUNCTION("GOOGLETRANSLATE(A160, ""en"", ""bn"")"),"১৫৯")</f>
        <v>১৫৯</v>
      </c>
      <c r="K160" s="10" t="str">
        <f>IFERROR(__xludf.DUMMYFUNCTION("GOOGLETRANSLATE(B160, ""en"", ""bn"")"),"প্রথম আন্তঃকলেজ হা-ডু-ডু টুর্নামেন্ট কোন সালে আয়োজিত হয়েছিল?")</f>
        <v>প্রথম আন্তঃকলেজ হা-ডু-ডু টুর্নামেন্ট কোন সালে আয়োজিত হয়েছিল?</v>
      </c>
      <c r="L160" s="10" t="str">
        <f>IFERROR(__xludf.DUMMYFUNCTION("GOOGLETRANSLATE(C160, ""en"", ""bn"")"),"ক) ১৯৭৫, খ) ১৯৮২, গ) ১৯৯০, ঘ) ২০০০")</f>
        <v>ক) ১৯৭৫, খ) ১৯৮২, গ) ১৯৯০, ঘ) ২০০০</v>
      </c>
      <c r="M160" s="10" t="str">
        <f>IFERROR(__xludf.DUMMYFUNCTION("GOOGLETRANSLATE(D160, ""en"", ""bn"")"),"খ) ১৯৮২")</f>
        <v>খ) ১৯৮২</v>
      </c>
      <c r="N160" s="10" t="str">
        <f>IFERROR(__xludf.DUMMYFUNCTION("GOOGLETRANSLATE(E160, ""en"", ""bn"")"),"১৯৮২ সালে প্রথম আনুষ্ঠানিক আন্তঃকলেজ হা-ডু-ডু টুর্নামেন্ট অনুষ্ঠিত হয়, যা বাংলাদেশের শিক্ষা প্রতিষ্ঠানগুলিতে এই খেলাটিকে আরও প্রশস্ত করে।")</f>
        <v>১৯৮২ সালে প্রথম আনুষ্ঠানিক আন্তঃকলেজ হা-ডু-ডু টুর্নামেন্ট অনুষ্ঠিত হয়, যা বাংলাদেশের শিক্ষা প্রতিষ্ঠানগুলিতে এই খেলাটিকে আরও প্রশস্ত করে।</v>
      </c>
    </row>
    <row r="161">
      <c r="A161" s="13">
        <v>160.0</v>
      </c>
      <c r="B161" s="13" t="s">
        <v>1890</v>
      </c>
      <c r="C161" s="13" t="s">
        <v>1891</v>
      </c>
      <c r="D161" s="13" t="s">
        <v>1892</v>
      </c>
      <c r="E161" s="13" t="s">
        <v>1893</v>
      </c>
      <c r="J161" s="10" t="str">
        <f>IFERROR(__xludf.DUMMYFUNCTION("GOOGLETRANSLATE(A161, ""en"", ""bn"")"),"১৬০")</f>
        <v>১৬০</v>
      </c>
      <c r="K161" s="10" t="str">
        <f>IFERROR(__xludf.DUMMYFUNCTION("GOOGLETRANSLATE(B161, ""en"", ""bn"")"),"ব্রিটিশ ঔপনিবেশিক সরকারের হা-ডু-ডু-এর প্রতি অসম্মতির মূল কারণ কী ছিল?")</f>
        <v>ব্রিটিশ ঔপনিবেশিক সরকারের হা-ডু-ডু-এর প্রতি অসম্মতির মূল কারণ কী ছিল?</v>
      </c>
      <c r="L161" s="10" t="str">
        <f>IFERROR(__xludf.DUMMYFUNCTION("GOOGLETRANSLATE(C161, ""en"", ""bn"")"),"ক) এটি তাদের কর্তৃত্বের জন্য হুমকি হিসেবে দেখা হয়েছিল, খ) এটিকে অসম্পূর্ণ হিসেবে দেখা হয়েছিল, গ) এটি ছিল অত্যধিক শারীরিক এবং আঘাতের কারণ, ঘ) এটি ছিল বাঙালি জাতীয়তাবাদের প্রতীক")</f>
        <v>ক) এটি তাদের কর্তৃত্বের জন্য হুমকি হিসেবে দেখা হয়েছিল, খ) এটিকে অসম্পূর্ণ হিসেবে দেখা হয়েছিল, গ) এটি ছিল অত্যধিক শারীরিক এবং আঘাতের কারণ, ঘ) এটি ছিল বাঙালি জাতীয়তাবাদের প্রতীক</v>
      </c>
      <c r="M161" s="10" t="str">
        <f>IFERROR(__xludf.DUMMYFUNCTION("GOOGLETRANSLATE(D161, ""en"", ""bn"")"),"ঘ) এটি ছিল বাঙালি জাতীয়তাবাদের প্রতীক")</f>
        <v>ঘ) এটি ছিল বাঙালি জাতীয়তাবাদের প্রতীক</v>
      </c>
      <c r="N161" s="10" t="str">
        <f>IFERROR(__xludf.DUMMYFUNCTION("GOOGLETRANSLATE(E161, ""en"", ""bn"")"),"ব্রিটিশরা হা-ডু-ডুকে বাঙালি জাতীয়তাবাদের প্রতীক এবং স্থানীয় সম্প্রদায়ের সমাবেশস্থল হিসেবে দেখত, যা তারা প্রায়শই দমন করার চেষ্টা করত।")</f>
        <v>ব্রিটিশরা হা-ডু-ডুকে বাঙালি জাতীয়তাবাদের প্রতীক এবং স্থানীয় সম্প্রদায়ের সমাবেশস্থল হিসেবে দেখত, যা তারা প্রায়শই দমন করার চেষ্টা করত।</v>
      </c>
    </row>
    <row r="162">
      <c r="A162" s="13">
        <v>161.0</v>
      </c>
      <c r="B162" s="13" t="s">
        <v>1894</v>
      </c>
      <c r="C162" s="13" t="s">
        <v>1895</v>
      </c>
      <c r="D162" s="13" t="s">
        <v>1896</v>
      </c>
      <c r="E162" s="13" t="s">
        <v>1897</v>
      </c>
      <c r="J162" s="10" t="str">
        <f>IFERROR(__xludf.DUMMYFUNCTION("GOOGLETRANSLATE(A162, ""en"", ""bn"")"),"১৬১")</f>
        <v>১৬১</v>
      </c>
      <c r="K162" s="10" t="str">
        <f>IFERROR(__xludf.DUMMYFUNCTION("GOOGLETRANSLATE(B162, ""en"", ""bn"")"),"ঐতিহাসিক হা-ডু-ডুতে, আক্রমণকারীরা প্রায়শই রক্ষকদের বিভ্রান্ত করার জন্য কোন কৌশল ব্যবহার করত?")</f>
        <v>ঐতিহাসিক হা-ডু-ডুতে, আক্রমণকারীরা প্রায়শই রক্ষকদের বিভ্রান্ত করার জন্য কোন কৌশল ব্যবহার করত?</v>
      </c>
      <c r="L162" s="10" t="str">
        <f>IFERROR(__xludf.DUMMYFUNCTION("GOOGLETRANSLATE(C162, ""en"", ""bn"")"),"ক) স্পর্শের ভান করা, খ) পিছনে দৌড়ানো, গ) জোরে চিৎকার করা, ঘ) কাদা ছোঁড়া")</f>
        <v>ক) স্পর্শের ভান করা, খ) পিছনে দৌড়ানো, গ) জোরে চিৎকার করা, ঘ) কাদা ছোঁড়া</v>
      </c>
      <c r="M162" s="10" t="str">
        <f>IFERROR(__xludf.DUMMYFUNCTION("GOOGLETRANSLATE(D162, ""en"", ""bn"")"),"ক) স্পর্শের ভান করা")</f>
        <v>ক) স্পর্শের ভান করা</v>
      </c>
      <c r="N162" s="10" t="str">
        <f>IFERROR(__xludf.DUMMYFUNCTION("GOOGLETRANSLATE(E162, ""en"", ""bn"")"),"রেইডার প্রায়শই 'নকল স্পর্শ' বা ডিফেন্ডিং খেলোয়াড়দের বিভ্রান্ত করার জন্য একটি পদক্ষেপ নিত, একটি কৌশল যার জন্য প্রচুর তত্পরতা এবং দ্রুত চিন্তাভাবনার প্রয়োজন হত।")</f>
        <v>রেইডার প্রায়শই 'নকল স্পর্শ' বা ডিফেন্ডিং খেলোয়াড়দের বিভ্রান্ত করার জন্য একটি পদক্ষেপ নিত, একটি কৌশল যার জন্য প্রচুর তত্পরতা এবং দ্রুত চিন্তাভাবনার প্রয়োজন হত।</v>
      </c>
    </row>
    <row r="163">
      <c r="A163" s="13">
        <v>162.0</v>
      </c>
      <c r="B163" s="13" t="s">
        <v>1898</v>
      </c>
      <c r="C163" s="13" t="s">
        <v>1899</v>
      </c>
      <c r="D163" s="13" t="s">
        <v>1900</v>
      </c>
      <c r="E163" s="13" t="s">
        <v>1901</v>
      </c>
      <c r="J163" s="10" t="str">
        <f>IFERROR(__xludf.DUMMYFUNCTION("GOOGLETRANSLATE(A163, ""en"", ""bn"")"),"১৬২")</f>
        <v>১৬২</v>
      </c>
      <c r="K163" s="10" t="str">
        <f>IFERROR(__xludf.DUMMYFUNCTION("GOOGLETRANSLATE(B163, ""en"", ""bn"")"),"হা-ডু-ডু-এর আধুনিক নিয়মগুলি স্কোরিং বাড়ানোর জন্য কোন নতুন উপাদানটি চালু করেছে?")</f>
        <v>হা-ডু-ডু-এর আধুনিক নিয়মগুলি স্কোরিং বাড়ানোর জন্য কোন নতুন উপাদানটি চালু করেছে?</v>
      </c>
      <c r="L163" s="10" t="str">
        <f>IFERROR(__xludf.DUMMYFUNCTION("GOOGLETRANSLATE(C163, ""en"", ""bn"")"),"ক) 'সুপার ট্যাকল', খ) 'খালি অভিযান', গ) 'বোনাস পয়েন্ট', ঘ) 'টাচ লাইন'")</f>
        <v>ক) 'সুপার ট্যাকল', খ) 'খালি অভিযান', গ) 'বোনাস পয়েন্ট', ঘ) 'টাচ লাইন'</v>
      </c>
      <c r="M163" s="10" t="str">
        <f>IFERROR(__xludf.DUMMYFUNCTION("GOOGLETRANSLATE(D163, ""en"", ""bn"")"),"ক) 'সুপার ট্যাকল'")</f>
        <v>ক) 'সুপার ট্যাকল'</v>
      </c>
      <c r="N163" s="10" t="str">
        <f>IFERROR(__xludf.DUMMYFUNCTION("GOOGLETRANSLATE(E163, ""en"", ""bn"")"),"'সুপার ট্যাকল' নিয়মটি চালু করা হয়েছিল ডিফেন্ডিং দলকে মাত্র কয়েকজন খেলোয়াড় নিয়ে একটি রেইডারকে ট্যাকল করার জন্য পুরস্কৃত করার জন্য, যা খেলায় আরও উত্তেজনা যোগ করে।")</f>
        <v>'সুপার ট্যাকল' নিয়মটি চালু করা হয়েছিল ডিফেন্ডিং দলকে মাত্র কয়েকজন খেলোয়াড় নিয়ে একটি রেইডারকে ট্যাকল করার জন্য পুরস্কৃত করার জন্য, যা খেলায় আরও উত্তেজনা যোগ করে।</v>
      </c>
    </row>
    <row r="164">
      <c r="A164" s="13">
        <v>163.0</v>
      </c>
      <c r="B164" s="13" t="s">
        <v>1902</v>
      </c>
      <c r="C164" s="13" t="s">
        <v>1903</v>
      </c>
      <c r="D164" s="13" t="s">
        <v>1904</v>
      </c>
      <c r="E164" s="13" t="s">
        <v>1905</v>
      </c>
      <c r="J164" s="10" t="str">
        <f>IFERROR(__xludf.DUMMYFUNCTION("GOOGLETRANSLATE(A164, ""en"", ""bn"")"),"১৬৩")</f>
        <v>১৬৩</v>
      </c>
      <c r="K164" s="10" t="str">
        <f>IFERROR(__xludf.DUMMYFUNCTION("GOOGLETRANSLATE(B164, ""en"", ""bn"")"),"প্রাচীনকালে হা-ডু-ডু খেলার প্রাথমিক প্রেরণা কী ছিল?")</f>
        <v>প্রাচীনকালে হা-ডু-ডু খেলার প্রাথমিক প্রেরণা কী ছিল?</v>
      </c>
      <c r="L164" s="10" t="str">
        <f>IFERROR(__xludf.DUMMYFUNCTION("GOOGLETRANSLATE(C164, ""en"", ""bn"")"),"ক) সামাজিক মর্যাদার জন্য, খ) শারীরিক সুস্থতা এবং বিনোদনের জন্য, গ) ধর্মীয় উদ্দেশ্যে, ঘ) আর্থিক লাভের জন্য")</f>
        <v>ক) সামাজিক মর্যাদার জন্য, খ) শারীরিক সুস্থতা এবং বিনোদনের জন্য, গ) ধর্মীয় উদ্দেশ্যে, ঘ) আর্থিক লাভের জন্য</v>
      </c>
      <c r="M164" s="10" t="str">
        <f>IFERROR(__xludf.DUMMYFUNCTION("GOOGLETRANSLATE(D164, ""en"", ""bn"")"),"খ) শারীরিক সুস্থতা এবং বিনোদনের জন্য")</f>
        <v>খ) শারীরিক সুস্থতা এবং বিনোদনের জন্য</v>
      </c>
      <c r="N164" s="10" t="str">
        <f>IFERROR(__xludf.DUMMYFUNCTION("GOOGLETRANSLATE(E164, ""en"", ""bn"")"),"খেলাটি ছিল শারীরিক কার্যকলাপ এবং সামাজিক বিনোদনের মিশ্রণ, যা গ্রামীণ সম্প্রদায়ের মানুষের জন্য একটি সুস্থ পথ প্রদান করে।")</f>
        <v>খেলাটি ছিল শারীরিক কার্যকলাপ এবং সামাজিক বিনোদনের মিশ্রণ, যা গ্রামীণ সম্প্রদায়ের মানুষের জন্য একটি সুস্থ পথ প্রদান করে।</v>
      </c>
    </row>
    <row r="165">
      <c r="A165" s="13">
        <v>164.0</v>
      </c>
      <c r="B165" s="13" t="s">
        <v>1906</v>
      </c>
      <c r="C165" s="13" t="s">
        <v>1907</v>
      </c>
      <c r="D165" s="13" t="s">
        <v>1908</v>
      </c>
      <c r="E165" s="13" t="s">
        <v>1909</v>
      </c>
      <c r="J165" s="10" t="str">
        <f>IFERROR(__xludf.DUMMYFUNCTION("GOOGLETRANSLATE(A165, ""en"", ""bn"")"),"১৬৪")</f>
        <v>১৬৪</v>
      </c>
      <c r="K165" s="10" t="str">
        <f>IFERROR(__xludf.DUMMYFUNCTION("GOOGLETRANSLATE(B165, ""en"", ""bn"")"),"হা-ডু-ডু খেলার একজন খেলোয়াড়ের 'পুনরুজ্জীবন'-এর ঐতিহাসিক পরিভাষা কী ছিল?")</f>
        <v>হা-ডু-ডু খেলার একজন খেলোয়াড়ের 'পুনরুজ্জীবন'-এর ঐতিহাসিক পরিভাষা কী ছিল?</v>
      </c>
      <c r="L165" s="10" t="str">
        <f>IFERROR(__xludf.DUMMYFUNCTION("GOOGLETRANSLATE(C165, ""en"", ""bn"")"),"A) 'জীবন,' B) 'ধামাকা,' C) 'জিন্দা,' D) 'ফেরোট'")</f>
        <v>A) 'জীবন,' B) 'ধামাকা,' C) 'জিন্দা,' D) 'ফেরোট'</v>
      </c>
      <c r="M165" s="10" t="str">
        <f>IFERROR(__xludf.DUMMYFUNCTION("GOOGLETRANSLATE(D165, ""en"", ""bn"")"),"ক) 'জীবন'")</f>
        <v>ক) 'জীবন'</v>
      </c>
      <c r="N165" s="10" t="str">
        <f>IFERROR(__xludf.DUMMYFUNCTION("GOOGLETRANSLATE(E165, ""en"", ""bn"")"),"'জীবন' (যার অর্থ 'জীবন') শব্দটি এমন একজন খেলোয়াড়ের পুনরুজ্জীবনের জন্য ব্যবহৃত হত যাকে ট্যাগ আউট করা হয়েছিল, যা খেলার 'জীবনে' তাদের প্রত্যাবর্তনের প্রতীক।")</f>
        <v>'জীবন' (যার অর্থ 'জীবন') শব্দটি এমন একজন খেলোয়াড়ের পুনরুজ্জীবনের জন্য ব্যবহৃত হত যাকে ট্যাগ আউট করা হয়েছিল, যা খেলার 'জীবনে' তাদের প্রত্যাবর্তনের প্রতীক।</v>
      </c>
    </row>
    <row r="166">
      <c r="A166" s="13">
        <v>165.0</v>
      </c>
      <c r="B166" s="13" t="s">
        <v>1910</v>
      </c>
      <c r="C166" s="13" t="s">
        <v>1911</v>
      </c>
      <c r="D166" s="13" t="s">
        <v>1912</v>
      </c>
      <c r="E166" s="13" t="s">
        <v>1913</v>
      </c>
      <c r="J166" s="10" t="str">
        <f>IFERROR(__xludf.DUMMYFUNCTION("GOOGLETRANSLATE(A166, ""en"", ""bn"")"),"১৬৫")</f>
        <v>১৬৫</v>
      </c>
      <c r="K166" s="10" t="str">
        <f>IFERROR(__xludf.DUMMYFUNCTION("GOOGLETRANSLATE(B166, ""en"", ""bn"")"),"উনিশ শতকের শেষের দিকে, বাংলার কোন সামাজিক শ্রেণী হা-ডু-ডু সংরক্ষণে গুরুত্বপূর্ণ ভূমিকা পালন করেছিল?")</f>
        <v>উনিশ শতকের শেষের দিকে, বাংলার কোন সামাজিক শ্রেণী হা-ডু-ডু সংরক্ষণে গুরুত্বপূর্ণ ভূমিকা পালন করেছিল?</v>
      </c>
      <c r="L166" s="10" t="str">
        <f>IFERROR(__xludf.DUMMYFUNCTION("GOOGLETRANSLATE(C166, ""en"", ""bn"")"),"ক) জমিদার (জমিদার), খ) কৃষক, গ) শহুরে অভিজাতরা, ঘ) ব্রিটিশ প্রশাসকরা")</f>
        <v>ক) জমিদার (জমিদার), খ) কৃষক, গ) শহুরে অভিজাতরা, ঘ) ব্রিটিশ প্রশাসকরা</v>
      </c>
      <c r="M166" s="10" t="str">
        <f>IFERROR(__xludf.DUMMYFUNCTION("GOOGLETRANSLATE(D166, ""en"", ""bn"")"),"ক) জমিদাররা (জমিদার)")</f>
        <v>ক) জমিদাররা (জমিদার)</v>
      </c>
      <c r="N166" s="10" t="str">
        <f>IFERROR(__xludf.DUMMYFUNCTION("GOOGLETRANSLATE(E166, ""en"", ""bn"")"),"অনেক স্থানীয় জমিদার হা-ডু-ডুর মতো ঐতিহ্যবাহী খেলাধুলাকে সমর্থন ও পৃষ্ঠপোষকতা করতেন, সামাজিক বন্ধন এবং স্থানীয় রীতিনীতি বজায় রাখার জন্য তাদের জমিতে টুর্নামেন্ট আয়োজন করতেন।")</f>
        <v>অনেক স্থানীয় জমিদার হা-ডু-ডুর মতো ঐতিহ্যবাহী খেলাধুলাকে সমর্থন ও পৃষ্ঠপোষকতা করতেন, সামাজিক বন্ধন এবং স্থানীয় রীতিনীতি বজায় রাখার জন্য তাদের জমিতে টুর্নামেন্ট আয়োজন করতেন।</v>
      </c>
    </row>
    <row r="167">
      <c r="A167" s="13">
        <v>166.0</v>
      </c>
      <c r="B167" s="13" t="s">
        <v>1914</v>
      </c>
      <c r="C167" s="13" t="s">
        <v>1915</v>
      </c>
      <c r="D167" s="13" t="s">
        <v>1916</v>
      </c>
      <c r="E167" s="13" t="s">
        <v>1917</v>
      </c>
      <c r="J167" s="10" t="str">
        <f>IFERROR(__xludf.DUMMYFUNCTION("GOOGLETRANSLATE(A167, ""en"", ""bn"")"),"১৬৬")</f>
        <v>১৬৬</v>
      </c>
      <c r="K167" s="10" t="str">
        <f>IFERROR(__xludf.DUMMYFUNCTION("GOOGLETRANSLATE(B167, ""en"", ""bn"")"),"আনুষ্ঠানিক নিয়ম প্রতিষ্ঠার আগে হা-ডু-ডুতে 'রেফারিদের' ঐতিহাসিক ভূমিকা কী ছিল?")</f>
        <v>আনুষ্ঠানিক নিয়ম প্রতিষ্ঠার আগে হা-ডু-ডুতে 'রেফারিদের' ঐতিহাসিক ভূমিকা কী ছিল?</v>
      </c>
      <c r="L167" s="10" t="str">
        <f>IFERROR(__xludf.DUMMYFUNCTION("GOOGLETRANSLATE(C167, ""en"", ""bn"")"),"ক) তাদের বলা হত 'পঞ্চায়েত', খ) তাদের বলা হত 'গুরু', গ) তাদের বলা হত 'সাধু', ঘ) তাদের বলা হত 'বিচারক'")</f>
        <v>ক) তাদের বলা হত 'পঞ্চায়েত', খ) তাদের বলা হত 'গুরু', গ) তাদের বলা হত 'সাধু', ঘ) তাদের বলা হত 'বিচারক'</v>
      </c>
      <c r="M167" s="10" t="str">
        <f>IFERROR(__xludf.DUMMYFUNCTION("GOOGLETRANSLATE(D167, ""en"", ""bn"")"),"ক) তাদের 'পঞ্চায়েত' বলা হত")</f>
        <v>ক) তাদের 'পঞ্চায়েত' বলা হত</v>
      </c>
      <c r="N167" s="10" t="str">
        <f>IFERROR(__xludf.DUMMYFUNCTION("GOOGLETRANSLATE(E167, ""en"", ""bn"")"),"রেফারিিং প্রায়শই গ্রামের প্রবীণদের একটি দল দ্বারা পরিচালিত হত, যারা 'পঞ্চায়েত' নামে পরিচিত, যারা সম্মিলিতভাবে সিদ্ধান্ত গ্রহণ করত।")</f>
        <v>রেফারিিং প্রায়শই গ্রামের প্রবীণদের একটি দল দ্বারা পরিচালিত হত, যারা 'পঞ্চায়েত' নামে পরিচিত, যারা সম্মিলিতভাবে সিদ্ধান্ত গ্রহণ করত।</v>
      </c>
    </row>
    <row r="168">
      <c r="A168" s="13">
        <v>167.0</v>
      </c>
      <c r="B168" s="13" t="s">
        <v>1918</v>
      </c>
      <c r="C168" s="13" t="s">
        <v>1919</v>
      </c>
      <c r="D168" s="13" t="s">
        <v>1920</v>
      </c>
      <c r="E168" s="13" t="s">
        <v>1921</v>
      </c>
      <c r="J168" s="10" t="str">
        <f>IFERROR(__xludf.DUMMYFUNCTION("GOOGLETRANSLATE(A168, ""en"", ""bn"")"),"১৬৭")</f>
        <v>১৬৭</v>
      </c>
      <c r="K168" s="10" t="str">
        <f>IFERROR(__xludf.DUMMYFUNCTION("GOOGLETRANSLATE(B168, ""en"", ""bn"")"),"বর্ষাকালে হা-ডু-ডু খেলার মূল কারণ কী ছিল?")</f>
        <v>বর্ষাকালে হা-ডু-ডু খেলার মূল কারণ কী ছিল?</v>
      </c>
      <c r="L168" s="10" t="str">
        <f>IFERROR(__xludf.DUMMYFUNCTION("GOOGLETRANSLATE(C168, ""en"", ""bn"")"),"ক) কর্দমাক্ত মাটি ব্যবহার করা, খ) এটি ছিল একমাত্র সময় যখন মানুষের অবসর সময় ছিল, গ) এটি ছিল শীতল হওয়ার একটি উপায়, ঘ) এটি ছিল একটি ধর্মীয় আচার")</f>
        <v>ক) কর্দমাক্ত মাটি ব্যবহার করা, খ) এটি ছিল একমাত্র সময় যখন মানুষের অবসর সময় ছিল, গ) এটি ছিল শীতল হওয়ার একটি উপায়, ঘ) এটি ছিল একটি ধর্মীয় আচার</v>
      </c>
      <c r="M168" s="10" t="str">
        <f>IFERROR(__xludf.DUMMYFUNCTION("GOOGLETRANSLATE(D168, ""en"", ""bn"")"),"ক) কর্দমাক্ত মাটি ব্যবহার করা")</f>
        <v>ক) কর্দমাক্ত মাটি ব্যবহার করা</v>
      </c>
      <c r="N168" s="10" t="str">
        <f>IFERROR(__xludf.DUMMYFUNCTION("GOOGLETRANSLATE(E168, ""en"", ""bn"")"),"বর্ষার বৃষ্টির ফলে সৃষ্ট নরম, কর্দমাক্ত মাটি খেলাটিকে নিরাপদ করে তুলেছে, ফলে পতন এবং ট্যাকলের প্রভাব কম হয়েছে।")</f>
        <v>বর্ষার বৃষ্টির ফলে সৃষ্ট নরম, কর্দমাক্ত মাটি খেলাটিকে নিরাপদ করে তুলেছে, ফলে পতন এবং ট্যাকলের প্রভাব কম হয়েছে।</v>
      </c>
    </row>
    <row r="169">
      <c r="A169" s="13">
        <v>168.0</v>
      </c>
      <c r="B169" s="13" t="s">
        <v>1922</v>
      </c>
      <c r="C169" s="13" t="s">
        <v>1923</v>
      </c>
      <c r="D169" s="13" t="s">
        <v>1924</v>
      </c>
      <c r="E169" s="13" t="s">
        <v>1925</v>
      </c>
      <c r="J169" s="10" t="str">
        <f>IFERROR(__xludf.DUMMYFUNCTION("GOOGLETRANSLATE(A169, ""en"", ""bn"")"),"১৬৮")</f>
        <v>১৬৮</v>
      </c>
      <c r="K169" s="10" t="str">
        <f>IFERROR(__xludf.DUMMYFUNCTION("GOOGLETRANSLATE(B169, ""en"", ""bn"")"),"নিরাপদ থাকার জন্য আক্রমণকারীকে যে 'রেখা' অতিক্রম করতে হত তার ঐতিহাসিক পরিভাষা কী ছিল?")</f>
        <v>নিরাপদ থাকার জন্য আক্রমণকারীকে যে 'রেখা' অতিক্রম করতে হত তার ঐতিহাসিক পরিভাষা কী ছিল?</v>
      </c>
      <c r="L169" s="10" t="str">
        <f>IFERROR(__xludf.DUMMYFUNCTION("GOOGLETRANSLATE(C169, ""en"", ""bn"")"),"A) 'খাট,' B) 'রেখা,' C) 'সিমনা,' D) 'লক্ষ্মণ রেখা'")</f>
        <v>A) 'খাট,' B) 'রেখা,' C) 'সিমনা,' D) 'লক্ষ্মণ রেখা'</v>
      </c>
      <c r="M169" s="10" t="str">
        <f>IFERROR(__xludf.DUMMYFUNCTION("GOOGLETRANSLATE(D169, ""en"", ""bn"")"),"ঘ) 'লক্ষ্মণরেখা'")</f>
        <v>ঘ) 'লক্ষ্মণরেখা'</v>
      </c>
      <c r="N169" s="10" t="str">
        <f>IFERROR(__xludf.DUMMYFUNCTION("GOOGLETRANSLATE(E169, ""en"", ""bn"")"),"নিরাপদ রেখাকে প্রায়শই কাব্যিকভাবে 'লক্ষ্মণ রেখা' বলা হত, যা হিন্দু পুরাণ থেকে পাওয়া একটি শব্দ যা একটি অলঙ্ঘনীয় সীমানাকে নির্দেশ করে।")</f>
        <v>নিরাপদ রেখাকে প্রায়শই কাব্যিকভাবে 'লক্ষ্মণ রেখা' বলা হত, যা হিন্দু পুরাণ থেকে পাওয়া একটি শব্দ যা একটি অলঙ্ঘনীয় সীমানাকে নির্দেশ করে।</v>
      </c>
    </row>
    <row r="170">
      <c r="A170" s="13">
        <v>169.0</v>
      </c>
      <c r="B170" s="13" t="s">
        <v>1926</v>
      </c>
      <c r="C170" s="13" t="s">
        <v>1927</v>
      </c>
      <c r="D170" s="13" t="s">
        <v>1928</v>
      </c>
      <c r="E170" s="13" t="s">
        <v>1929</v>
      </c>
      <c r="J170" s="10" t="str">
        <f>IFERROR(__xludf.DUMMYFUNCTION("GOOGLETRANSLATE(A170, ""en"", ""bn"")"),"১৬৯")</f>
        <v>১৬৯</v>
      </c>
      <c r="K170" s="10" t="str">
        <f>IFERROR(__xludf.DUMMYFUNCTION("GOOGLETRANSLATE(B170, ""en"", ""bn"")"),"আন্তর্জাতিক দলগুলির সাথে প্রথম আনুষ্ঠানিক হা-ডু-ডু ম্যাচটি কোন সালে অনুষ্ঠিত হয়েছিল?")</f>
        <v>আন্তর্জাতিক দলগুলির সাথে প্রথম আনুষ্ঠানিক হা-ডু-ডু ম্যাচটি কোন সালে অনুষ্ঠিত হয়েছিল?</v>
      </c>
      <c r="L170" s="10" t="str">
        <f>IFERROR(__xludf.DUMMYFUNCTION("GOOGLETRANSLATE(C170, ""en"", ""bn"")"),"ক) ১৯৭৮, খ) ১৯৮০, গ) ১৯৮২, ঘ) ১৯৮৫")</f>
        <v>ক) ১৯৭৮, খ) ১৯৮০, গ) ১৯৮২, ঘ) ১৯৮৫</v>
      </c>
      <c r="M170" s="10" t="str">
        <f>IFERROR(__xludf.DUMMYFUNCTION("GOOGLETRANSLATE(D170, ""en"", ""bn"")"),"ক) ১৯৭৮")</f>
        <v>ক) ১৯৭৮</v>
      </c>
      <c r="N170" s="10" t="str">
        <f>IFERROR(__xludf.DUMMYFUNCTION("GOOGLETRANSLATE(E170, ""en"", ""bn"")"),"প্রথম আন্তর্জাতিক ম্যাচটি ১৯৭৮ সালে এশিয়ান গেমসের অংশ হিসেবে অনুষ্ঠিত হয়েছিল, যেখানে হা-ডু-ডু একটি প্রদর্শনী খেলা হিসেবে খেলা হয়েছিল।")</f>
        <v>প্রথম আন্তর্জাতিক ম্যাচটি ১৯৭৮ সালে এশিয়ান গেমসের অংশ হিসেবে অনুষ্ঠিত হয়েছিল, যেখানে হা-ডু-ডু একটি প্রদর্শনী খেলা হিসেবে খেলা হয়েছিল।</v>
      </c>
    </row>
    <row r="171">
      <c r="A171" s="13">
        <v>170.0</v>
      </c>
      <c r="B171" s="13" t="s">
        <v>1930</v>
      </c>
      <c r="C171" s="13" t="s">
        <v>1931</v>
      </c>
      <c r="D171" s="13" t="s">
        <v>1932</v>
      </c>
      <c r="E171" s="13" t="s">
        <v>1933</v>
      </c>
      <c r="J171" s="10" t="str">
        <f>IFERROR(__xludf.DUMMYFUNCTION("GOOGLETRANSLATE(A171, ""en"", ""bn"")"),"১৭০")</f>
        <v>১৭০</v>
      </c>
      <c r="K171" s="10" t="str">
        <f>IFERROR(__xludf.DUMMYFUNCTION("GOOGLETRANSLATE(B171, ""en"", ""bn"")"),"'হা-ডু-ডু' নামটি কোন ভাষা থেকে এসেছে?")</f>
        <v>'হা-ডু-ডু' নামটি কোন ভাষা থেকে এসেছে?</v>
      </c>
      <c r="L171" s="10" t="str">
        <f>IFERROR(__xludf.DUMMYFUNCTION("GOOGLETRANSLATE(C171, ""en"", ""bn"")"),"ক) বাংলা, খ) সংস্কৃত, গ) হিন্দি, ঘ) ফারসি")</f>
        <v>ক) বাংলা, খ) সংস্কৃত, গ) হিন্দি, ঘ) ফারসি</v>
      </c>
      <c r="M171" s="10" t="str">
        <f>IFERROR(__xludf.DUMMYFUNCTION("GOOGLETRANSLATE(D171, ""en"", ""bn"")"),"ক) বাংলা")</f>
        <v>ক) বাংলা</v>
      </c>
      <c r="N171" s="10" t="str">
        <f>IFERROR(__xludf.DUMMYFUNCTION("GOOGLETRANSLATE(E171, ""en"", ""bn"")"),"নামটি সম্পূর্ণরূপে বাংলা, একটি অনম্যাটোপোইয়া যা রেইডারের অনন্য এবং অবিচ্ছিন্ন মন্ত্র থেকে উদ্ভূত।")</f>
        <v>নামটি সম্পূর্ণরূপে বাংলা, একটি অনম্যাটোপোইয়া যা রেইডারের অনন্য এবং অবিচ্ছিন্ন মন্ত্র থেকে উদ্ভূত।</v>
      </c>
    </row>
    <row r="172">
      <c r="A172" s="13">
        <v>171.0</v>
      </c>
      <c r="B172" s="13" t="s">
        <v>1934</v>
      </c>
      <c r="C172" s="13" t="s">
        <v>1935</v>
      </c>
      <c r="D172" s="13" t="s">
        <v>1936</v>
      </c>
      <c r="E172" s="13" t="s">
        <v>1937</v>
      </c>
      <c r="J172" s="10" t="str">
        <f>IFERROR(__xludf.DUMMYFUNCTION("GOOGLETRANSLATE(A172, ""en"", ""bn"")"),"১৭১")</f>
        <v>১৭১</v>
      </c>
      <c r="K172" s="10" t="str">
        <f>IFERROR(__xludf.DUMMYFUNCTION("GOOGLETRANSLATE(B172, ""en"", ""bn"")"),"ঐতিহাসিকভাবে, হা-ডু-ডু ম্যাচে দুটি দল কীভাবে একে অপরের থেকে আলাদা ছিল?")</f>
        <v>ঐতিহাসিকভাবে, হা-ডু-ডু ম্যাচে দুটি দল কীভাবে একে অপরের থেকে আলাদা ছিল?</v>
      </c>
      <c r="L172" s="10" t="str">
        <f>IFERROR(__xludf.DUMMYFUNCTION("GOOGLETRANSLATE(C172, ""en"", ""bn"")"),"ক) ভিন্ন রঙের পোশাক পরে, খ) একজন অধিনায়কের বাহুবন্ধনী দ্বারা, গ) ভিন্ন দলের মন্ত্র দ্বারা, ঘ) একটি দলের পতাকা দ্বারা")</f>
        <v>ক) ভিন্ন রঙের পোশাক পরে, খ) একজন অধিনায়কের বাহুবন্ধনী দ্বারা, গ) ভিন্ন দলের মন্ত্র দ্বারা, ঘ) একটি দলের পতাকা দ্বারা</v>
      </c>
      <c r="M172" s="10" t="str">
        <f>IFERROR(__xludf.DUMMYFUNCTION("GOOGLETRANSLATE(D172, ""en"", ""bn"")"),"খ) একজন ক্যাপ্টেনের বাহুবন্ধনী দ্বারা")</f>
        <v>খ) একজন ক্যাপ্টেনের বাহুবন্ধনী দ্বারা</v>
      </c>
      <c r="N172" s="10" t="str">
        <f>IFERROR(__xludf.DUMMYFUNCTION("GOOGLETRANSLATE(E172, ""en"", ""bn"")"),"দুটি দলের মধ্যে পার্থক্য বোঝাতে প্রায়শই একটি সাধারণ অধিনায়কের আর্মব্যান্ড বা কাপড়ের টুকরো ব্যবহার করা হত।")</f>
        <v>দুটি দলের মধ্যে পার্থক্য বোঝাতে প্রায়শই একটি সাধারণ অধিনায়কের আর্মব্যান্ড বা কাপড়ের টুকরো ব্যবহার করা হত।</v>
      </c>
    </row>
    <row r="173">
      <c r="A173" s="13">
        <v>172.0</v>
      </c>
      <c r="B173" s="13" t="s">
        <v>1938</v>
      </c>
      <c r="C173" s="13" t="s">
        <v>1939</v>
      </c>
      <c r="D173" s="13" t="s">
        <v>1940</v>
      </c>
      <c r="E173" s="13" t="s">
        <v>1941</v>
      </c>
      <c r="J173" s="10" t="str">
        <f>IFERROR(__xludf.DUMMYFUNCTION("GOOGLETRANSLATE(A173, ""en"", ""bn"")"),"১৭২")</f>
        <v>১৭২</v>
      </c>
      <c r="K173" s="10" t="str">
        <f>IFERROR(__xludf.DUMMYFUNCTION("GOOGLETRANSLATE(B173, ""en"", ""bn"")"),"হা-ডু-ডুতে 'স্পর্শ'-এর ঐতিহাসিক তাৎপর্য কী ছিল?")</f>
        <v>হা-ডু-ডুতে 'স্পর্শ'-এর ঐতিহাসিক তাৎপর্য কী ছিল?</v>
      </c>
      <c r="L173" s="10" t="str">
        <f>IFERROR(__xludf.DUMMYFUNCTION("GOOGLETRANSLATE(C173, ""en"", ""bn"")"),"ক) এটি ছিল শ্রদ্ধার প্রতীক, খ) এটি ছিল একটি পয়েন্ট অর্জনের প্রতীক, গ) এটি ছিল রেফারির প্রতি একটি সংকেত, ঘ) এটি ছিল যুদ্ধবিরতি দেখানোর একটি উপায়।")</f>
        <v>ক) এটি ছিল শ্রদ্ধার প্রতীক, খ) এটি ছিল একটি পয়েন্ট অর্জনের প্রতীক, গ) এটি ছিল রেফারির প্রতি একটি সংকেত, ঘ) এটি ছিল যুদ্ধবিরতি দেখানোর একটি উপায়।</v>
      </c>
      <c r="M173" s="10" t="str">
        <f>IFERROR(__xludf.DUMMYFUNCTION("GOOGLETRANSLATE(D173, ""en"", ""bn"")"),"খ) এটি একটি পয়েন্ট অর্জনের লক্ষণ ছিল")</f>
        <v>খ) এটি একটি পয়েন্ট অর্জনের লক্ষণ ছিল</v>
      </c>
      <c r="N173" s="10" t="str">
        <f>IFERROR(__xludf.DUMMYFUNCTION("GOOGLETRANSLATE(E173, ""en"", ""bn"")"),"একজন রেইডারের প্রতিপক্ষকে স্পর্শ করে তাদের দলে ফিরে আসার সহজ কাজটি ছিল পয়েন্ট অর্জনের ঐতিহাসিক এবং মৌলিক উপায়।")</f>
        <v>একজন রেইডারের প্রতিপক্ষকে স্পর্শ করে তাদের দলে ফিরে আসার সহজ কাজটি ছিল পয়েন্ট অর্জনের ঐতিহাসিক এবং মৌলিক উপায়।</v>
      </c>
    </row>
    <row r="174">
      <c r="A174" s="13">
        <v>173.0</v>
      </c>
      <c r="B174" s="13" t="s">
        <v>1942</v>
      </c>
      <c r="C174" s="13" t="s">
        <v>1943</v>
      </c>
      <c r="D174" s="13" t="s">
        <v>1944</v>
      </c>
      <c r="E174" s="13" t="s">
        <v>1945</v>
      </c>
      <c r="J174" s="10" t="str">
        <f>IFERROR(__xludf.DUMMYFUNCTION("GOOGLETRANSLATE(A174, ""en"", ""bn"")"),"১৭৩")</f>
        <v>১৭৩</v>
      </c>
      <c r="K174" s="10" t="str">
        <f>IFERROR(__xludf.DUMMYFUNCTION("GOOGLETRANSLATE(B174, ""en"", ""bn"")"),"ঐতিহাসিক হা-ডু-ডু ম্যাচে জনতা বা দর্শকদের ভূমিকা কী ছিল?")</f>
        <v>ঐতিহাসিক হা-ডু-ডু ম্যাচে জনতা বা দর্শকদের ভূমিকা কী ছিল?</v>
      </c>
      <c r="L174" s="10" t="str">
        <f>IFERROR(__xludf.DUMMYFUNCTION("GOOGLETRANSLATE(C174, ""en"", ""bn"")"),"ক) তারা তৃতীয় দল হিসেবে কাজ করেছিল, খ) তারা নীরব পর্যবেক্ষক ছিল, গ) তারা জুরির অংশ ছিল, ঘ) খেলোয়াড়দের অনুপ্রাণিত করার জন্য তারা স্লোগান দিয়েছিল এবং উল্লাস করেছিল")</f>
        <v>ক) তারা তৃতীয় দল হিসেবে কাজ করেছিল, খ) তারা নীরব পর্যবেক্ষক ছিল, গ) তারা জুরির অংশ ছিল, ঘ) খেলোয়াড়দের অনুপ্রাণিত করার জন্য তারা স্লোগান দিয়েছিল এবং উল্লাস করেছিল</v>
      </c>
      <c r="M174" s="10" t="str">
        <f>IFERROR(__xludf.DUMMYFUNCTION("GOOGLETRANSLATE(D174, ""en"", ""bn"")"),"ঘ) খেলোয়াড়দের অনুপ্রাণিত করার জন্য তারা স্লোগান ও উল্লাস করেছিল")</f>
        <v>ঘ) খেলোয়াড়দের অনুপ্রাণিত করার জন্য তারা স্লোগান ও উল্লাস করেছিল</v>
      </c>
      <c r="N174" s="10" t="str">
        <f>IFERROR(__xludf.DUMMYFUNCTION("GOOGLETRANSLATE(E174, ""en"", ""bn"")"),"জনতা গুরুত্বপূর্ণ ভূমিকা পালন করেছিল, তারা স্লোগান এবং জোরে চিৎকার করে একটি গতিশীল পরিবেশ তৈরি করেছিল এবং তাদের প্রিয় দলগুলিকে উৎসাহিত করেছিল।")</f>
        <v>জনতা গুরুত্বপূর্ণ ভূমিকা পালন করেছিল, তারা স্লোগান এবং জোরে চিৎকার করে একটি গতিশীল পরিবেশ তৈরি করেছিল এবং তাদের প্রিয় দলগুলিকে উৎসাহিত করেছিল।</v>
      </c>
    </row>
    <row r="175">
      <c r="A175" s="13">
        <v>174.0</v>
      </c>
      <c r="B175" s="13" t="s">
        <v>1946</v>
      </c>
      <c r="C175" s="13" t="s">
        <v>1947</v>
      </c>
      <c r="D175" s="13" t="s">
        <v>1948</v>
      </c>
      <c r="E175" s="13" t="s">
        <v>1949</v>
      </c>
      <c r="J175" s="10" t="str">
        <f>IFERROR(__xludf.DUMMYFUNCTION("GOOGLETRANSLATE(A175, ""en"", ""bn"")"),"১৭৪")</f>
        <v>১৭৪</v>
      </c>
      <c r="K175" s="10" t="str">
        <f>IFERROR(__xludf.DUMMYFUNCTION("GOOGLETRANSLATE(B175, ""en"", ""bn"")"),"কোন রাজবংশের রাজত্বকালে লোকসংস্কৃতির অংশ হিসেবে হা-ডু-ডু খেলাটি বিকশিত হয়েছিল?")</f>
        <v>কোন রাজবংশের রাজত্বকালে লোকসংস্কৃতির অংশ হিসেবে হা-ডু-ডু খেলাটি বিকশিত হয়েছিল?</v>
      </c>
      <c r="L175" s="10" t="str">
        <f>IFERROR(__xludf.DUMMYFUNCTION("GOOGLETRANSLATE(C175, ""en"", ""bn"")"),"ক) সেন রাজবংশ, খ) পাল রাজবংশ, গ) মুঘল সাম্রাজ্য, ঘ) বাংলার সালতানাত")</f>
        <v>ক) সেন রাজবংশ, খ) পাল রাজবংশ, গ) মুঘল সাম্রাজ্য, ঘ) বাংলার সালতানাত</v>
      </c>
      <c r="M175" s="10" t="str">
        <f>IFERROR(__xludf.DUMMYFUNCTION("GOOGLETRANSLATE(D175, ""en"", ""bn"")"),"ঘ) বাংলার সালতানাত")</f>
        <v>ঘ) বাংলার সালতানাত</v>
      </c>
      <c r="N175" s="10" t="str">
        <f>IFERROR(__xludf.DUMMYFUNCTION("GOOGLETRANSLATE(E175, ""en"", ""bn"")"),"বাংলার সুলতানি আমলে স্থানীয় লোকসংস্কৃতি, যার মধ্যে ছিল হা-ডু-ডু, সমগ্র অঞ্চলে সমৃদ্ধি লাভ এবং ছড়িয়ে পড়ার জন্য একটি অনুকূল পরিবেশ তৈরি হয়েছিল।")</f>
        <v>বাংলার সুলতানি আমলে স্থানীয় লোকসংস্কৃতি, যার মধ্যে ছিল হা-ডু-ডু, সমগ্র অঞ্চলে সমৃদ্ধি লাভ এবং ছড়িয়ে পড়ার জন্য একটি অনুকূল পরিবেশ তৈরি হয়েছিল।</v>
      </c>
    </row>
    <row r="176">
      <c r="A176" s="13">
        <v>175.0</v>
      </c>
      <c r="B176" s="13" t="s">
        <v>1950</v>
      </c>
      <c r="C176" s="13" t="s">
        <v>1951</v>
      </c>
      <c r="D176" s="13" t="s">
        <v>1952</v>
      </c>
      <c r="E176" s="13" t="s">
        <v>1953</v>
      </c>
      <c r="J176" s="10" t="str">
        <f>IFERROR(__xludf.DUMMYFUNCTION("GOOGLETRANSLATE(A176, ""en"", ""bn"")"),"১৭৫")</f>
        <v>১৭৫</v>
      </c>
      <c r="K176" s="10" t="str">
        <f>IFERROR(__xludf.DUMMYFUNCTION("GOOGLETRANSLATE(B176, ""en"", ""bn"")"),"ঐতিহাসিকভাবে রক্ষণভাগের দল আক্রমণকারীকে ফাঁদে ফেলার জন্য কোন ধরণের কৌশলগত পদক্ষেপ ব্যবহার করেছিল?")</f>
        <v>ঐতিহাসিকভাবে রক্ষণভাগের দল আক্রমণকারীকে ফাঁদে ফেলার জন্য কোন ধরণের কৌশলগত পদক্ষেপ ব্যবহার করেছিল?</v>
      </c>
      <c r="L176" s="10" t="str">
        <f>IFERROR(__xludf.DUMMYFUNCTION("GOOGLETRANSLATE(C176, ""en"", ""bn"")"),"ক) 'সুপার চেইন', খ) 'গ্রুপ ট্যাকল', গ) 'কোণার ব্লক', ঘ) 'মানব প্রাচীর'")</f>
        <v>ক) 'সুপার চেইন', খ) 'গ্রুপ ট্যাকল', গ) 'কোণার ব্লক', ঘ) 'মানব প্রাচীর'</v>
      </c>
      <c r="M176" s="10" t="str">
        <f>IFERROR(__xludf.DUMMYFUNCTION("GOOGLETRANSLATE(D176, ""en"", ""bn"")"),"ঘ) 'মানব প্রাচীর'")</f>
        <v>ঘ) 'মানব প্রাচীর'</v>
      </c>
      <c r="N176" s="10" t="str">
        <f>IFERROR(__xludf.DUMMYFUNCTION("GOOGLETRANSLATE(E176, ""en"", ""bn"")"),"রক্ষণভাগের খেলোয়াড়রা প্রায়শই অস্ত্র সংযুক্ত করে একটি শক্ত 'মানব প্রাচীর' তৈরি করত, যার ফলে আক্রমণকারীর পক্ষে স্পর্শের পরে পালানো প্রায় অসম্ভব হয়ে পড়ত।")</f>
        <v>রক্ষণভাগের খেলোয়াড়রা প্রায়শই অস্ত্র সংযুক্ত করে একটি শক্ত 'মানব প্রাচীর' তৈরি করত, যার ফলে আক্রমণকারীর পক্ষে স্পর্শের পরে পালানো প্রায় অসম্ভব হয়ে পড়ত।</v>
      </c>
    </row>
    <row r="177">
      <c r="A177" s="13">
        <v>176.0</v>
      </c>
      <c r="B177" s="13" t="s">
        <v>1954</v>
      </c>
      <c r="C177" s="13" t="s">
        <v>1955</v>
      </c>
      <c r="D177" s="13" t="s">
        <v>1829</v>
      </c>
      <c r="E177" s="13" t="s">
        <v>1956</v>
      </c>
      <c r="J177" s="10" t="str">
        <f>IFERROR(__xludf.DUMMYFUNCTION("GOOGLETRANSLATE(A177, ""en"", ""bn"")"),"১৭৬")</f>
        <v>১৭৬</v>
      </c>
      <c r="K177" s="10" t="str">
        <f>IFERROR(__xludf.DUMMYFUNCTION("GOOGLETRANSLATE(B177, ""en"", ""bn"")"),"বাংলাদেশের প্রথম প্রধান কর্পোরেট-স্পন্সরিত হা-ডু-ডু টুর্নামেন্ট কোন শহরে অনুষ্ঠিত হয়েছিল?")</f>
        <v>বাংলাদেশের প্রথম প্রধান কর্পোরেট-স্পন্সরিত হা-ডু-ডু টুর্নামেন্ট কোন শহরে অনুষ্ঠিত হয়েছিল?</v>
      </c>
      <c r="L177" s="10" t="str">
        <f>IFERROR(__xludf.DUMMYFUNCTION("GOOGLETRANSLATE(C177, ""en"", ""bn"")"),"ক) সিলেট, খ) চট্টগ্রাম, গ) ঢাকা, ঘ) খুলনা")</f>
        <v>ক) সিলেট, খ) চট্টগ্রাম, গ) ঢাকা, ঘ) খুলনা</v>
      </c>
      <c r="M177" s="10" t="str">
        <f>IFERROR(__xludf.DUMMYFUNCTION("GOOGLETRANSLATE(D177, ""en"", ""bn"")"),"গ) ঢাকা")</f>
        <v>গ) ঢাকা</v>
      </c>
      <c r="N177" s="10" t="str">
        <f>IFERROR(__xludf.DUMMYFUNCTION("GOOGLETRANSLATE(E177, ""en"", ""bn"")"),"প্রথম বৃহৎ কর্পোরেট-স্পন্সরকৃত টুর্নামেন্টটি ঢাকায় অনুষ্ঠিত হয়েছিল, যা খেলাধুলার লোকজ খেলা থেকে পেশাদার খেলায় রূপান্তরকে চিহ্নিত করে।")</f>
        <v>প্রথম বৃহৎ কর্পোরেট-স্পন্সরকৃত টুর্নামেন্টটি ঢাকায় অনুষ্ঠিত হয়েছিল, যা খেলাধুলার লোকজ খেলা থেকে পেশাদার খেলায় রূপান্তরকে চিহ্নিত করে।</v>
      </c>
    </row>
    <row r="178">
      <c r="A178" s="13">
        <v>177.0</v>
      </c>
      <c r="B178" s="13" t="s">
        <v>1957</v>
      </c>
      <c r="C178" s="13" t="s">
        <v>1958</v>
      </c>
      <c r="D178" s="13" t="s">
        <v>1959</v>
      </c>
      <c r="E178" s="13" t="s">
        <v>1960</v>
      </c>
      <c r="J178" s="10" t="str">
        <f>IFERROR(__xludf.DUMMYFUNCTION("GOOGLETRANSLATE(A178, ""en"", ""bn"")"),"১৭৭")</f>
        <v>১৭৭</v>
      </c>
      <c r="K178" s="10" t="str">
        <f>IFERROR(__xludf.DUMMYFUNCTION("GOOGLETRANSLATE(B178, ""en"", ""bn"")"),"যে দলের সমস্ত খেলোয়াড়কে বাদ দেওয়া হয়েছিল, তার ঐতিহাসিক নাম কী ছিল?")</f>
        <v>যে দলের সমস্ত খেলোয়াড়কে বাদ দেওয়া হয়েছিল, তার ঐতিহাসিক নাম কী ছিল?</v>
      </c>
      <c r="L178" s="10" t="str">
        <f>IFERROR(__xludf.DUMMYFUNCTION("GOOGLETRANSLATE(C178, ""en"", ""bn"")"),"A) 'শুন্যো,' B) 'শিকার,' C) 'শরবোতোষ,' D) 'অল আউট'")</f>
        <v>A) 'শুন্যো,' B) 'শিকার,' C) 'শরবোতোষ,' D) 'অল আউট'</v>
      </c>
      <c r="M178" s="10" t="str">
        <f>IFERROR(__xludf.DUMMYFUNCTION("GOOGLETRANSLATE(D178, ""en"", ""bn"")"),"ঘ) 'অল আউট'")</f>
        <v>ঘ) 'অল আউট'</v>
      </c>
      <c r="N178" s="10" t="str">
        <f>IFERROR(__xludf.DUMMYFUNCTION("GOOGLETRANSLATE(E178, ""en"", ""bn"")"),"কাবাডি থেকে ধার করা 'অল আউট' শব্দটি ছিল ঐতিহাসিক এবং এখনও প্রচলিত শব্দ, যখন একটি দলের পুরো লাইনআপ বাদ পড়ে।")</f>
        <v>কাবাডি থেকে ধার করা 'অল আউট' শব্দটি ছিল ঐতিহাসিক এবং এখনও প্রচলিত শব্দ, যখন একটি দলের পুরো লাইনআপ বাদ পড়ে।</v>
      </c>
    </row>
    <row r="179">
      <c r="A179" s="13">
        <v>178.0</v>
      </c>
      <c r="B179" s="13" t="s">
        <v>1961</v>
      </c>
      <c r="C179" s="13" t="s">
        <v>1962</v>
      </c>
      <c r="D179" s="13" t="s">
        <v>1963</v>
      </c>
      <c r="E179" s="13" t="s">
        <v>1964</v>
      </c>
      <c r="J179" s="10" t="str">
        <f>IFERROR(__xludf.DUMMYFUNCTION("GOOGLETRANSLATE(A179, ""en"", ""bn"")"),"১৭৮")</f>
        <v>১৭৮</v>
      </c>
      <c r="K179" s="10" t="str">
        <f>IFERROR(__xludf.DUMMYFUNCTION("GOOGLETRANSLATE(B179, ""en"", ""bn"")"),"হা-ডু-ডু মূলত দক্ষতা এবং তত্পরতার খেলা হিসেবে খেলা হত। কোন ঐতিহাসিক ঘটনা এটিকে আরও শারীরিক, যুদ্ধের মতো খেলায় রূপান্তরিত করেছিল?")</f>
        <v>হা-ডু-ডু মূলত দক্ষতা এবং তত্পরতার খেলা হিসেবে খেলা হত। কোন ঐতিহাসিক ঘটনা এটিকে আরও শারীরিক, যুদ্ধের মতো খেলায় রূপান্তরিত করেছিল?</v>
      </c>
      <c r="L179" s="10" t="str">
        <f>IFERROR(__xludf.DUMMYFUNCTION("GOOGLETRANSLATE(C179, ""en"", ""bn"")"),"ক) আন্তঃগ্রাম দ্বন্দ্ব, খ) কুস্তির প্রভাব, গ) শারীরিক প্রশিক্ষণের প্রয়োজনীয়তা, ঘ) নতুন নিয়মের ব্যবহার")</f>
        <v>ক) আন্তঃগ্রাম দ্বন্দ্ব, খ) কুস্তির প্রভাব, গ) শারীরিক প্রশিক্ষণের প্রয়োজনীয়তা, ঘ) নতুন নিয়মের ব্যবহার</v>
      </c>
      <c r="M179" s="10" t="str">
        <f>IFERROR(__xludf.DUMMYFUNCTION("GOOGLETRANSLATE(D179, ""en"", ""bn"")"),"খ) কুস্তির প্রভাব")</f>
        <v>খ) কুস্তির প্রভাব</v>
      </c>
      <c r="N179" s="10" t="str">
        <f>IFERROR(__xludf.DUMMYFUNCTION("GOOGLETRANSLATE(E179, ""en"", ""bn"")"),"খেলার শারীরিক উপাদান, যেমন ট্যাকলিং এবং গ্র্যাপলিং, ঐতিহ্যবাহী কুস্তি দ্বারা ব্যাপকভাবে প্রভাবিত ছিল, যা এই অঞ্চলেও জনপ্রিয় ছিল।")</f>
        <v>খেলার শারীরিক উপাদান, যেমন ট্যাকলিং এবং গ্র্যাপলিং, ঐতিহ্যবাহী কুস্তি দ্বারা ব্যাপকভাবে প্রভাবিত ছিল, যা এই অঞ্চলেও জনপ্রিয় ছিল।</v>
      </c>
    </row>
    <row r="180">
      <c r="A180" s="13">
        <v>179.0</v>
      </c>
      <c r="B180" s="13" t="s">
        <v>2025</v>
      </c>
      <c r="C180" s="13" t="s">
        <v>2026</v>
      </c>
      <c r="D180" s="13" t="s">
        <v>1041</v>
      </c>
      <c r="E180" s="13" t="s">
        <v>2027</v>
      </c>
      <c r="J180" s="10" t="str">
        <f>IFERROR(__xludf.DUMMYFUNCTION("GOOGLETRANSLATE(A180, ""en"", ""bn"")"),"১৭৯")</f>
        <v>১৭৯</v>
      </c>
      <c r="K180" s="10" t="str">
        <f>IFERROR(__xludf.DUMMYFUNCTION("GOOGLETRANSLATE(B180, ""en"", ""bn"")"),"বাংলাদেশের বিপক্ষে আন্তর্জাতিক হা-ডু-ডু ম্যাচে অংশগ্রহণকারী প্রথম দেশ কোনটি?")</f>
        <v>বাংলাদেশের বিপক্ষে আন্তর্জাতিক হা-ডু-ডু ম্যাচে অংশগ্রহণকারী প্রথম দেশ কোনটি?</v>
      </c>
      <c r="L180" s="10" t="str">
        <f>IFERROR(__xludf.DUMMYFUNCTION("GOOGLETRANSLATE(C180, ""en"", ""bn"")"),"A) ভারত, B) শ্রীলঙ্কা, C) নেপাল, D) পাকিস্তান")</f>
        <v>A) ভারত, B) শ্রীলঙ্কা, C) নেপাল, D) পাকিস্তান</v>
      </c>
      <c r="M180" s="10" t="str">
        <f>IFERROR(__xludf.DUMMYFUNCTION("GOOGLETRANSLATE(D180, ""en"", ""bn"")"),"ক) ভারত")</f>
        <v>ক) ভারত</v>
      </c>
      <c r="N180" s="10" t="str">
        <f>IFERROR(__xludf.DUMMYFUNCTION("GOOGLETRANSLATE(E180, ""en"", ""bn"")"),"ভারত ও বাংলাদেশের একে অপরের বিরুদ্ধে খেলার দীর্ঘ ইতিহাস রয়েছে, যার ফলে ভারত হা-ডু-ডুর প্রথম আন্তর্জাতিক প্রতিপক্ষ।")</f>
        <v>ভারত ও বাংলাদেশের একে অপরের বিরুদ্ধে খেলার দীর্ঘ ইতিহাস রয়েছে, যার ফলে ভারত হা-ডু-ডুর প্রথম আন্তর্জাতিক প্রতিপক্ষ।</v>
      </c>
    </row>
    <row r="181">
      <c r="A181" s="13">
        <v>180.0</v>
      </c>
      <c r="B181" s="13" t="s">
        <v>1792</v>
      </c>
      <c r="C181" s="13" t="s">
        <v>1793</v>
      </c>
      <c r="D181" s="13" t="s">
        <v>1794</v>
      </c>
      <c r="E181" s="13" t="s">
        <v>1795</v>
      </c>
      <c r="J181" s="10" t="str">
        <f>IFERROR(__xludf.DUMMYFUNCTION("GOOGLETRANSLATE(A181, ""en"", ""bn"")"),"১৮০")</f>
        <v>১৮০</v>
      </c>
      <c r="K181" s="10" t="str">
        <f>IFERROR(__xludf.DUMMYFUNCTION("GOOGLETRANSLATE(B181, ""en"", ""bn"")"),"খালি পায়ে হা-ডু-ডু খেলার ঐতিহাসিক প্রথা মূলত কোন কারণে শুরু হয়েছিল?")</f>
        <v>খালি পায়ে হা-ডু-ডু খেলার ঐতিহাসিক প্রথা মূলত কোন কারণে শুরু হয়েছিল?</v>
      </c>
      <c r="L181" s="10" t="str">
        <f>IFERROR(__xludf.DUMMYFUNCTION("GOOGLETRANSLATE(C181, ""en"", ""bn"")"),"ক) এটি একটি ধর্মীয় রীতিনীতি ছিল, খ) এটি একটি স্টাইল পছন্দ ছিল, গ) এটি কাদা মাটিতে ধরার ক্ষমতা উন্নত করেছিল, ঘ) জুতাগুলি খুব দামি ছিল")</f>
        <v>ক) এটি একটি ধর্মীয় রীতিনীতি ছিল, খ) এটি একটি স্টাইল পছন্দ ছিল, গ) এটি কাদা মাটিতে ধরার ক্ষমতা উন্নত করেছিল, ঘ) জুতাগুলি খুব দামি ছিল</v>
      </c>
      <c r="M181" s="10" t="str">
        <f>IFERROR(__xludf.DUMMYFUNCTION("GOOGLETRANSLATE(D181, ""en"", ""bn"")"),"গ) এটি কর্দমাক্ত মাটিতে দখল উন্নত করেছে")</f>
        <v>গ) এটি কর্দমাক্ত মাটিতে দখল উন্নত করেছে</v>
      </c>
      <c r="N181" s="10" t="str">
        <f>IFERROR(__xludf.DUMMYFUNCTION("GOOGLETRANSLATE(E181, ""en"", ""bn"")"),"খালি পায়ে খেলার ফলে নরম, প্রায়শই পিচ্ছিল, কর্দমাক্ত মাঠে, যেখানে ঐতিহ্যগতভাবে খেলাটি খেলা হত, সেখানে আরও ভালোভাবে ধরা এবং তত্পরতা তৈরি হত।")</f>
        <v>খালি পায়ে খেলার ফলে নরম, প্রায়শই পিচ্ছিল, কর্দমাক্ত মাঠে, যেখানে ঐতিহ্যগতভাবে খেলাটি খেলা হত, সেখানে আরও ভালোভাবে ধরা এবং তত্পরতা তৈরি হত।</v>
      </c>
    </row>
    <row r="182">
      <c r="A182" s="13">
        <v>181.0</v>
      </c>
      <c r="B182" s="13" t="s">
        <v>1796</v>
      </c>
      <c r="C182" s="13" t="s">
        <v>1797</v>
      </c>
      <c r="D182" s="13" t="s">
        <v>68</v>
      </c>
      <c r="E182" s="13" t="s">
        <v>1798</v>
      </c>
      <c r="J182" s="10" t="str">
        <f>IFERROR(__xludf.DUMMYFUNCTION("GOOGLETRANSLATE(A182, ""en"", ""bn"")"),"১৮১")</f>
        <v>১৮১</v>
      </c>
      <c r="K182" s="10" t="str">
        <f>IFERROR(__xludf.DUMMYFUNCTION("GOOGLETRANSLATE(B182, ""en"", ""bn"")"),"শারীরিক প্রশিক্ষণে হা-ডু-ডুর ঐতিহাসিক ভূমিকা কোন পেশায় সবচেয়ে উল্লেখযোগ্য ছিল?")</f>
        <v>শারীরিক প্রশিক্ষণে হা-ডু-ডুর ঐতিহাসিক ভূমিকা কোন পেশায় সবচেয়ে উল্লেখযোগ্য ছিল?</v>
      </c>
      <c r="L182" s="10" t="str">
        <f>IFERROR(__xludf.DUMMYFUNCTION("GOOGLETRANSLATE(C182, ""en"", ""bn"")"),"ক) কৃষক, খ) জেলে, গ) সৈনিক, ঘ) তাঁতি")</f>
        <v>ক) কৃষক, খ) জেলে, গ) সৈনিক, ঘ) তাঁতি</v>
      </c>
      <c r="M182" s="10" t="str">
        <f>IFERROR(__xludf.DUMMYFUNCTION("GOOGLETRANSLATE(D182, ""en"", ""bn"")"),"ক) কৃষক")</f>
        <v>ক) কৃষক</v>
      </c>
      <c r="N182" s="10" t="str">
        <f>IFERROR(__xludf.DUMMYFUNCTION("GOOGLETRANSLATE(E182, ""en"", ""bn"")"),"শক্তি, তত্পরতা এবং সহনশীলতার উপর জোর দেওয়ার কারণে খেলাটি কৃষক এবং অন্যান্য কৃষি শ্রমিকদের জন্য শারীরিক ব্যায়ামের একটি আদর্শ রূপে পরিণত হয়েছে।")</f>
        <v>শক্তি, তত্পরতা এবং সহনশীলতার উপর জোর দেওয়ার কারণে খেলাটি কৃষক এবং অন্যান্য কৃষি শ্রমিকদের জন্য শারীরিক ব্যায়ামের একটি আদর্শ রূপে পরিণত হয়েছে।</v>
      </c>
    </row>
    <row r="183">
      <c r="A183" s="13">
        <v>182.0</v>
      </c>
      <c r="B183" s="13" t="s">
        <v>1799</v>
      </c>
      <c r="C183" s="13" t="s">
        <v>1800</v>
      </c>
      <c r="D183" s="13" t="s">
        <v>1801</v>
      </c>
      <c r="E183" s="13" t="s">
        <v>1802</v>
      </c>
      <c r="J183" s="10" t="str">
        <f>IFERROR(__xludf.DUMMYFUNCTION("GOOGLETRANSLATE(A183, ""en"", ""bn"")"),"১৮২")</f>
        <v>১৮২</v>
      </c>
      <c r="K183" s="10" t="str">
        <f>IFERROR(__xludf.DUMMYFUNCTION("GOOGLETRANSLATE(B183, ""en"", ""bn"")"),"হা-ডু-ডুতে ডিফেন্ডিং দল ঐতিহাসিকভাবে কোন ধরণের কৌশলগত গঠন ব্যবহার করেছিল?")</f>
        <v>হা-ডু-ডুতে ডিফেন্ডিং দল ঐতিহাসিকভাবে কোন ধরণের কৌশলগত গঠন ব্যবহার করেছিল?</v>
      </c>
      <c r="L183" s="10" t="str">
        <f>IFERROR(__xludf.DUMMYFUNCTION("GOOGLETRANSLATE(C183, ""en"", ""bn"")"),"ক) একটি একক রেখা, খ) একটি অর্ধবৃত্ত, গ) একটি বিক্ষিপ্ত গঠন, ঘ) একটি 'শৃঙ্খল' গঠন")</f>
        <v>ক) একটি একক রেখা, খ) একটি অর্ধবৃত্ত, গ) একটি বিক্ষিপ্ত গঠন, ঘ) একটি 'শৃঙ্খল' গঠন</v>
      </c>
      <c r="M183" s="10" t="str">
        <f>IFERROR(__xludf.DUMMYFUNCTION("GOOGLETRANSLATE(D183, ""en"", ""bn"")"),"ঘ) একটি 'শৃঙ্খল' গঠন")</f>
        <v>ঘ) একটি 'শৃঙ্খল' গঠন</v>
      </c>
      <c r="N183" s="10" t="str">
        <f>IFERROR(__xludf.DUMMYFUNCTION("GOOGLETRANSLATE(E183, ""en"", ""bn"")"),"রক্ষণভাগের খেলোয়াড়রা প্রায়শই হাত ধরে বা হাত সংযুক্ত করে একটি 'শিকল' তৈরি করত যাতে একটি মানব প্রাচীর তৈরি হত, যার ফলে আক্রমণকারীর পক্ষে ট্যাগের পরে পালানো কঠিন হয়ে পড়ত।")</f>
        <v>রক্ষণভাগের খেলোয়াড়রা প্রায়শই হাত ধরে বা হাত সংযুক্ত করে একটি 'শিকল' তৈরি করত যাতে একটি মানব প্রাচীর তৈরি হত, যার ফলে আক্রমণকারীর পক্ষে ট্যাগের পরে পালানো কঠিন হয়ে পড়ত।</v>
      </c>
    </row>
    <row r="184">
      <c r="A184" s="13">
        <v>183.0</v>
      </c>
      <c r="B184" s="13" t="s">
        <v>1803</v>
      </c>
      <c r="C184" s="13" t="s">
        <v>1804</v>
      </c>
      <c r="D184" s="13" t="s">
        <v>1805</v>
      </c>
      <c r="E184" s="13" t="s">
        <v>1806</v>
      </c>
      <c r="J184" s="10" t="str">
        <f>IFERROR(__xludf.DUMMYFUNCTION("GOOGLETRANSLATE(A184, ""en"", ""bn"")"),"১৮৩")</f>
        <v>১৮৩</v>
      </c>
      <c r="K184" s="10" t="str">
        <f>IFERROR(__xludf.DUMMYFUNCTION("GOOGLETRANSLATE(B184, ""en"", ""bn"")"),"ঐতিহাসিক হা-ডু-ডুতে সফল অভিযানের জন্য একটি সাধারণ শব্দ কী ছিল?")</f>
        <v>ঐতিহাসিক হা-ডু-ডুতে সফল অভিযানের জন্য একটি সাধারণ শব্দ কী ছিল?</v>
      </c>
      <c r="L184" s="10" t="str">
        <f>IFERROR(__xludf.DUMMYFUNCTION("GOOGLETRANSLATE(C184, ""en"", ""bn"")"),"A) 'ঝাটকা,' B) 'ধর,' C) 'পাকা অভিযান,' D) 'সাফল'")</f>
        <v>A) 'ঝাটকা,' B) 'ধর,' C) 'পাকা অভিযান,' D) 'সাফল'</v>
      </c>
      <c r="M184" s="10" t="str">
        <f>IFERROR(__xludf.DUMMYFUNCTION("GOOGLETRANSLATE(D184, ""en"", ""bn"")"),"গ) 'পাকা অভিযান'")</f>
        <v>গ) 'পাকা অভিযান'</v>
      </c>
      <c r="N184" s="10" t="str">
        <f>IFERROR(__xludf.DUMMYFUNCTION("GOOGLETRANSLATE(E184, ""en"", ""bn"")"),"একটি সফল অভিযান যা পয়েন্ট অর্জন করে এবং আক্রমণকারীর নিরাপদ প্রত্যাবর্তনের ফলাফল দেয়, ঐতিহ্যগতভাবে এটি 'পাকা অভিযান' (একটি 'পাকা' বা 'সম্পূর্ণ' অভিযান) নামে পরিচিত ছিল।")</f>
        <v>একটি সফল অভিযান যা পয়েন্ট অর্জন করে এবং আক্রমণকারীর নিরাপদ প্রত্যাবর্তনের ফলাফল দেয়, ঐতিহ্যগতভাবে এটি 'পাকা অভিযান' (একটি 'পাকা' বা 'সম্পূর্ণ' অভিযান) নামে পরিচিত ছিল।</v>
      </c>
    </row>
    <row r="185">
      <c r="A185" s="13">
        <v>184.0</v>
      </c>
      <c r="B185" s="13" t="s">
        <v>1807</v>
      </c>
      <c r="C185" s="13" t="s">
        <v>1808</v>
      </c>
      <c r="D185" s="13" t="s">
        <v>1809</v>
      </c>
      <c r="E185" s="13" t="s">
        <v>1810</v>
      </c>
      <c r="J185" s="10" t="str">
        <f>IFERROR(__xludf.DUMMYFUNCTION("GOOGLETRANSLATE(A185, ""en"", ""bn"")"),"১৮৪")</f>
        <v>১৮৪</v>
      </c>
      <c r="K185" s="10" t="str">
        <f>IFERROR(__xludf.DUMMYFUNCTION("GOOGLETRANSLATE(B185, ""en"", ""bn"")"),"ঐতিহাসিকভাবে বাংলার কোন জনগোষ্ঠীর মধ্যে হা-ডু-ডু একটি জনপ্রিয় খেলা ছিল?")</f>
        <v>ঐতিহাসিকভাবে বাংলার কোন জনগোষ্ঠীর মধ্যে হা-ডু-ডু একটি জনপ্রিয় খেলা ছিল?</v>
      </c>
      <c r="L185" s="10" t="str">
        <f>IFERROR(__xludf.DUMMYFUNCTION("GOOGLETRANSLATE(C185, ""en"", ""bn"")"),"ক) যুবক, খ) বয়স্ক পুরুষ, গ) মহিলা, ঘ) শিশু")</f>
        <v>ক) যুবক, খ) বয়স্ক পুরুষ, গ) মহিলা, ঘ) শিশু</v>
      </c>
      <c r="M185" s="10" t="str">
        <f>IFERROR(__xludf.DUMMYFUNCTION("GOOGLETRANSLATE(D185, ""en"", ""bn"")"),"ক) যুবকরা")</f>
        <v>ক) যুবকরা</v>
      </c>
      <c r="N185" s="10" t="str">
        <f>IFERROR(__xludf.DUMMYFUNCTION("GOOGLETRANSLATE(E185, ""en"", ""bn"")"),"এই খেলার শারীরিক প্রকৃতি এবং তত্পরতা ও শক্তির প্রয়োজনীয়তা এটিকে তরুণদের মধ্যে বিশেষভাবে জনপ্রিয় করে তুলেছে, কারণ এটি তাদের দক্ষতা এবং ফিটনেস প্রদর্শনের একটি উপায়।")</f>
        <v>এই খেলার শারীরিক প্রকৃতি এবং তত্পরতা ও শক্তির প্রয়োজনীয়তা এটিকে তরুণদের মধ্যে বিশেষভাবে জনপ্রিয় করে তুলেছে, কারণ এটি তাদের দক্ষতা এবং ফিটনেস প্রদর্শনের একটি উপায়।</v>
      </c>
    </row>
    <row r="186">
      <c r="A186" s="13">
        <v>185.0</v>
      </c>
      <c r="B186" s="13" t="s">
        <v>1811</v>
      </c>
      <c r="C186" s="13" t="s">
        <v>1812</v>
      </c>
      <c r="D186" s="13" t="s">
        <v>1813</v>
      </c>
      <c r="E186" s="13" t="s">
        <v>1814</v>
      </c>
      <c r="J186" s="10" t="str">
        <f>IFERROR(__xludf.DUMMYFUNCTION("GOOGLETRANSLATE(A186, ""en"", ""bn"")"),"১৮৫")</f>
        <v>১৮৫</v>
      </c>
      <c r="K186" s="10" t="str">
        <f>IFERROR(__xludf.DUMMYFUNCTION("GOOGLETRANSLATE(B186, ""en"", ""bn"")"),"হা-ডু-ডুর প্রথম আনুষ্ঠানিক নিয়ম কত সালে লেখা হয়েছিল?")</f>
        <v>হা-ডু-ডুর প্রথম আনুষ্ঠানিক নিয়ম কত সালে লেখা হয়েছিল?</v>
      </c>
      <c r="L186" s="10" t="str">
        <f>IFERROR(__xludf.DUMMYFUNCTION("GOOGLETRANSLATE(C186, ""en"", ""bn"")"),"ক) ১৯৫০, খ) ১৯৭২, গ) ১৯৮০, ঘ) ১৯৮৫")</f>
        <v>ক) ১৯৫০, খ) ১৯৭২, গ) ১৯৮০, ঘ) ১৯৮৫</v>
      </c>
      <c r="M186" s="10" t="str">
        <f>IFERROR(__xludf.DUMMYFUNCTION("GOOGLETRANSLATE(D186, ""en"", ""bn"")"),"খ) ১৯৭২")</f>
        <v>খ) ১৯৭২</v>
      </c>
      <c r="N186" s="10" t="str">
        <f>IFERROR(__xludf.DUMMYFUNCTION("GOOGLETRANSLATE(E186, ""en"", ""bn"")"),"বাংলাদেশ কাবাডি ফেডারেশন ১৯৭২ সালে গঠিত হয় এবং এই বছরই তারা খেলাটিকে মানসম্মত করার জন্য প্রথম আনুষ্ঠানিক নিয়ম প্রণয়ন করে।")</f>
        <v>বাংলাদেশ কাবাডি ফেডারেশন ১৯৭২ সালে গঠিত হয় এবং এই বছরই তারা খেলাটিকে মানসম্মত করার জন্য প্রথম আনুষ্ঠানিক নিয়ম প্রণয়ন করে।</v>
      </c>
    </row>
    <row r="187">
      <c r="A187" s="13">
        <v>186.0</v>
      </c>
      <c r="B187" s="13" t="s">
        <v>1815</v>
      </c>
      <c r="C187" s="13" t="s">
        <v>1816</v>
      </c>
      <c r="D187" s="13" t="s">
        <v>1817</v>
      </c>
      <c r="E187" s="13" t="s">
        <v>1818</v>
      </c>
      <c r="J187" s="10" t="str">
        <f>IFERROR(__xludf.DUMMYFUNCTION("GOOGLETRANSLATE(A187, ""en"", ""bn"")"),"১৮৬")</f>
        <v>১৮৬</v>
      </c>
      <c r="K187" s="10" t="str">
        <f>IFERROR(__xludf.DUMMYFUNCTION("GOOGLETRANSLATE(B187, ""en"", ""bn"")"),"দক্ষিণ এশীয় অন্যান্য অনুরূপ খেলা থেকে হা-ডু-ডুর নিয়মের কোন মূল উপাদানটি গৃহীত হয়েছিল?")</f>
        <v>দক্ষিণ এশীয় অন্যান্য অনুরূপ খেলা থেকে হা-ডু-ডুর নিয়মের কোন মূল উপাদানটি গৃহীত হয়েছিল?</v>
      </c>
      <c r="L187" s="10" t="str">
        <f>IFERROR(__xludf.DUMMYFUNCTION("GOOGLETRANSLATE(C187, ""en"", ""bn"")"),"ক) আদালতের মাত্রা, খ) দলের আকার, গ) ধারাবাহিক জপ, ঘ) ট্যাকলিং পদ্ধতি")</f>
        <v>ক) আদালতের মাত্রা, খ) দলের আকার, গ) ধারাবাহিক জপ, ঘ) ট্যাকলিং পদ্ধতি</v>
      </c>
      <c r="M187" s="10" t="str">
        <f>IFERROR(__xludf.DUMMYFUNCTION("GOOGLETRANSLATE(D187, ""en"", ""bn"")"),"গ) অবিরাম জপ")</f>
        <v>গ) অবিরাম জপ</v>
      </c>
      <c r="N187" s="10" t="str">
        <f>IFERROR(__xludf.DUMMYFUNCTION("GOOGLETRANSLATE(E187, ""en"", ""bn"")"),"রেইডারকে এক নিঃশ্বাসে জপ করতে হবে এই নিয়মটি ভারতীয় কাবাডি খেলায়ও পাওয়া যায়, যেখান থেকে হা-ডু-ডু বিবর্তিত হয়েছে বলে মনে করা হয়।")</f>
        <v>রেইডারকে এক নিঃশ্বাসে জপ করতে হবে এই নিয়মটি ভারতীয় কাবাডি খেলায়ও পাওয়া যায়, যেখান থেকে হা-ডু-ডু বিবর্তিত হয়েছে বলে মনে করা হয়।</v>
      </c>
    </row>
    <row r="188">
      <c r="A188" s="13">
        <v>187.0</v>
      </c>
      <c r="B188" s="13" t="s">
        <v>1819</v>
      </c>
      <c r="C188" s="13" t="s">
        <v>1820</v>
      </c>
      <c r="D188" s="13" t="s">
        <v>1821</v>
      </c>
      <c r="E188" s="13" t="s">
        <v>1822</v>
      </c>
      <c r="J188" s="10" t="str">
        <f>IFERROR(__xludf.DUMMYFUNCTION("GOOGLETRANSLATE(A188, ""en"", ""bn"")"),"১৮৭")</f>
        <v>১৮৭</v>
      </c>
      <c r="K188" s="10" t="str">
        <f>IFERROR(__xludf.DUMMYFUNCTION("GOOGLETRANSLATE(B188, ""en"", ""bn"")"),"হা-ডু-ডু আদালতের কেন্দ্ররেখার ঐতিহাসিক নাম কী ছিল?")</f>
        <v>হা-ডু-ডু আদালতের কেন্দ্ররেখার ঐতিহাসিক নাম কী ছিল?</v>
      </c>
      <c r="L188" s="10" t="str">
        <f>IFERROR(__xludf.DUMMYFUNCTION("GOOGLETRANSLATE(C188, ""en"", ""bn"")"),"ক) 'স্পর্শ রেখা', খ) 'মধ্যরেখা', গ) 'বাল্ক রেখা', ঘ) 'জীবন রেখা'")</f>
        <v>ক) 'স্পর্শ রেখা', খ) 'মধ্যরেখা', গ) 'বাল্ক রেখা', ঘ) 'জীবন রেখা'</v>
      </c>
      <c r="M188" s="10" t="str">
        <f>IFERROR(__xludf.DUMMYFUNCTION("GOOGLETRANSLATE(D188, ""en"", ""bn"")"),"ঘ) 'জীবনরেখা'")</f>
        <v>ঘ) 'জীবনরেখা'</v>
      </c>
      <c r="N188" s="10" t="str">
        <f>IFERROR(__xludf.DUMMYFUNCTION("GOOGLETRANSLATE(E188, ""en"", ""bn"")"),"নিরাপদ থাকার জন্য আক্রমণকারীকে যে কেন্দ্রীয় রেখা অতিক্রম করতে হয়, তা ঐতিহাসিকভাবে এবং প্রতীকীভাবে 'জীবন রেখা' বা 'জীবন রেখা' নামে পরিচিত ছিল।")</f>
        <v>নিরাপদ থাকার জন্য আক্রমণকারীকে যে কেন্দ্রীয় রেখা অতিক্রম করতে হয়, তা ঐতিহাসিকভাবে এবং প্রতীকীভাবে 'জীবন রেখা' বা 'জীবন রেখা' নামে পরিচিত ছিল।</v>
      </c>
    </row>
    <row r="189">
      <c r="A189" s="13">
        <v>188.0</v>
      </c>
      <c r="B189" s="13" t="s">
        <v>1823</v>
      </c>
      <c r="C189" s="13" t="s">
        <v>1824</v>
      </c>
      <c r="D189" s="13" t="s">
        <v>1825</v>
      </c>
      <c r="E189" s="13" t="s">
        <v>1826</v>
      </c>
      <c r="J189" s="10" t="str">
        <f>IFERROR(__xludf.DUMMYFUNCTION("GOOGLETRANSLATE(A189, ""en"", ""bn"")"),"১৮৮")</f>
        <v>১৮৮</v>
      </c>
      <c r="K189" s="10" t="str">
        <f>IFERROR(__xludf.DUMMYFUNCTION("GOOGLETRANSLATE(B189, ""en"", ""bn"")"),"বিংশ শতাব্দীর শেষের দিকে শহরাঞ্চলে হা-ডু-ডুর পতনের মূল কারণ কী ছিল?")</f>
        <v>বিংশ শতাব্দীর শেষের দিকে শহরাঞ্চলে হা-ডু-ডুর পতনের মূল কারণ কী ছিল?</v>
      </c>
      <c r="L189" s="10" t="str">
        <f>IFERROR(__xludf.DUMMYFUNCTION("GOOGLETRANSLATE(C189, ""en"", ""bn"")"),"ক) উপযুক্ত মাঠের অভাব, খ) অন্যান্য খেলাধুলায় প্রতিযোগিতা, গ) তরুণদের আগ্রহের অভাব, ঘ) সরঞ্জামের উচ্চ মূল্য")</f>
        <v>ক) উপযুক্ত মাঠের অভাব, খ) অন্যান্য খেলাধুলায় প্রতিযোগিতা, গ) তরুণদের আগ্রহের অভাব, ঘ) সরঞ্জামের উচ্চ মূল্য</v>
      </c>
      <c r="M189" s="10" t="str">
        <f>IFERROR(__xludf.DUMMYFUNCTION("GOOGLETRANSLATE(D189, ""en"", ""bn"")"),"খ) অন্যান্য খেলাধুলার প্রতিযোগিতা")</f>
        <v>খ) অন্যান্য খেলাধুলার প্রতিযোগিতা</v>
      </c>
      <c r="N189" s="10" t="str">
        <f>IFERROR(__xludf.DUMMYFUNCTION("GOOGLETRANSLATE(E189, ""en"", ""bn"")"),"ক্রিকেট ও ফুটবলের উত্থান, তাদের আন্তর্জাতিক আকর্ষণ এবং উন্নত অবকাঠামোর কারণে, শহরাঞ্চলে হা-ডু-ডুর জনপ্রিয়তা হ্রাস পায়।")</f>
        <v>ক্রিকেট ও ফুটবলের উত্থান, তাদের আন্তর্জাতিক আকর্ষণ এবং উন্নত অবকাঠামোর কারণে, শহরাঞ্চলে হা-ডু-ডুর জনপ্রিয়তা হ্রাস পায়।</v>
      </c>
    </row>
    <row r="190">
      <c r="A190" s="13">
        <v>189.0</v>
      </c>
      <c r="B190" s="13" t="s">
        <v>1827</v>
      </c>
      <c r="C190" s="13" t="s">
        <v>1828</v>
      </c>
      <c r="D190" s="13" t="s">
        <v>1829</v>
      </c>
      <c r="E190" s="13" t="s">
        <v>1830</v>
      </c>
      <c r="J190" s="10" t="str">
        <f>IFERROR(__xludf.DUMMYFUNCTION("GOOGLETRANSLATE(A190, ""en"", ""bn"")"),"১৮৯")</f>
        <v>১৮৯</v>
      </c>
      <c r="K190" s="10" t="str">
        <f>IFERROR(__xludf.DUMMYFUNCTION("GOOGLETRANSLATE(B190, ""en"", ""bn"")"),"প্রথম প্রধান জাতীয় হা-ডু-ডু টুর্নামেন্ট কোন শহরে অনুষ্ঠিত হয়েছিল?")</f>
        <v>প্রথম প্রধান জাতীয় হা-ডু-ডু টুর্নামেন্ট কোন শহরে অনুষ্ঠিত হয়েছিল?</v>
      </c>
      <c r="L190" s="10" t="str">
        <f>IFERROR(__xludf.DUMMYFUNCTION("GOOGLETRANSLATE(C190, ""en"", ""bn"")"),"ক) চট্টগ্রাম, খ) সিলেট, গ) ঢাকা, ঘ) খুলনা")</f>
        <v>ক) চট্টগ্রাম, খ) সিলেট, গ) ঢাকা, ঘ) খুলনা</v>
      </c>
      <c r="M190" s="10" t="str">
        <f>IFERROR(__xludf.DUMMYFUNCTION("GOOGLETRANSLATE(D190, ""en"", ""bn"")"),"গ) ঢাকা")</f>
        <v>গ) ঢাকা</v>
      </c>
      <c r="N190" s="10" t="str">
        <f>IFERROR(__xludf.DUMMYFUNCTION("GOOGLETRANSLATE(E190, ""en"", ""bn"")"),"স্বাধীনতার পর খেলাধুলাকে জনপ্রিয় করার লক্ষ্যে প্রথম আনুষ্ঠানিক জাতীয় টুর্নামেন্টটি রাজধানী ঢাকায় অনুষ্ঠিত হয়েছিল।")</f>
        <v>স্বাধীনতার পর খেলাধুলাকে জনপ্রিয় করার লক্ষ্যে প্রথম আনুষ্ঠানিক জাতীয় টুর্নামেন্টটি রাজধানী ঢাকায় অনুষ্ঠিত হয়েছিল।</v>
      </c>
    </row>
    <row r="191">
      <c r="A191" s="13">
        <v>190.0</v>
      </c>
      <c r="B191" s="13" t="s">
        <v>1831</v>
      </c>
      <c r="C191" s="13" t="s">
        <v>1832</v>
      </c>
      <c r="D191" s="13" t="s">
        <v>1833</v>
      </c>
      <c r="E191" s="13" t="s">
        <v>1834</v>
      </c>
      <c r="J191" s="10" t="str">
        <f>IFERROR(__xludf.DUMMYFUNCTION("GOOGLETRANSLATE(A191, ""en"", ""bn"")"),"১৯০")</f>
        <v>১৯০</v>
      </c>
      <c r="K191" s="10" t="str">
        <f>IFERROR(__xludf.DUMMYFUNCTION("GOOGLETRANSLATE(B191, ""en"", ""bn"")"),"বাংলার ইতিহাসের কোন ঐতিহাসিক ব্যক্তিত্ব প্রায়শই সাধারণ মানুষের মধ্যে হা-ডু-ডু প্রচারের সাথে যুক্ত?")</f>
        <v>বাংলার ইতিহাসের কোন ঐতিহাসিক ব্যক্তিত্ব প্রায়শই সাধারণ মানুষের মধ্যে হা-ডু-ডু প্রচারের সাথে যুক্ত?</v>
      </c>
      <c r="L191" s="10" t="str">
        <f>IFERROR(__xludf.DUMMYFUNCTION("GOOGLETRANSLATE(C191, ""en"", ""bn"")"),"A) নেতাজি সুভাষ চন্দ্র বসু, B) বঙ্গবন্ধু শেখ মুজিবুর রহমান, C) রবীন্দ্রনাথ ঠাকুর, D) কাজী নজরুল ইসলাম")</f>
        <v>A) নেতাজি সুভাষ চন্দ্র বসু, B) বঙ্গবন্ধু শেখ মুজিবুর রহমান, C) রবীন্দ্রনাথ ঠাকুর, D) কাজী নজরুল ইসলাম</v>
      </c>
      <c r="M191" s="10" t="str">
        <f>IFERROR(__xludf.DUMMYFUNCTION("GOOGLETRANSLATE(D191, ""en"", ""bn"")"),"খ) বঙ্গবন্ধু শেখ মুজিবুর রহমান")</f>
        <v>খ) বঙ্গবন্ধু শেখ মুজিবুর রহমান</v>
      </c>
      <c r="N191" s="10" t="str">
        <f>IFERROR(__xludf.DUMMYFUNCTION("GOOGLETRANSLATE(E191, ""en"", ""bn"")"),"বাংলাদেশের প্রতিষ্ঠাতা বঙ্গবন্ধু শেখ মুজিবুর রহমান ঐতিহ্যবাহী বাঙালি সংস্কৃতির একজন জোরালো সমর্থক ছিলেন এবং খেলাধুলার পুনরুজ্জীবনে গুরুত্বপূর্ণ ভূমিকা পালন করেছিলেন।")</f>
        <v>বাংলাদেশের প্রতিষ্ঠাতা বঙ্গবন্ধু শেখ মুজিবুর রহমান ঐতিহ্যবাহী বাঙালি সংস্কৃতির একজন জোরালো সমর্থক ছিলেন এবং খেলাধুলার পুনরুজ্জীবনে গুরুত্বপূর্ণ ভূমিকা পালন করেছিলেন।</v>
      </c>
    </row>
    <row r="192">
      <c r="A192" s="13">
        <v>191.0</v>
      </c>
      <c r="B192" s="13" t="s">
        <v>1835</v>
      </c>
      <c r="C192" s="13" t="s">
        <v>1836</v>
      </c>
      <c r="D192" s="13" t="s">
        <v>1837</v>
      </c>
      <c r="E192" s="13" t="s">
        <v>1838</v>
      </c>
      <c r="J192" s="10" t="str">
        <f>IFERROR(__xludf.DUMMYFUNCTION("GOOGLETRANSLATE(A192, ""en"", ""bn"")"),"১৯১")</f>
        <v>১৯১</v>
      </c>
      <c r="K192" s="10" t="str">
        <f>IFERROR(__xludf.DUMMYFUNCTION("GOOGLETRANSLATE(B192, ""en"", ""bn"")"),"গ্রামীণ বাংলার হা-ডু-ডু বাদকদের ঐতিহ্যবাহী 'ইউনিফর্ম' কী ছিল?")</f>
        <v>গ্রামীণ বাংলার হা-ডু-ডু বাদকদের ঐতিহ্যবাহী 'ইউনিফর্ম' কী ছিল?</v>
      </c>
      <c r="L192" s="10" t="str">
        <f>IFERROR(__xludf.DUMMYFUNCTION("GOOGLETRANSLATE(C192, ""en"", ""bn"")"),"ক) লুঙ্গি, খ) ধুতি, গ) ঢিলেঢালা প্যান্ট, ঘ) হাফপ্যান্ট")</f>
        <v>ক) লুঙ্গি, খ) ধুতি, গ) ঢিলেঢালা প্যান্ট, ঘ) হাফপ্যান্ট</v>
      </c>
      <c r="M192" s="10" t="str">
        <f>IFERROR(__xludf.DUMMYFUNCTION("GOOGLETRANSLATE(D192, ""en"", ""bn"")"),"ক) লুঙ্গি")</f>
        <v>ক) লুঙ্গি</v>
      </c>
      <c r="N192" s="10" t="str">
        <f>IFERROR(__xludf.DUMMYFUNCTION("GOOGLETRANSLATE(E192, ""en"", ""bn"")"),"গ্রামাঞ্চলের খেলোয়াড়রা ঐতিহ্যগতভাবে লুঙ্গি (কোমরে জড়িয়ে রাখা একটি ঢিলেঢালা পোশাক) অথবা আরাম এবং চলাচলের সুবিধার জন্য সাধারণ সুতির প্যান্ট পরতেন।")</f>
        <v>গ্রামাঞ্চলের খেলোয়াড়রা ঐতিহ্যগতভাবে লুঙ্গি (কোমরে জড়িয়ে রাখা একটি ঢিলেঢালা পোশাক) অথবা আরাম এবং চলাচলের সুবিধার জন্য সাধারণ সুতির প্যান্ট পরতেন।</v>
      </c>
    </row>
    <row r="193">
      <c r="A193" s="13">
        <v>192.0</v>
      </c>
      <c r="B193" s="13" t="s">
        <v>1839</v>
      </c>
      <c r="C193" s="13" t="s">
        <v>1840</v>
      </c>
      <c r="D193" s="13" t="s">
        <v>1841</v>
      </c>
      <c r="E193" s="14" t="s">
        <v>1842</v>
      </c>
      <c r="J193" s="10" t="str">
        <f>IFERROR(__xludf.DUMMYFUNCTION("GOOGLETRANSLATE(A193, ""en"", ""bn"")"),"১৯২")</f>
        <v>১৯২</v>
      </c>
      <c r="K193" s="10" t="str">
        <f>IFERROR(__xludf.DUMMYFUNCTION("GOOGLETRANSLATE(B193, ""en"", ""bn"")"),"ট্যাগ আউট হওয়ার পর একজন খেলোয়াড়ের খেলায় 'পুনরুজ্জীবন' বা 'পুনরায় প্রবেশ'-এর ঐতিহাসিক পরিভাষা কী ছিল?")</f>
        <v>ট্যাগ আউট হওয়ার পর একজন খেলোয়াড়ের খেলায় 'পুনরুজ্জীবন' বা 'পুনরায় প্রবেশ'-এর ঐতিহাসিক পরিভাষা কী ছিল?</v>
      </c>
      <c r="L193" s="10" t="str">
        <f>IFERROR(__xludf.DUMMYFUNCTION("GOOGLETRANSLATE(C193, ""en"", ""bn"")"),"A) 'জীবন,' B) 'পুনরাগোমন,' C) 'ফেরে আশা,' D) 'মুক্তির'")</f>
        <v>A) 'জীবন,' B) 'পুনরাগোমন,' C) 'ফেরে আশা,' D) 'মুক্তির'</v>
      </c>
      <c r="M193" s="10" t="str">
        <f>IFERROR(__xludf.DUMMYFUNCTION("GOOGLETRANSLATE(D193, ""en"", ""bn"")"),"খ) 'পুনোরগোমন'")</f>
        <v>খ) 'পুনোরগোমন'</v>
      </c>
      <c r="N193" s="10" t="str">
        <f>IFERROR(__xludf.DUMMYFUNCTION("GOOGLETRANSLATE(E193, ""en"", ""bn"")"),"পুনোরাগোমন' (যার অর্থ 'প্রত্যাবর্তন' বা 'পুনরায় প্রবেশ') ছিল একজন খেলোয়াড়ের সতীর্থের সফলভাবে পয়েন্ট অর্জনের পর খেলায় ফিরে আসার ঐতিহ্যবাহী শব্দ।")</f>
        <v>পুনোরাগোমন' (যার অর্থ 'প্রত্যাবর্তন' বা 'পুনরায় প্রবেশ') ছিল একজন খেলোয়াড়ের সতীর্থের সফলভাবে পয়েন্ট অর্জনের পর খেলায় ফিরে আসার ঐতিহ্যবাহী শব্দ।</v>
      </c>
    </row>
    <row r="194">
      <c r="A194" s="13">
        <v>193.0</v>
      </c>
      <c r="B194" s="13" t="s">
        <v>1843</v>
      </c>
      <c r="C194" s="13" t="s">
        <v>1844</v>
      </c>
      <c r="D194" s="13" t="s">
        <v>1845</v>
      </c>
      <c r="E194" s="13" t="s">
        <v>1846</v>
      </c>
      <c r="J194" s="10" t="str">
        <f>IFERROR(__xludf.DUMMYFUNCTION("GOOGLETRANSLATE(A194, ""en"", ""bn"")"),"১৯৩")</f>
        <v>১৯৩</v>
      </c>
      <c r="K194" s="10" t="str">
        <f>IFERROR(__xludf.DUMMYFUNCTION("GOOGLETRANSLATE(B194, ""en"", ""bn"")"),"বাংলার সুলতানি আমলে হা-ডু-ডুর জনপ্রিয়তা কোন রাজবংশের শারীরিক সুস্থতার প্রতি আগ্রহের ফলস্বরূপ ছিল?")</f>
        <v>বাংলার সুলতানি আমলে হা-ডু-ডুর জনপ্রিয়তা কোন রাজবংশের শারীরিক সুস্থতার প্রতি আগ্রহের ফলস্বরূপ ছিল?</v>
      </c>
      <c r="L194" s="10" t="str">
        <f>IFERROR(__xludf.DUMMYFUNCTION("GOOGLETRANSLATE(C194, ""en"", ""bn"")"),"ক) ইলিয়াস শাহী রাজবংশ, খ) হোসেন শাহী রাজবংশ, গ) মুঘল রাজবংশ, ঘ) ঘোরি রাজবংশ")</f>
        <v>ক) ইলিয়াস শাহী রাজবংশ, খ) হোসেন শাহী রাজবংশ, গ) মুঘল রাজবংশ, ঘ) ঘোরি রাজবংশ</v>
      </c>
      <c r="M194" s="10" t="str">
        <f>IFERROR(__xludf.DUMMYFUNCTION("GOOGLETRANSLATE(D194, ""en"", ""bn"")"),"ক) ইলিয়াস শাহী রাজবংশ")</f>
        <v>ক) ইলিয়াস শাহী রাজবংশ</v>
      </c>
      <c r="N194" s="10" t="str">
        <f>IFERROR(__xludf.DUMMYFUNCTION("GOOGLETRANSLATE(E194, ""en"", ""bn"")"),"ইলিয়াস শাহী রাজবংশ স্থানীয় বাঙালি সংস্কৃতি এবং শারীরিক শিল্পের প্রচারের জন্য পরিচিত ছিল, যা হা-ডু-ডুর মতো খেলাধুলাকে জনপ্রিয় করতে সাহায্য করেছিল।")</f>
        <v>ইলিয়াস শাহী রাজবংশ স্থানীয় বাঙালি সংস্কৃতি এবং শারীরিক শিল্পের প্রচারের জন্য পরিচিত ছিল, যা হা-ডু-ডুর মতো খেলাধুলাকে জনপ্রিয় করতে সাহায্য করেছিল।</v>
      </c>
    </row>
    <row r="195">
      <c r="A195" s="13">
        <v>194.0</v>
      </c>
      <c r="B195" s="13" t="s">
        <v>1847</v>
      </c>
      <c r="C195" s="13" t="s">
        <v>1848</v>
      </c>
      <c r="D195" s="13" t="s">
        <v>1849</v>
      </c>
      <c r="E195" s="13" t="s">
        <v>1850</v>
      </c>
      <c r="J195" s="10" t="str">
        <f>IFERROR(__xludf.DUMMYFUNCTION("GOOGLETRANSLATE(A195, ""en"", ""bn"")"),"১৯৪")</f>
        <v>১৯৪</v>
      </c>
      <c r="K195" s="10" t="str">
        <f>IFERROR(__xludf.DUMMYFUNCTION("GOOGLETRANSLATE(B195, ""en"", ""bn"")"),"বিংশ শতাব্দীর কোন বাংলাদেশী চলচ্চিত্রের মূল বিষয়বস্তু ছিল হা-ডু-ডু?")</f>
        <v>বিংশ শতাব্দীর কোন বাংলাদেশী চলচ্চিত্রের মূল বিষয়বস্তু ছিল হা-ডু-ডু?</v>
      </c>
      <c r="L195" s="10" t="str">
        <f>IFERROR(__xludf.DUMMYFUNCTION("GOOGLETRANSLATE(C195, ""en"", ""bn"")"),"A) 'নবাব সিরাজ-উদ-দৌলা,' B) 'সুরের আগুন,' C) 'দুহশাশোন,' D) 'কাবাডি'")</f>
        <v>A) 'নবাব সিরাজ-উদ-দৌলা,' B) 'সুরের আগুন,' C) 'দুহশাশোন,' D) 'কাবাডি'</v>
      </c>
      <c r="M195" s="10" t="str">
        <f>IFERROR(__xludf.DUMMYFUNCTION("GOOGLETRANSLATE(D195, ""en"", ""bn"")"),"খ) 'সুরের আগুন'")</f>
        <v>খ) 'সুরের আগুন'</v>
      </c>
      <c r="N195" s="10" t="str">
        <f>IFERROR(__xludf.DUMMYFUNCTION("GOOGLETRANSLATE(E195, ""en"", ""bn"")"),"১৯৭৮ সালের 'সুরের আগুন' চলচ্চিত্রে হা-ডু-ডুকে একটি বিশিষ্ট বিষয়বস্তু হিসেবে দেখানো হয়েছিল, যা নতুন প্রজন্মের কাছে এর সারমর্ম এবং সাংস্কৃতিক তাৎপর্য তুলে ধরতে সাহায্য করেছিল।")</f>
        <v>১৯৭৮ সালের 'সুরের আগুন' চলচ্চিত্রে হা-ডু-ডুকে একটি বিশিষ্ট বিষয়বস্তু হিসেবে দেখানো হয়েছিল, যা নতুন প্রজন্মের কাছে এর সারমর্ম এবং সাংস্কৃতিক তাৎপর্য তুলে ধরতে সাহায্য করেছিল।</v>
      </c>
    </row>
    <row r="196">
      <c r="A196" s="13">
        <v>195.0</v>
      </c>
      <c r="B196" s="13" t="s">
        <v>1851</v>
      </c>
      <c r="C196" s="13" t="s">
        <v>1852</v>
      </c>
      <c r="D196" s="13" t="s">
        <v>1853</v>
      </c>
      <c r="E196" s="13" t="s">
        <v>1854</v>
      </c>
      <c r="J196" s="10" t="str">
        <f>IFERROR(__xludf.DUMMYFUNCTION("GOOGLETRANSLATE(A196, ""en"", ""bn"")"),"১৯৫")</f>
        <v>১৯৫</v>
      </c>
      <c r="K196" s="10" t="str">
        <f>IFERROR(__xludf.DUMMYFUNCTION("GOOGLETRANSLATE(B196, ""en"", ""bn"")"),"হা-ডু-ডু ম্যাচে পুরো দলের ঐতিহাসিক নাম কী ছিল?")</f>
        <v>হা-ডু-ডু ম্যাচে পুরো দলের ঐতিহাসিক নাম কী ছিল?</v>
      </c>
      <c r="L196" s="10" t="str">
        <f>IFERROR(__xludf.DUMMYFUNCTION("GOOGLETRANSLATE(C196, ""en"", ""bn"")"),"ক) 'ডাল', 'খ) 'গোষ্ঠী,' গ) 'বাহিনী,' ঘ) 'জুঠো'")</f>
        <v>ক) 'ডাল', 'খ) 'গোষ্ঠী,' গ) 'বাহিনী,' ঘ) 'জুঠো'</v>
      </c>
      <c r="M196" s="10" t="str">
        <f>IFERROR(__xludf.DUMMYFUNCTION("GOOGLETRANSLATE(D196, ""en"", ""bn"")"),"ক) 'ডাল'")</f>
        <v>ক) 'ডাল'</v>
      </c>
      <c r="N196" s="10" t="str">
        <f>IFERROR(__xludf.DUMMYFUNCTION("GOOGLETRANSLATE(E196, ""en"", ""bn"")"),"'ডাল' শব্দটি (যার অর্থ 'দল' বা 'দল') হা-ডু-ডু খেলার একটি দলের জন্য ব্যবহৃত সাধারণ শব্দ ছিল এবং এখনও আছে।")</f>
        <v>'ডাল' শব্দটি (যার অর্থ 'দল' বা 'দল') হা-ডু-ডু খেলার একটি দলের জন্য ব্যবহৃত সাধারণ শব্দ ছিল এবং এখনও আছে।</v>
      </c>
    </row>
    <row r="197">
      <c r="A197" s="13">
        <v>196.0</v>
      </c>
      <c r="B197" s="13" t="s">
        <v>1855</v>
      </c>
      <c r="C197" s="13" t="s">
        <v>1142</v>
      </c>
      <c r="D197" s="13" t="s">
        <v>1856</v>
      </c>
      <c r="E197" s="13" t="s">
        <v>1857</v>
      </c>
      <c r="J197" s="10" t="str">
        <f>IFERROR(__xludf.DUMMYFUNCTION("GOOGLETRANSLATE(A197, ""en"", ""bn"")"),"১৯৬")</f>
        <v>১৯৬</v>
      </c>
      <c r="K197" s="10" t="str">
        <f>IFERROR(__xludf.DUMMYFUNCTION("GOOGLETRANSLATE(B197, ""en"", ""bn"")"),"আধুনিক হা-ডু-ডুতে 'বোনাস লাইন' থাকার নিয়ম কোন দশকে চালু হয়েছিল?")</f>
        <v>আধুনিক হা-ডু-ডুতে 'বোনাস লাইন' থাকার নিয়ম কোন দশকে চালু হয়েছিল?</v>
      </c>
      <c r="L197" s="10" t="str">
        <f>IFERROR(__xludf.DUMMYFUNCTION("GOOGLETRANSLATE(C197, ""en"", ""bn"")"),"ক) ১৯৭০ এর দশক, খ) ১৯৮০ এর দশক, গ) ১৯৯০ এর দশক, ঘ) ২০০০ এর দশক")</f>
        <v>ক) ১৯৭০ এর দশক, খ) ১৯৮০ এর দশক, গ) ১৯৯০ এর দশক, ঘ) ২০০০ এর দশক</v>
      </c>
      <c r="M197" s="10" t="str">
        <f>IFERROR(__xludf.DUMMYFUNCTION("GOOGLETRANSLATE(D197, ""en"", ""bn"")"),"গ) ১৯৯০ এর দশক")</f>
        <v>গ) ১৯৯০ এর দশক</v>
      </c>
      <c r="N197" s="10" t="str">
        <f>IFERROR(__xludf.DUMMYFUNCTION("GOOGLETRANSLATE(E197, ""en"", ""bn"")"),"খেলায় আরও গতিশীলতা যোগ করার জন্য 'বোনাস লাইন' ১৯৯০-এর দশকে চালু করা হয়েছিল, যার ফলে রেইডার একটি নির্দিষ্ট লাইন স্পর্শ করে অতিরিক্ত পয়েন্ট অর্জন করতে পারত।")</f>
        <v>খেলায় আরও গতিশীলতা যোগ করার জন্য 'বোনাস লাইন' ১৯৯০-এর দশকে চালু করা হয়েছিল, যার ফলে রেইডার একটি নির্দিষ্ট লাইন স্পর্শ করে অতিরিক্ত পয়েন্ট অর্জন করতে পারত।</v>
      </c>
    </row>
    <row r="198">
      <c r="A198" s="13">
        <v>197.0</v>
      </c>
      <c r="B198" s="13" t="s">
        <v>1858</v>
      </c>
      <c r="C198" s="13" t="s">
        <v>1859</v>
      </c>
      <c r="D198" s="13" t="s">
        <v>1860</v>
      </c>
      <c r="E198" s="13" t="s">
        <v>1861</v>
      </c>
      <c r="J198" s="10" t="str">
        <f>IFERROR(__xludf.DUMMYFUNCTION("GOOGLETRANSLATE(A198, ""en"", ""bn"")"),"১৯৭")</f>
        <v>১৯৭</v>
      </c>
      <c r="K198" s="10" t="str">
        <f>IFERROR(__xludf.DUMMYFUNCTION("GOOGLETRANSLATE(B198, ""en"", ""bn"")"),"ঐতিহাসিকভাবে, হা-ডু-ডু ম্যাচগুলি প্রায়শই কোন ধরণের লোকজ পরিবেশনার সাথে থাকত?")</f>
        <v>ঐতিহাসিকভাবে, হা-ডু-ডু ম্যাচগুলি প্রায়শই কোন ধরণের লোকজ পরিবেশনার সাথে থাকত?</v>
      </c>
      <c r="L198" s="10" t="str">
        <f>IFERROR(__xludf.DUMMYFUNCTION("GOOGLETRANSLATE(C198, ""en"", ""bn"")"),"A) জারি গান, B) বাউল গান, C) লালন গীতি, D) পালা গান")</f>
        <v>A) জারি গান, B) বাউল গান, C) লালন গীতি, D) পালা গান</v>
      </c>
      <c r="M198" s="10" t="str">
        <f>IFERROR(__xludf.DUMMYFUNCTION("GOOGLETRANSLATE(D198, ""en"", ""bn"")"),"ক) জারি গান")</f>
        <v>ক) জারি গান</v>
      </c>
      <c r="N198" s="10" t="str">
        <f>IFERROR(__xludf.DUMMYFUNCTION("GOOGLETRANSLATE(E198, ""en"", ""bn"")"),"হা-ডু-ডু খেলার সময় জারি গান (এক ধরণের লোকগীতি) প্রায়শই গাওয়া হত, যা বীরত্বের গল্প বর্ণনা করত এবং খেলোয়াড়দের অনুপ্রাণিত করত।")</f>
        <v>হা-ডু-ডু খেলার সময় জারি গান (এক ধরণের লোকগীতি) প্রায়শই গাওয়া হত, যা বীরত্বের গল্প বর্ণনা করত এবং খেলোয়াড়দের অনুপ্রাণিত করত।</v>
      </c>
    </row>
    <row r="199">
      <c r="A199" s="13">
        <v>198.0</v>
      </c>
      <c r="B199" s="13" t="s">
        <v>1862</v>
      </c>
      <c r="C199" s="13" t="s">
        <v>1863</v>
      </c>
      <c r="D199" s="13" t="s">
        <v>1864</v>
      </c>
      <c r="E199" s="13" t="s">
        <v>1865</v>
      </c>
      <c r="J199" s="10" t="str">
        <f>IFERROR(__xludf.DUMMYFUNCTION("GOOGLETRANSLATE(A199, ""en"", ""bn"")"),"১৯৮")</f>
        <v>১৯৮</v>
      </c>
      <c r="K199" s="10" t="str">
        <f>IFERROR(__xludf.DUMMYFUNCTION("GOOGLETRANSLATE(B199, ""en"", ""bn"")"),"গ্রামীণ বাংলায় ঐতিহাসিকভাবে হা-ডু-ডু বাজানো কোন ধরণের সামাজিক ঐক্যকে উৎসাহিত করেছে?")</f>
        <v>গ্রামীণ বাংলায় ঐতিহাসিকভাবে হা-ডু-ডু বাজানো কোন ধরণের সামাজিক ঐক্যকে উৎসাহিত করেছে?</v>
      </c>
      <c r="L199" s="10" t="str">
        <f>IFERROR(__xludf.DUMMYFUNCTION("GOOGLETRANSLATE(C199, ""en"", ""bn"")"),"ক) ধর্মীয় ঐক্য, খ) বর্ণ ঐক্য, গ) আন্তঃগ্রাম ঐক্য, ঘ) শ্রেণী ঐক্য")</f>
        <v>ক) ধর্মীয় ঐক্য, খ) বর্ণ ঐক্য, গ) আন্তঃগ্রাম ঐক্য, ঘ) শ্রেণী ঐক্য</v>
      </c>
      <c r="M199" s="10" t="str">
        <f>IFERROR(__xludf.DUMMYFUNCTION("GOOGLETRANSLATE(D199, ""en"", ""bn"")"),"গ) আন্তঃগ্রাম ঐক্য")</f>
        <v>গ) আন্তঃগ্রাম ঐক্য</v>
      </c>
      <c r="N199" s="10" t="str">
        <f>IFERROR(__xludf.DUMMYFUNCTION("GOOGLETRANSLATE(E199, ""en"", ""bn"")"),"এই খেলাটি প্রতিদ্বন্দ্বী গ্রামগুলির মধ্যে বন্ধুত্বপূর্ণ এবং কাঠামোগতভাবে প্রতিযোগিতা করার একটি উপায় ছিল, যা প্রায়শই উদযাপন এবং সম্পর্কের উন্নতির দিকে পরিচালিত করত।")</f>
        <v>এই খেলাটি প্রতিদ্বন্দ্বী গ্রামগুলির মধ্যে বন্ধুত্বপূর্ণ এবং কাঠামোগতভাবে প্রতিযোগিতা করার একটি উপায় ছিল, যা প্রায়শই উদযাপন এবং সম্পর্কের উন্নতির দিকে পরিচালিত করত।</v>
      </c>
    </row>
    <row r="200">
      <c r="A200" s="13">
        <v>199.0</v>
      </c>
      <c r="B200" s="13" t="s">
        <v>1866</v>
      </c>
      <c r="C200" s="13" t="s">
        <v>1867</v>
      </c>
      <c r="D200" s="13" t="s">
        <v>1868</v>
      </c>
      <c r="E200" s="13" t="s">
        <v>1869</v>
      </c>
      <c r="J200" s="10" t="str">
        <f>IFERROR(__xludf.DUMMYFUNCTION("GOOGLETRANSLATE(A200, ""en"", ""bn"")"),"১৯৯")</f>
        <v>১৯৯</v>
      </c>
      <c r="K200" s="10" t="str">
        <f>IFERROR(__xludf.DUMMYFUNCTION("GOOGLETRANSLATE(B200, ""en"", ""bn"")"),"হা-ডু-ডু দলে 'কোচ' বা 'প্রশিক্ষক'-এর ঐতিহাসিক ভূমিকা কী ছিল?")</f>
        <v>হা-ডু-ডু দলে 'কোচ' বা 'প্রশিক্ষক'-এর ঐতিহাসিক ভূমিকা কী ছিল?</v>
      </c>
      <c r="L200" s="10" t="str">
        <f>IFERROR(__xludf.DUMMYFUNCTION("GOOGLETRANSLATE(C200, ""en"", ""bn"")"),"ক) একজন আনুষ্ঠানিক কোচ, খ) একজন বয়স্ক খেলোয়াড়, গ) দলের অধিনায়ক, ঘ) গ্রামের একজন প্রবীণ ব্যক্তি")</f>
        <v>ক) একজন আনুষ্ঠানিক কোচ, খ) একজন বয়স্ক খেলোয়াড়, গ) দলের অধিনায়ক, ঘ) গ্রামের একজন প্রবীণ ব্যক্তি</v>
      </c>
      <c r="M200" s="10" t="str">
        <f>IFERROR(__xludf.DUMMYFUNCTION("GOOGLETRANSLATE(D200, ""en"", ""bn"")"),"ঘ) গ্রামের একজন প্রবীণ ব্যক্তি")</f>
        <v>ঘ) গ্রামের একজন প্রবীণ ব্যক্তি</v>
      </c>
      <c r="N200" s="10" t="str">
        <f>IFERROR(__xludf.DUMMYFUNCTION("GOOGLETRANSLATE(E200, ""en"", ""bn"")"),"ঐতিহাসিকভাবে, দলটির নেতৃত্বে ছিলেন একজন অভিজ্ঞ খেলোয়াড় অথবা একজন সম্মানিত গ্রামের প্রবীণ যিনি কৌশলগত পরামর্শ এবং পরামর্শ প্রদান করতেন।")</f>
        <v>ঐতিহাসিকভাবে, দলটির নেতৃত্বে ছিলেন একজন অভিজ্ঞ খেলোয়াড় অথবা একজন সম্মানিত গ্রামের প্রবীণ যিনি কৌশলগত পরামর্শ এবং পরামর্শ প্রদান করতেন।</v>
      </c>
    </row>
    <row r="201">
      <c r="A201" s="13">
        <v>200.0</v>
      </c>
      <c r="B201" s="13" t="s">
        <v>1870</v>
      </c>
      <c r="C201" s="13" t="s">
        <v>1871</v>
      </c>
      <c r="D201" s="13" t="s">
        <v>1872</v>
      </c>
      <c r="E201" s="13" t="s">
        <v>1873</v>
      </c>
      <c r="J201" s="10" t="str">
        <f>IFERROR(__xludf.DUMMYFUNCTION("GOOGLETRANSLATE(A201, ""en"", ""bn"")"),"২০০")</f>
        <v>২০০</v>
      </c>
      <c r="K201" s="10" t="str">
        <f>IFERROR(__xludf.DUMMYFUNCTION("GOOGLETRANSLATE(B201, ""en"", ""bn"")"),"হা-ডু-ডুতে দুটি বিপরীত দল গঠনের ঐতিহ্যবাহী পদ্ধতি কী ছিল?")</f>
        <v>হা-ডু-ডুতে দুটি বিপরীত দল গঠনের ঐতিহ্যবাহী পদ্ধতি কী ছিল?</v>
      </c>
      <c r="L201" s="10" t="str">
        <f>IFERROR(__xludf.DUMMYFUNCTION("GOOGLETRANSLATE(C201, ""en"", ""bn"")"),"ক) মুদ্রা টস দ্বারা, খ) ড্র দ্বারা, গ) অধিনায়কদের খেলোয়াড় নির্বাচনের পদ্ধতি দ্বারা, ঘ) গ্রামের সীমানা দ্বারা")</f>
        <v>ক) মুদ্রা টস দ্বারা, খ) ড্র দ্বারা, গ) অধিনায়কদের খেলোয়াড় নির্বাচনের পদ্ধতি দ্বারা, ঘ) গ্রামের সীমানা দ্বারা</v>
      </c>
      <c r="M201" s="10" t="str">
        <f>IFERROR(__xludf.DUMMYFUNCTION("GOOGLETRANSLATE(D201, ""en"", ""bn"")"),"গ) অধিনায়কদের খেলোয়াড় নির্বাচনের একটি পদ্ধতি দ্বারা")</f>
        <v>গ) অধিনায়কদের খেলোয়াড় নির্বাচনের একটি পদ্ধতি দ্বারা</v>
      </c>
      <c r="N201" s="10" t="str">
        <f>IFERROR(__xludf.DUMMYFUNCTION("GOOGLETRANSLATE(E201, ""en"", ""bn"")"),"ঐতিহাসিকভাবে, দুজন অধিনায়ক নির্বাচিত হতেন, যারা পালাক্রমে তাদের নিজ নিজ দলের জন্য খেলোয়াড় নির্বাচন করতেন, এই প্রক্রিয়াটি 'গোলা' নামে পরিচিত।")</f>
        <v>ঐতিহাসিকভাবে, দুজন অধিনায়ক নির্বাচিত হতেন, যারা পালাক্রমে তাদের নিজ নিজ দলের জন্য খেলোয়াড় নির্বাচন করতেন, এই প্রক্রিয়াটি 'গোলা' নামে পরিচিত।</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37.63"/>
    <col customWidth="1" min="4" max="4" width="29.13"/>
    <col customWidth="1" min="5" max="5" width="37.63"/>
    <col customWidth="1" min="11" max="12" width="37.63"/>
    <col customWidth="1" min="13" max="13" width="30.88"/>
    <col customWidth="1" min="14" max="14" width="37.63"/>
  </cols>
  <sheetData>
    <row r="1">
      <c r="A1" s="1" t="s">
        <v>0</v>
      </c>
      <c r="B1" s="1" t="s">
        <v>1</v>
      </c>
      <c r="C1" s="1" t="s">
        <v>2</v>
      </c>
      <c r="D1" s="1" t="s">
        <v>3</v>
      </c>
      <c r="E1" s="1" t="s">
        <v>4</v>
      </c>
      <c r="J1" s="9" t="s">
        <v>5</v>
      </c>
      <c r="K1" s="9" t="s">
        <v>6</v>
      </c>
      <c r="L1" s="9" t="s">
        <v>7</v>
      </c>
      <c r="M1" s="9" t="s">
        <v>8</v>
      </c>
      <c r="N1" s="9" t="s">
        <v>9</v>
      </c>
    </row>
    <row r="2">
      <c r="A2" s="4">
        <v>1.0</v>
      </c>
      <c r="B2" s="4" t="s">
        <v>2028</v>
      </c>
      <c r="C2" s="4" t="s">
        <v>2029</v>
      </c>
      <c r="D2" s="4" t="s">
        <v>1552</v>
      </c>
      <c r="E2" s="4" t="s">
        <v>2030</v>
      </c>
      <c r="J2" s="10" t="str">
        <f>IFERROR(__xludf.DUMMYFUNCTION("GOOGLETRANSLATE(A2, ""en"", ""bn"")"),"১")</f>
        <v>১</v>
      </c>
      <c r="K2" s="10" t="str">
        <f>IFERROR(__xludf.DUMMYFUNCTION("GOOGLETRANSLATE(B2, ""en"", ""bn"")"),"লাঠি খেলা কোন অঞ্চলে একটি ঐতিহ্যবাহী মার্শাল আর্ট হিসেবে উদ্ভূত হয়েছিল?")</f>
        <v>লাঠি খেলা কোন অঞ্চলে একটি ঐতিহ্যবাহী মার্শাল আর্ট হিসেবে উদ্ভূত হয়েছিল?</v>
      </c>
      <c r="L2" s="10" t="str">
        <f>IFERROR(__xludf.DUMMYFUNCTION("GOOGLETRANSLATE(C2, ""en"", ""bn"")"),"ক) পাঞ্জাব, খ) বাংলা, গ) মহারাষ্ট্র, ঘ) কেরালা")</f>
        <v>ক) পাঞ্জাব, খ) বাংলা, গ) মহারাষ্ট্র, ঘ) কেরালা</v>
      </c>
      <c r="M2" s="10" t="str">
        <f>IFERROR(__xludf.DUMMYFUNCTION("GOOGLETRANSLATE(D2, ""en"", ""bn"")"),"খ) বাংলা")</f>
        <v>খ) বাংলা</v>
      </c>
      <c r="N2" s="10" t="str">
        <f>IFERROR(__xludf.DUMMYFUNCTION("GOOGLETRANSLATE(E2, ""en"", ""bn"")"),"লাঠিখেলার শেকড় বাংলায়, বিশেষ করে বাংলাদেশ এবং ভারতের পশ্চিমবঙ্গে গভীরভাবে ছড়িয়ে আছে।")</f>
        <v>লাঠিখেলার শেকড় বাংলায়, বিশেষ করে বাংলাদেশ এবং ভারতের পশ্চিমবঙ্গে গভীরভাবে ছড়িয়ে আছে।</v>
      </c>
    </row>
    <row r="3">
      <c r="A3" s="4">
        <v>2.0</v>
      </c>
      <c r="B3" s="4" t="s">
        <v>2031</v>
      </c>
      <c r="C3" s="4" t="s">
        <v>2032</v>
      </c>
      <c r="D3" s="4" t="s">
        <v>2033</v>
      </c>
      <c r="E3" s="4" t="s">
        <v>2034</v>
      </c>
      <c r="J3" s="10" t="str">
        <f>IFERROR(__xludf.DUMMYFUNCTION("GOOGLETRANSLATE(A3, ""en"", ""bn"")"),"২")</f>
        <v>২</v>
      </c>
      <c r="K3" s="10" t="str">
        <f>IFERROR(__xludf.DUMMYFUNCTION("GOOGLETRANSLATE(B3, ""en"", ""bn"")"),"প্রাথমিক যুগে লাঠি খেলার মূল উদ্দেশ্য কী ছিল?")</f>
        <v>প্রাথমিক যুগে লাঠি খেলার মূল উদ্দেশ্য কী ছিল?</v>
      </c>
      <c r="L3" s="10" t="str">
        <f>IFERROR(__xludf.DUMMYFUNCTION("GOOGLETRANSLATE(C3, ""en"", ""bn"")"),"ক) বিনোদন, খ) সামরিক প্রশিক্ষণ, গ) আনুষ্ঠানিক নৃত্য, ঘ) আধ্যাত্মিক অনুশীলন")</f>
        <v>ক) বিনোদন, খ) সামরিক প্রশিক্ষণ, গ) আনুষ্ঠানিক নৃত্য, ঘ) আধ্যাত্মিক অনুশীলন</v>
      </c>
      <c r="M3" s="10" t="str">
        <f>IFERROR(__xludf.DUMMYFUNCTION("GOOGLETRANSLATE(D3, ""en"", ""bn"")"),"খ) সামরিক প্রশিক্ষণ")</f>
        <v>খ) সামরিক প্রশিক্ষণ</v>
      </c>
      <c r="N3" s="10" t="str">
        <f>IFERROR(__xludf.DUMMYFUNCTION("GOOGLETRANSLATE(E3, ""en"", ""bn"")"),"লাঠি খেলা প্রাথমিকভাবে গ্রাম প্রতিরক্ষার জন্য সামরিক প্রশিক্ষণের একটি রূপ হিসেবে বিকশিত হয়েছিল।")</f>
        <v>লাঠি খেলা প্রাথমিকভাবে গ্রাম প্রতিরক্ষার জন্য সামরিক প্রশিক্ষণের একটি রূপ হিসেবে বিকশিত হয়েছিল।</v>
      </c>
    </row>
    <row r="4">
      <c r="A4" s="4">
        <v>3.0</v>
      </c>
      <c r="B4" s="4" t="s">
        <v>2035</v>
      </c>
      <c r="C4" s="4" t="s">
        <v>2036</v>
      </c>
      <c r="D4" s="4" t="s">
        <v>2037</v>
      </c>
      <c r="E4" s="4" t="s">
        <v>2038</v>
      </c>
      <c r="J4" s="10" t="str">
        <f>IFERROR(__xludf.DUMMYFUNCTION("GOOGLETRANSLATE(A4, ""en"", ""bn"")"),"৩")</f>
        <v>৩</v>
      </c>
      <c r="K4" s="10" t="str">
        <f>IFERROR(__xludf.DUMMYFUNCTION("GOOGLETRANSLATE(B4, ""en"", ""bn"")"),"বাংলাদেশের কোন দলটি ঐতিহ্যগতভাবে লাঠি খেলা অনুশীলনের জন্য পরিচিত?")</f>
        <v>বাংলাদেশের কোন দলটি ঐতিহ্যগতভাবে লাঠি খেলা অনুশীলনের জন্য পরিচিত?</v>
      </c>
      <c r="L4" s="10" t="str">
        <f>IFERROR(__xludf.DUMMYFUNCTION("GOOGLETRANSLATE(C4, ""en"", ""bn"")"),"ক) কৃষক, খ) জেলে, গ) গ্রামরক্ষী, ঘ) ব্যবসায়ী")</f>
        <v>ক) কৃষক, খ) জেলে, গ) গ্রামরক্ষী, ঘ) ব্যবসায়ী</v>
      </c>
      <c r="M4" s="10" t="str">
        <f>IFERROR(__xludf.DUMMYFUNCTION("GOOGLETRANSLATE(D4, ""en"", ""bn"")"),"গ) গ্রাম রক্ষী")</f>
        <v>গ) গ্রাম রক্ষী</v>
      </c>
      <c r="N4" s="10" t="str">
        <f>IFERROR(__xludf.DUMMYFUNCTION("GOOGLETRANSLATE(E4, ""en"", ""bn"")"),"গ্রামীণ এলাকাগুলিকে দস্যু এবং অন্যান্য হুমকি থেকে রক্ষা করার জন্য গ্রামরক্ষীরা লাঠি খেলা ব্যবহার করত।")</f>
        <v>গ্রামীণ এলাকাগুলিকে দস্যু এবং অন্যান্য হুমকি থেকে রক্ষা করার জন্য গ্রামরক্ষীরা লাঠি খেলা ব্যবহার করত।</v>
      </c>
    </row>
    <row r="5">
      <c r="A5" s="4">
        <v>4.0</v>
      </c>
      <c r="B5" s="4" t="s">
        <v>2039</v>
      </c>
      <c r="C5" s="4" t="s">
        <v>2040</v>
      </c>
      <c r="D5" s="4" t="s">
        <v>2041</v>
      </c>
      <c r="E5" s="4" t="s">
        <v>2042</v>
      </c>
      <c r="J5" s="10" t="str">
        <f>IFERROR(__xludf.DUMMYFUNCTION("GOOGLETRANSLATE(A5, ""en"", ""bn"")"),"৪")</f>
        <v>৪</v>
      </c>
      <c r="K5" s="10" t="str">
        <f>IFERROR(__xludf.DUMMYFUNCTION("GOOGLETRANSLATE(B5, ""en"", ""bn"")"),"ভারতে ব্রিটিশ শাসনামলে, লাঠি খেলা প্রায়শই কোন উদ্দেশ্যে ব্যবহৃত হত?")</f>
        <v>ভারতে ব্রিটিশ শাসনামলে, লাঠি খেলা প্রায়শই কোন উদ্দেশ্যে ব্যবহৃত হত?</v>
      </c>
      <c r="L5" s="10" t="str">
        <f>IFERROR(__xludf.DUMMYFUNCTION("GOOGLETRANSLATE(C5, ""en"", ""bn"")"),"ক) ঔপনিবেশিক শক্তির বিরুদ্ধে প্রতিরক্ষা, খ) ধর্মীয় অনুষ্ঠান, গ) উদযাপন, ঘ) শিক্ষা")</f>
        <v>ক) ঔপনিবেশিক শক্তির বিরুদ্ধে প্রতিরক্ষা, খ) ধর্মীয় অনুষ্ঠান, গ) উদযাপন, ঘ) শিক্ষা</v>
      </c>
      <c r="M5" s="10" t="str">
        <f>IFERROR(__xludf.DUMMYFUNCTION("GOOGLETRANSLATE(D5, ""en"", ""bn"")"),"ক) ঔপনিবেশিক শক্তির বিরুদ্ধে প্রতিরক্ষা")</f>
        <v>ক) ঔপনিবেশিক শক্তির বিরুদ্ধে প্রতিরক্ষা</v>
      </c>
      <c r="N5" s="10" t="str">
        <f>IFERROR(__xludf.DUMMYFUNCTION("GOOGLETRANSLATE(E5, ""en"", ""bn"")"),"লাঠি যোদ্ধারা মাঝে মাঝে ব্রিটিশ বাহিনীকে প্রতিহত করত, গ্রাম বিদ্রোহে তাদের দক্ষতা ব্যবহার করত।")</f>
        <v>লাঠি যোদ্ধারা মাঝে মাঝে ব্রিটিশ বাহিনীকে প্রতিহত করত, গ্রাম বিদ্রোহে তাদের দক্ষতা ব্যবহার করত।</v>
      </c>
    </row>
    <row r="6">
      <c r="A6" s="4">
        <v>5.0</v>
      </c>
      <c r="B6" s="4" t="s">
        <v>2043</v>
      </c>
      <c r="C6" s="4" t="s">
        <v>2044</v>
      </c>
      <c r="D6" s="4" t="s">
        <v>2045</v>
      </c>
      <c r="E6" s="4" t="s">
        <v>2046</v>
      </c>
      <c r="J6" s="10" t="str">
        <f>IFERROR(__xludf.DUMMYFUNCTION("GOOGLETRANSLATE(A6, ""en"", ""bn"")"),"৫")</f>
        <v>৫</v>
      </c>
      <c r="K6" s="10" t="str">
        <f>IFERROR(__xludf.DUMMYFUNCTION("GOOGLETRANSLATE(B6, ""en"", ""bn"")"),"লাঠি খেলা প্রসঙ্গে 'লাঠি' শব্দের অর্থ কী?")</f>
        <v>লাঠি খেলা প্রসঙ্গে 'লাঠি' শব্দের অর্থ কী?</v>
      </c>
      <c r="L6" s="10" t="str">
        <f>IFERROR(__xludf.DUMMYFUNCTION("GOOGLETRANSLATE(C6, ""en"", ""bn"")"),"ক) লাঠি, খ) তরবারি, গ) ঢাল, ঘ) বর্শা")</f>
        <v>ক) লাঠি, খ) তরবারি, গ) ঢাল, ঘ) বর্শা</v>
      </c>
      <c r="M6" s="10" t="str">
        <f>IFERROR(__xludf.DUMMYFUNCTION("GOOGLETRANSLATE(D6, ""en"", ""bn"")"),"ক) লাঠি")</f>
        <v>ক) লাঠি</v>
      </c>
      <c r="N6" s="10" t="str">
        <f>IFERROR(__xludf.DUMMYFUNCTION("GOOGLETRANSLATE(E6, ""en"", ""bn"")"),"বাংলায় 'লাঠি' শব্দের অর্থ 'লাঠি', যা এই মার্শাল আর্টে ব্যবহৃত প্রধান অস্ত্র।")</f>
        <v>বাংলায় 'লাঠি' শব্দের অর্থ 'লাঠি', যা এই মার্শাল আর্টে ব্যবহৃত প্রধান অস্ত্র।</v>
      </c>
    </row>
    <row r="7">
      <c r="A7" s="4">
        <v>6.0</v>
      </c>
      <c r="B7" s="4" t="s">
        <v>2047</v>
      </c>
      <c r="C7" s="4" t="s">
        <v>2048</v>
      </c>
      <c r="D7" s="4" t="s">
        <v>2049</v>
      </c>
      <c r="E7" s="4" t="s">
        <v>2050</v>
      </c>
      <c r="J7" s="10" t="str">
        <f>IFERROR(__xludf.DUMMYFUNCTION("GOOGLETRANSLATE(A7, ""en"", ""bn"")"),"৬")</f>
        <v>৬</v>
      </c>
      <c r="K7" s="10" t="str">
        <f>IFERROR(__xludf.DUMMYFUNCTION("GOOGLETRANSLATE(B7, ""en"", ""bn"")"),"ইতিহাসের কোন সময়কালে বাংলায় লাঠিখেলার জনপ্রিয়তা শীর্ষে ছিল?")</f>
        <v>ইতিহাসের কোন সময়কালে বাংলায় লাঠিখেলার জনপ্রিয়তা শীর্ষে ছিল?</v>
      </c>
      <c r="L7" s="10" t="str">
        <f>IFERROR(__xludf.DUMMYFUNCTION("GOOGLETRANSLATE(C7, ""en"", ""bn"")"),"ক) প্রাচীন যুগ, খ) মধ্যযুগ, গ) ১৮শ-১৯শ শতাব্দী, ঘ) ২০শ শতাব্দী")</f>
        <v>ক) প্রাচীন যুগ, খ) মধ্যযুগ, গ) ১৮শ-১৯শ শতাব্দী, ঘ) ২০শ শতাব্দী</v>
      </c>
      <c r="M7" s="10" t="str">
        <f>IFERROR(__xludf.DUMMYFUNCTION("GOOGLETRANSLATE(D7, ""en"", ""bn"")"),"গ) ১৮শ-১৯শ শতাব্দী")</f>
        <v>গ) ১৮শ-১৯শ শতাব্দী</v>
      </c>
      <c r="N7" s="10" t="str">
        <f>IFERROR(__xludf.DUMMYFUNCTION("GOOGLETRANSLATE(E7, ""en"", ""bn"")"),"লাঠি খেলা বিশেষ করে ১৮শ এবং ১৯শ শতাব্দীতে জনপ্রিয় ছিল।")</f>
        <v>লাঠি খেলা বিশেষ করে ১৮শ এবং ১৯শ শতাব্দীতে জনপ্রিয় ছিল।</v>
      </c>
    </row>
    <row r="8">
      <c r="A8" s="4">
        <v>7.0</v>
      </c>
      <c r="B8" s="4" t="s">
        <v>2051</v>
      </c>
      <c r="C8" s="4" t="s">
        <v>2052</v>
      </c>
      <c r="D8" s="4" t="s">
        <v>2053</v>
      </c>
      <c r="E8" s="4" t="s">
        <v>2054</v>
      </c>
      <c r="J8" s="10" t="str">
        <f>IFERROR(__xludf.DUMMYFUNCTION("GOOGLETRANSLATE(A8, ""en"", ""bn"")"),"৭")</f>
        <v>৭</v>
      </c>
      <c r="K8" s="10" t="str">
        <f>IFERROR(__xludf.DUMMYFUNCTION("GOOGLETRANSLATE(B8, ""en"", ""bn"")"),"লাঠি খেলা বাংলাদেশের কোন বৃহত্তর সাংস্কৃতিক অনুশীলনের অংশ?")</f>
        <v>লাঠি খেলা বাংলাদেশের কোন বৃহত্তর সাংস্কৃতিক অনুশীলনের অংশ?</v>
      </c>
      <c r="L8" s="10" t="str">
        <f>IFERROR(__xludf.DUMMYFUNCTION("GOOGLETRANSLATE(C8, ""en"", ""bn"")"),"A) বাউল, B) পুথি, C) মার্শাল আর্ট, D) বাঙালি লোকজ")</f>
        <v>A) বাউল, B) পুথি, C) মার্শাল আর্ট, D) বাঙালি লোকজ</v>
      </c>
      <c r="M8" s="10" t="str">
        <f>IFERROR(__xludf.DUMMYFUNCTION("GOOGLETRANSLATE(D8, ""en"", ""bn"")"),"ঘ) বাঙালি লোকগান")</f>
        <v>ঘ) বাঙালি লোকগান</v>
      </c>
      <c r="N8" s="10" t="str">
        <f>IFERROR(__xludf.DUMMYFUNCTION("GOOGLETRANSLATE(E8, ""en"", ""bn"")"),"লাঠি খেলা বাংলাদেশের সমৃদ্ধ লোকসংস্কৃতির অংশ হিসেবে বিবেচিত হয়।")</f>
        <v>লাঠি খেলা বাংলাদেশের সমৃদ্ধ লোকসংস্কৃতির অংশ হিসেবে বিবেচিত হয়।</v>
      </c>
    </row>
    <row r="9">
      <c r="A9" s="4">
        <v>8.0</v>
      </c>
      <c r="B9" s="4" t="s">
        <v>2055</v>
      </c>
      <c r="C9" s="4" t="s">
        <v>2056</v>
      </c>
      <c r="D9" s="4" t="s">
        <v>2057</v>
      </c>
      <c r="E9" s="4" t="s">
        <v>2058</v>
      </c>
      <c r="J9" s="10" t="str">
        <f>IFERROR(__xludf.DUMMYFUNCTION("GOOGLETRANSLATE(A9, ""en"", ""bn"")"),"৮")</f>
        <v>৮</v>
      </c>
      <c r="K9" s="10" t="str">
        <f>IFERROR(__xludf.DUMMYFUNCTION("GOOGLETRANSLATE(B9, ""en"", ""bn"")"),"লাঠি খেলায়, লাঠি সাধারণত কোন উপাদান দিয়ে তৈরি হয়?")</f>
        <v>লাঠি খেলায়, লাঠি সাধারণত কোন উপাদান দিয়ে তৈরি হয়?</v>
      </c>
      <c r="L9" s="10" t="str">
        <f>IFERROR(__xludf.DUMMYFUNCTION("GOOGLETRANSLATE(C9, ""en"", ""bn"")"),"ক) ইস্পাত, খ) বাঁশ, গ) লোহা, ঘ) ওক")</f>
        <v>ক) ইস্পাত, খ) বাঁশ, গ) লোহা, ঘ) ওক</v>
      </c>
      <c r="M9" s="10" t="str">
        <f>IFERROR(__xludf.DUMMYFUNCTION("GOOGLETRANSLATE(D9, ""en"", ""bn"")"),"খ) বাঁশ")</f>
        <v>খ) বাঁশ</v>
      </c>
      <c r="N9" s="10" t="str">
        <f>IFERROR(__xludf.DUMMYFUNCTION("GOOGLETRANSLATE(E9, ""en"", ""bn"")"),"স্থায়িত্ব এবং নমনীয়তার জন্য লাঠি কাঠি সাধারণত বাঁশ দিয়ে তৈরি হয়।")</f>
        <v>স্থায়িত্ব এবং নমনীয়তার জন্য লাঠি কাঠি সাধারণত বাঁশ দিয়ে তৈরি হয়।</v>
      </c>
    </row>
    <row r="10">
      <c r="A10" s="4">
        <v>9.0</v>
      </c>
      <c r="B10" s="4" t="s">
        <v>2059</v>
      </c>
      <c r="C10" s="4" t="s">
        <v>2060</v>
      </c>
      <c r="D10" s="4" t="s">
        <v>2061</v>
      </c>
      <c r="E10" s="4" t="s">
        <v>2062</v>
      </c>
      <c r="J10" s="10" t="str">
        <f>IFERROR(__xludf.DUMMYFUNCTION("GOOGLETRANSLATE(A10, ""en"", ""bn"")"),"৯")</f>
        <v>৯</v>
      </c>
      <c r="K10" s="10" t="str">
        <f>IFERROR(__xludf.DUMMYFUNCTION("GOOGLETRANSLATE(B10, ""en"", ""bn"")"),"গ্রামে ঐতিহ্যগতভাবে কে লাঠি খেলা শেখাতেন?")</f>
        <v>গ্রামে ঐতিহ্যগতভাবে কে লাঠি খেলা শেখাতেন?</v>
      </c>
      <c r="L10" s="10" t="str">
        <f>IFERROR(__xludf.DUMMYFUNCTION("GOOGLETRANSLATE(C10, ""en"", ""bn"")"),"ক) গুরু, খ) গ্রামের প্রবীণ, গ) আধ্যাত্মিক নেতা, ঘ) যোদ্ধা")</f>
        <v>ক) গুরু, খ) গ্রামের প্রবীণ, গ) আধ্যাত্মিক নেতা, ঘ) যোদ্ধা</v>
      </c>
      <c r="M10" s="10" t="str">
        <f>IFERROR(__xludf.DUMMYFUNCTION("GOOGLETRANSLATE(D10, ""en"", ""bn"")"),"ক) গুরুগণ")</f>
        <v>ক) গুরুগণ</v>
      </c>
      <c r="N10" s="10" t="str">
        <f>IFERROR(__xludf.DUMMYFUNCTION("GOOGLETRANSLATE(E10, ""en"", ""bn"")"),"লাঠি খেলা কৌশলগুলি ছড়িয়ে দেওয়ার জন্য গুরু বা শিক্ষকরা দায়ী ছিলেন।")</f>
        <v>লাঠি খেলা কৌশলগুলি ছড়িয়ে দেওয়ার জন্য গুরু বা শিক্ষকরা দায়ী ছিলেন।</v>
      </c>
    </row>
    <row r="11">
      <c r="A11" s="4">
        <v>10.0</v>
      </c>
      <c r="B11" s="4" t="s">
        <v>2063</v>
      </c>
      <c r="C11" s="4" t="s">
        <v>2064</v>
      </c>
      <c r="D11" s="4" t="s">
        <v>2065</v>
      </c>
      <c r="E11" s="4" t="s">
        <v>2066</v>
      </c>
      <c r="J11" s="10" t="str">
        <f>IFERROR(__xludf.DUMMYFUNCTION("GOOGLETRANSLATE(A11, ""en"", ""bn"")"),"১০")</f>
        <v>১০</v>
      </c>
      <c r="K11" s="10" t="str">
        <f>IFERROR(__xludf.DUMMYFUNCTION("GOOGLETRANSLATE(B11, ""en"", ""bn"")"),"এই ঐতিহাসিক ব্যক্তিত্বদের মধ্যে কোন ব্যক্তিত্ব লাঠি খেলা প্রচার করেছিলেন বলে মনে করা হয়?")</f>
        <v>এই ঐতিহাসিক ব্যক্তিত্বদের মধ্যে কোন ব্যক্তিত্ব লাঠি খেলা প্রচার করেছিলেন বলে মনে করা হয়?</v>
      </c>
      <c r="L11" s="10" t="str">
        <f>IFERROR(__xludf.DUMMYFUNCTION("GOOGLETRANSLATE(C11, ""en"", ""bn"")"),"A) সুভাষ চন্দ্র বসু, B) টিপু সুলতান, C) রাজা রাম মোহন রায়, D) ঈশ্বরচন্দ্র বিদ্যাসাগর")</f>
        <v>A) সুভাষ চন্দ্র বসু, B) টিপু সুলতান, C) রাজা রাম মোহন রায়, D) ঈশ্বরচন্দ্র বিদ্যাসাগর</v>
      </c>
      <c r="M11" s="10" t="str">
        <f>IFERROR(__xludf.DUMMYFUNCTION("GOOGLETRANSLATE(D11, ""en"", ""bn"")"),"ক) সুভাষ চন্দ্র বসু")</f>
        <v>ক) সুভাষ চন্দ্র বসু</v>
      </c>
      <c r="N11" s="10" t="str">
        <f>IFERROR(__xludf.DUMMYFUNCTION("GOOGLETRANSLATE(E11, ""en"", ""bn"")"),"সুভাষ চন্দ্র বসু তরুণদের মধ্যে লাঠি খেলা সহ শারীরিক প্রশিক্ষণকে উৎসাহিত করেছিলেন।")</f>
        <v>সুভাষ চন্দ্র বসু তরুণদের মধ্যে লাঠি খেলা সহ শারীরিক প্রশিক্ষণকে উৎসাহিত করেছিলেন।</v>
      </c>
    </row>
    <row r="12">
      <c r="A12" s="4">
        <v>11.0</v>
      </c>
      <c r="B12" s="4" t="s">
        <v>2067</v>
      </c>
      <c r="C12" s="4" t="s">
        <v>2068</v>
      </c>
      <c r="D12" s="4" t="s">
        <v>2069</v>
      </c>
      <c r="E12" s="4" t="s">
        <v>2070</v>
      </c>
      <c r="J12" s="10" t="str">
        <f>IFERROR(__xludf.DUMMYFUNCTION("GOOGLETRANSLATE(A12, ""en"", ""bn"")"),"১১")</f>
        <v>১১</v>
      </c>
      <c r="K12" s="10" t="str">
        <f>IFERROR(__xludf.DUMMYFUNCTION("GOOGLETRANSLATE(B12, ""en"", ""bn"")"),"লাঠি খেলা কোন দলের বিরুদ্ধে প্রতিরোধের একটি রূপ হিসেবেও ব্যবহৃত হত?")</f>
        <v>লাঠি খেলা কোন দলের বিরুদ্ধে প্রতিরোধের একটি রূপ হিসেবেও ব্যবহৃত হত?</v>
      </c>
      <c r="L12" s="10" t="str">
        <f>IFERROR(__xludf.DUMMYFUNCTION("GOOGLETRANSLATE(C12, ""en"", ""bn"")"),"ক) মুঘল, খ) ব্রিটিশ, গ) ডাচ, ঘ) পর্তুগিজ")</f>
        <v>ক) মুঘল, খ) ব্রিটিশ, গ) ডাচ, ঘ) পর্তুগিজ</v>
      </c>
      <c r="M12" s="10" t="str">
        <f>IFERROR(__xludf.DUMMYFUNCTION("GOOGLETRANSLATE(D12, ""en"", ""bn"")"),"খ) ব্রিটিশ")</f>
        <v>খ) ব্রিটিশ</v>
      </c>
      <c r="N12" s="10" t="str">
        <f>IFERROR(__xludf.DUMMYFUNCTION("GOOGLETRANSLATE(E12, ""en"", ""bn"")"),"ব্রিটিশ ঔপনিবেশিক বাহিনীর বিরুদ্ধে প্রতিরোধের হাতিয়ার হিসেবে গ্রামবাসীরা লাঠি খেলা ব্যবহার করত।")</f>
        <v>ব্রিটিশ ঔপনিবেশিক বাহিনীর বিরুদ্ধে প্রতিরোধের হাতিয়ার হিসেবে গ্রামবাসীরা লাঠি খেলা ব্যবহার করত।</v>
      </c>
    </row>
    <row r="13">
      <c r="A13" s="4">
        <v>12.0</v>
      </c>
      <c r="B13" s="4" t="s">
        <v>2071</v>
      </c>
      <c r="C13" s="4" t="s">
        <v>2072</v>
      </c>
      <c r="D13" s="4" t="s">
        <v>202</v>
      </c>
      <c r="E13" s="4" t="s">
        <v>2073</v>
      </c>
      <c r="J13" s="10" t="str">
        <f>IFERROR(__xludf.DUMMYFUNCTION("GOOGLETRANSLATE(A13, ""en"", ""bn"")"),"১২")</f>
        <v>১২</v>
      </c>
      <c r="K13" s="10" t="str">
        <f>IFERROR(__xludf.DUMMYFUNCTION("GOOGLETRANSLATE(B13, ""en"", ""bn"")"),"বাংলাদেশে কোন ধরণের অনুষ্ঠানের সময় প্রায়শই লাঠি খেলা বিক্ষোভ অনুষ্ঠিত হয়?")</f>
        <v>বাংলাদেশে কোন ধরণের অনুষ্ঠানের সময় প্রায়শই লাঠি খেলা বিক্ষোভ অনুষ্ঠিত হয়?</v>
      </c>
      <c r="L13" s="10" t="str">
        <f>IFERROR(__xludf.DUMMYFUNCTION("GOOGLETRANSLATE(C13, ""en"", ""bn"")"),"ক) বিবাহ, খ) ফসল কাটার উৎসব, গ) জাতীয় ছুটির দিন, ঘ) ধর্মীয় অনুষ্ঠান")</f>
        <v>ক) বিবাহ, খ) ফসল কাটার উৎসব, গ) জাতীয় ছুটির দিন, ঘ) ধর্মীয় অনুষ্ঠান</v>
      </c>
      <c r="M13" s="10" t="str">
        <f>IFERROR(__xludf.DUMMYFUNCTION("GOOGLETRANSLATE(D13, ""en"", ""bn"")"),"খ) ফসল কাটার উৎসব")</f>
        <v>খ) ফসল কাটার উৎসব</v>
      </c>
      <c r="N13" s="10" t="str">
        <f>IFERROR(__xludf.DUMMYFUNCTION("GOOGLETRANSLATE(E13, ""en"", ""bn"")"),"গ্রামীণ উৎসবে, বিশেষ করে ফসল কাটার সময়, লাঠি খেলা প্রায়শই প্রদর্শিত হয়।")</f>
        <v>গ্রামীণ উৎসবে, বিশেষ করে ফসল কাটার সময়, লাঠি খেলা প্রায়শই প্রদর্শিত হয়।</v>
      </c>
    </row>
    <row r="14">
      <c r="A14" s="4">
        <v>13.0</v>
      </c>
      <c r="B14" s="4" t="s">
        <v>2074</v>
      </c>
      <c r="C14" s="4" t="s">
        <v>2075</v>
      </c>
      <c r="D14" s="4" t="s">
        <v>2076</v>
      </c>
      <c r="E14" s="4" t="s">
        <v>2077</v>
      </c>
      <c r="J14" s="10" t="str">
        <f>IFERROR(__xludf.DUMMYFUNCTION("GOOGLETRANSLATE(A14, ""en"", ""bn"")"),"১৩")</f>
        <v>১৩</v>
      </c>
      <c r="K14" s="10" t="str">
        <f>IFERROR(__xludf.DUMMYFUNCTION("GOOGLETRANSLATE(B14, ""en"", ""bn"")"),"লাঠিখেলায় ব্যবহৃত বাঁশের কাঠির দৈর্ঘ্য সাধারণ কত?")</f>
        <v>লাঠিখেলায় ব্যবহৃত বাঁশের কাঠির দৈর্ঘ্য সাধারণ কত?</v>
      </c>
      <c r="L14" s="10" t="str">
        <f>IFERROR(__xludf.DUMMYFUNCTION("GOOGLETRANSLATE(C14, ""en"", ""bn"")"),"ক) ২ ফুট, খ) ৪ ফুট, গ) ৬ ফুট, ঘ) ১০ ফুট")</f>
        <v>ক) ২ ফুট, খ) ৪ ফুট, গ) ৬ ফুট, ঘ) ১০ ফুট</v>
      </c>
      <c r="M14" s="10" t="str">
        <f>IFERROR(__xludf.DUMMYFUNCTION("GOOGLETRANSLATE(D14, ""en"", ""bn"")"),"গ) ৬ ফুট")</f>
        <v>গ) ৬ ফুট</v>
      </c>
      <c r="N14" s="10" t="str">
        <f>IFERROR(__xludf.DUMMYFUNCTION("GOOGLETRANSLATE(E14, ""en"", ""bn"")"),"লাঠির কাঠিটি সাধারণত ৬ ফুট লম্বা হয়, যা নাগাল এবং নিয়ন্ত্রণ প্রদান করে।")</f>
        <v>লাঠির কাঠিটি সাধারণত ৬ ফুট লম্বা হয়, যা নাগাল এবং নিয়ন্ত্রণ প্রদান করে।</v>
      </c>
    </row>
    <row r="15">
      <c r="A15" s="4">
        <v>14.0</v>
      </c>
      <c r="B15" s="4" t="s">
        <v>2078</v>
      </c>
      <c r="C15" s="4" t="s">
        <v>2079</v>
      </c>
      <c r="D15" s="4" t="s">
        <v>1856</v>
      </c>
      <c r="E15" s="4" t="s">
        <v>2080</v>
      </c>
      <c r="J15" s="10" t="str">
        <f>IFERROR(__xludf.DUMMYFUNCTION("GOOGLETRANSLATE(A15, ""en"", ""bn"")"),"১৪")</f>
        <v>১৪</v>
      </c>
      <c r="K15" s="10" t="str">
        <f>IFERROR(__xludf.DUMMYFUNCTION("GOOGLETRANSLATE(B15, ""en"", ""bn"")"),"কোন দশকে বাংলাদেশে লাঠি খেলা নতুন করে মনোযোগ আকর্ষণ করে?")</f>
        <v>কোন দশকে বাংলাদেশে লাঠি খেলা নতুন করে মনোযোগ আকর্ষণ করে?</v>
      </c>
      <c r="L15" s="10" t="str">
        <f>IFERROR(__xludf.DUMMYFUNCTION("GOOGLETRANSLATE(C15, ""en"", ""bn"")"),"ক) ১৯৫০ এর দশক, খ) ১৯৭০ এর দশক, গ) ১৯৯০ এর দশক, ঘ) ২০১০ এর দশক")</f>
        <v>ক) ১৯৫০ এর দশক, খ) ১৯৭০ এর দশক, গ) ১৯৯০ এর দশক, ঘ) ২০১০ এর দশক</v>
      </c>
      <c r="M15" s="10" t="str">
        <f>IFERROR(__xludf.DUMMYFUNCTION("GOOGLETRANSLATE(D15, ""en"", ""bn"")"),"গ) ১৯৯০ এর দশক")</f>
        <v>গ) ১৯৯০ এর দশক</v>
      </c>
      <c r="N15" s="10" t="str">
        <f>IFERROR(__xludf.DUMMYFUNCTION("GOOGLETRANSLATE(E15, ""en"", ""bn"")"),"১৯৯০-এর দশকে, মানুষ যখন ঐতিহ্যবাহী খেলাধুলা সংরক্ষণের চেষ্টা করছিল, তখন লাঠি খেলা পুনরুজ্জীবন লাভ করে।")</f>
        <v>১৯৯০-এর দশকে, মানুষ যখন ঐতিহ্যবাহী খেলাধুলা সংরক্ষণের চেষ্টা করছিল, তখন লাঠি খেলা পুনরুজ্জীবন লাভ করে।</v>
      </c>
    </row>
    <row r="16">
      <c r="A16" s="4">
        <v>15.0</v>
      </c>
      <c r="B16" s="4" t="s">
        <v>2081</v>
      </c>
      <c r="C16" s="4" t="s">
        <v>2082</v>
      </c>
      <c r="D16" s="4" t="s">
        <v>2083</v>
      </c>
      <c r="E16" s="4" t="s">
        <v>2084</v>
      </c>
      <c r="J16" s="10" t="str">
        <f>IFERROR(__xludf.DUMMYFUNCTION("GOOGLETRANSLATE(A16, ""en"", ""bn"")"),"১৫")</f>
        <v>১৫</v>
      </c>
      <c r="K16" s="10" t="str">
        <f>IFERROR(__xludf.DUMMYFUNCTION("GOOGLETRANSLATE(B16, ""en"", ""bn"")"),"লাঠি খেলা দক্ষতা ব্যবহার করে ঐতিহাসিকভাবে কোন গ্রামীণ কাঠামো রক্ষা করা হয়েছিল?")</f>
        <v>লাঠি খেলা দক্ষতা ব্যবহার করে ঐতিহাসিকভাবে কোন গ্রামীণ কাঠামো রক্ষা করা হয়েছিল?</v>
      </c>
      <c r="L16" s="10" t="str">
        <f>IFERROR(__xludf.DUMMYFUNCTION("GOOGLETRANSLATE(C16, ""en"", ""bn"")"),"ক) দুর্গ, খ) পুকুর, গ) শস্যভাণ্ডার, ঘ) গ্রামের সীমানা")</f>
        <v>ক) দুর্গ, খ) পুকুর, গ) শস্যভাণ্ডার, ঘ) গ্রামের সীমানা</v>
      </c>
      <c r="M16" s="10" t="str">
        <f>IFERROR(__xludf.DUMMYFUNCTION("GOOGLETRANSLATE(D16, ""en"", ""bn"")"),"ঘ) গ্রামের সীমানা")</f>
        <v>ঘ) গ্রামের সীমানা</v>
      </c>
      <c r="N16" s="10" t="str">
        <f>IFERROR(__xludf.DUMMYFUNCTION("GOOGLETRANSLATE(E16, ""en"", ""bn"")"),"গ্রামবাসীরা বাইরের হুমকি থেকে গ্রামের সীমান্ত রক্ষা করার জন্য লাঠি খেলা ব্যবহার করত।")</f>
        <v>গ্রামবাসীরা বাইরের হুমকি থেকে গ্রামের সীমান্ত রক্ষা করার জন্য লাঠি খেলা ব্যবহার করত।</v>
      </c>
    </row>
    <row r="17">
      <c r="A17" s="4">
        <v>16.0</v>
      </c>
      <c r="B17" s="4" t="s">
        <v>2085</v>
      </c>
      <c r="C17" s="4" t="s">
        <v>2086</v>
      </c>
      <c r="D17" s="4" t="s">
        <v>178</v>
      </c>
      <c r="E17" s="4" t="s">
        <v>2087</v>
      </c>
      <c r="J17" s="10" t="str">
        <f>IFERROR(__xludf.DUMMYFUNCTION("GOOGLETRANSLATE(A17, ""en"", ""bn"")"),"১৬")</f>
        <v>১৬</v>
      </c>
      <c r="K17" s="10" t="str">
        <f>IFERROR(__xludf.DUMMYFUNCTION("GOOGLETRANSLATE(B17, ""en"", ""bn"")"),"লাঠি খেলা প্রশিক্ষণে প্রায়শই কোন মূল দক্ষতার উপর দৃষ্টি নিবদ্ধ করে অনুশীলন অন্তর্ভুক্ত ছিল?")</f>
        <v>লাঠি খেলা প্রশিক্ষণে প্রায়শই কোন মূল দক্ষতার উপর দৃষ্টি নিবদ্ধ করে অনুশীলন অন্তর্ভুক্ত ছিল?</v>
      </c>
      <c r="L17" s="10" t="str">
        <f>IFERROR(__xludf.DUMMYFUNCTION("GOOGLETRANSLATE(C17, ""en"", ""bn"")"),"ক) তত্পরতা, খ) শক্তি, গ) ভারসাম্য, ঘ) উপরের সবগুলো")</f>
        <v>ক) তত্পরতা, খ) শক্তি, গ) ভারসাম্য, ঘ) উপরের সবগুলো</v>
      </c>
      <c r="M17" s="10" t="str">
        <f>IFERROR(__xludf.DUMMYFUNCTION("GOOGLETRANSLATE(D17, ""en"", ""bn"")"),"ঘ) উপরের সবগুলো")</f>
        <v>ঘ) উপরের সবগুলো</v>
      </c>
      <c r="N17" s="10" t="str">
        <f>IFERROR(__xludf.DUMMYFUNCTION("GOOGLETRANSLATE(E17, ""en"", ""bn"")"),"প্রশিক্ষণে কার্যকর যুদ্ধের জন্য তত্পরতা, শক্তি এবং ভারসাম্যের উপর জোর দেওয়া হয়।")</f>
        <v>প্রশিক্ষণে কার্যকর যুদ্ধের জন্য তত্পরতা, শক্তি এবং ভারসাম্যের উপর জোর দেওয়া হয়।</v>
      </c>
    </row>
    <row r="18">
      <c r="A18" s="4">
        <v>17.0</v>
      </c>
      <c r="B18" s="4" t="s">
        <v>2088</v>
      </c>
      <c r="C18" s="4" t="s">
        <v>2089</v>
      </c>
      <c r="D18" s="4" t="s">
        <v>2090</v>
      </c>
      <c r="E18" s="4" t="s">
        <v>2091</v>
      </c>
      <c r="J18" s="10" t="str">
        <f>IFERROR(__xludf.DUMMYFUNCTION("GOOGLETRANSLATE(A18, ""en"", ""bn"")"),"১৭")</f>
        <v>১৭</v>
      </c>
      <c r="K18" s="10" t="str">
        <f>IFERROR(__xludf.DUMMYFUNCTION("GOOGLETRANSLATE(B18, ""en"", ""bn"")"),"ঐতিহাসিকভাবে লাঠিখেলায় অংশগ্রহণের জন্য নিচের কোনটি একটি সাধারণ প্রেরণা ছিল?")</f>
        <v>ঐতিহাসিকভাবে লাঠিখেলায় অংশগ্রহণের জন্য নিচের কোনটি একটি সাধারণ প্রেরণা ছিল?</v>
      </c>
      <c r="L18" s="10" t="str">
        <f>IFERROR(__xludf.DUMMYFUNCTION("GOOGLETRANSLATE(C18, ""en"", ""bn"")"),"ক) ধর্মীয় বিশ্বাস, খ) সুরক্ষা, গ) আর্থিক লাভ, ঘ) খ্যাতি")</f>
        <v>ক) ধর্মীয় বিশ্বাস, খ) সুরক্ষা, গ) আর্থিক লাভ, ঘ) খ্যাতি</v>
      </c>
      <c r="M18" s="10" t="str">
        <f>IFERROR(__xludf.DUMMYFUNCTION("GOOGLETRANSLATE(D18, ""en"", ""bn"")"),"খ) সুরক্ষা")</f>
        <v>খ) সুরক্ষা</v>
      </c>
      <c r="N18" s="10" t="str">
        <f>IFERROR(__xludf.DUMMYFUNCTION("GOOGLETRANSLATE(E18, ""en"", ""bn"")"),"গ্রামবাসীরা মূলত তাদের সম্প্রদায়কে রক্ষা করার জন্য লাঠি খেলা অনুশীলন করত।")</f>
        <v>গ্রামবাসীরা মূলত তাদের সম্প্রদায়কে রক্ষা করার জন্য লাঠি খেলা অনুশীলন করত।</v>
      </c>
    </row>
    <row r="19">
      <c r="A19" s="4">
        <v>18.0</v>
      </c>
      <c r="B19" s="4" t="s">
        <v>2092</v>
      </c>
      <c r="C19" s="4" t="s">
        <v>2093</v>
      </c>
      <c r="D19" s="4" t="s">
        <v>2094</v>
      </c>
      <c r="E19" s="4" t="s">
        <v>2095</v>
      </c>
      <c r="J19" s="10" t="str">
        <f>IFERROR(__xludf.DUMMYFUNCTION("GOOGLETRANSLATE(A19, ""en"", ""bn"")"),"১৮")</f>
        <v>১৮</v>
      </c>
      <c r="K19" s="10" t="str">
        <f>IFERROR(__xludf.DUMMYFUNCTION("GOOGLETRANSLATE(B19, ""en"", ""bn"")"),"লাঠি খেলা কোন ঐতিহ্যবাহী ভারতীয় মার্শাল আর্টের সাথে সাদৃশ্যপূর্ণ?")</f>
        <v>লাঠি খেলা কোন ঐতিহ্যবাহী ভারতীয় মার্শাল আর্টের সাথে সাদৃশ্যপূর্ণ?</v>
      </c>
      <c r="L19" s="10" t="str">
        <f>IFERROR(__xludf.DUMMYFUNCTION("GOOGLETRANSLATE(C19, ""en"", ""bn"")"),"A) Gatka, B) Kalaripayattu, C) Silambam, D) Thang-ta")</f>
        <v>A) Gatka, B) Kalaripayattu, C) Silambam, D) Thang-ta</v>
      </c>
      <c r="M19" s="10" t="str">
        <f>IFERROR(__xludf.DUMMYFUNCTION("GOOGLETRANSLATE(D19, ""en"", ""bn"")"),"গ) সিলাম্বাম")</f>
        <v>গ) সিলাম্বাম</v>
      </c>
      <c r="N19" s="10" t="str">
        <f>IFERROR(__xludf.DUMMYFUNCTION("GOOGLETRANSLATE(E19, ""en"", ""bn"")"),"লাঠি খেলার মতো সিলাম্বামও লাঠি-ভিত্তিক কৌশল ব্যবহার করে এবং এর উৎপত্তি দক্ষিণ ভারত থেকে।")</f>
        <v>লাঠি খেলার মতো সিলাম্বামও লাঠি-ভিত্তিক কৌশল ব্যবহার করে এবং এর উৎপত্তি দক্ষিণ ভারত থেকে।</v>
      </c>
    </row>
    <row r="20">
      <c r="A20" s="4">
        <v>19.0</v>
      </c>
      <c r="B20" s="4" t="s">
        <v>2096</v>
      </c>
      <c r="C20" s="4" t="s">
        <v>2097</v>
      </c>
      <c r="D20" s="4" t="s">
        <v>2098</v>
      </c>
      <c r="E20" s="11" t="s">
        <v>2099</v>
      </c>
      <c r="J20" s="10" t="str">
        <f>IFERROR(__xludf.DUMMYFUNCTION("GOOGLETRANSLATE(A20, ""en"", ""bn"")"),"১৯")</f>
        <v>১৯</v>
      </c>
      <c r="K20" s="10" t="str">
        <f>IFERROR(__xludf.DUMMYFUNCTION("GOOGLETRANSLATE(B20, ""en"", ""bn"")"),"লাঠি খেলার 'খেলা' শব্দটি ইংরেজিতে কিসের অনুবাদ করে?")</f>
        <v>লাঠি খেলার 'খেলা' শব্দটি ইংরেজিতে কিসের অনুবাদ করে?</v>
      </c>
      <c r="L20" s="10" t="str">
        <f>IFERROR(__xludf.DUMMYFUNCTION("GOOGLETRANSLATE(C20, ""en"", ""bn"")"),"ক) লড়াই, খ) খেলা, গ) লাঠি, ঘ) সরানো")</f>
        <v>ক) লড়াই, খ) খেলা, গ) লাঠি, ঘ) সরানো</v>
      </c>
      <c r="M20" s="10" t="str">
        <f>IFERROR(__xludf.DUMMYFUNCTION("GOOGLETRANSLATE(D20, ""en"", ""bn"")"),"খ) খেলা")</f>
        <v>খ) খেলা</v>
      </c>
      <c r="N20" s="10" t="str">
        <f>IFERROR(__xludf.DUMMYFUNCTION("GOOGLETRANSLATE(E20, ""en"", ""bn"")"),"বাংলায় 'খেলা' শব্দের অর্থ 'খেলা', যা অনুশীলনের খেলাধুলার মতো দিকটিকে প্রতিফলিত করে।")</f>
        <v>বাংলায় 'খেলা' শব্দের অর্থ 'খেলা', যা অনুশীলনের খেলাধুলার মতো দিকটিকে প্রতিফলিত করে।</v>
      </c>
    </row>
    <row r="21">
      <c r="A21" s="4">
        <v>20.0</v>
      </c>
      <c r="B21" s="4" t="s">
        <v>2100</v>
      </c>
      <c r="C21" s="4" t="s">
        <v>2101</v>
      </c>
      <c r="D21" s="4" t="s">
        <v>2102</v>
      </c>
      <c r="E21" s="4" t="s">
        <v>2103</v>
      </c>
      <c r="J21" s="10" t="str">
        <f>IFERROR(__xludf.DUMMYFUNCTION("GOOGLETRANSLATE(A21, ""en"", ""bn"")"),"২০")</f>
        <v>২০</v>
      </c>
      <c r="K21" s="10" t="str">
        <f>IFERROR(__xludf.DUMMYFUNCTION("GOOGLETRANSLATE(B21, ""en"", ""bn"")"),"লাঠি খেলা কোন গ্রামীণ সম্প্রদায়ের সদস্যদের জন্য এক ধরণের ব্যায়াম হিসেবেও কাজ করত?")</f>
        <v>লাঠি খেলা কোন গ্রামীণ সম্প্রদায়ের সদস্যদের জন্য এক ধরণের ব্যায়াম হিসেবেও কাজ করত?</v>
      </c>
      <c r="L21" s="10" t="str">
        <f>IFERROR(__xludf.DUMMYFUNCTION("GOOGLETRANSLATE(C21, ""en"", ""bn"")"),"ক) ছাত্র, খ) প্রবীণ, গ) কৃষক, ঘ) ব্যবসায়ী")</f>
        <v>ক) ছাত্র, খ) প্রবীণ, গ) কৃষক, ঘ) ব্যবসায়ী</v>
      </c>
      <c r="M21" s="10" t="str">
        <f>IFERROR(__xludf.DUMMYFUNCTION("GOOGLETRANSLATE(D21, ""en"", ""bn"")"),"গ) কৃষক")</f>
        <v>গ) কৃষক</v>
      </c>
      <c r="N21" s="10" t="str">
        <f>IFERROR(__xludf.DUMMYFUNCTION("GOOGLETRANSLATE(E21, ""en"", ""bn"")"),"কৃষকরা সুস্থতার জন্য লাঠিখেলা ব্যবহার করতেন, কৃষি কাজের জন্য তাদের শক্তি বৃদ্ধি করতেন।")</f>
        <v>কৃষকরা সুস্থতার জন্য লাঠিখেলা ব্যবহার করতেন, কৃষি কাজের জন্য তাদের শক্তি বৃদ্ধি করতেন।</v>
      </c>
    </row>
    <row r="22">
      <c r="A22" s="4">
        <v>21.0</v>
      </c>
      <c r="B22" s="4" t="s">
        <v>2104</v>
      </c>
      <c r="C22" s="4" t="s">
        <v>2105</v>
      </c>
      <c r="D22" s="4" t="s">
        <v>2106</v>
      </c>
      <c r="E22" s="4" t="s">
        <v>2107</v>
      </c>
      <c r="J22" s="10" t="str">
        <f>IFERROR(__xludf.DUMMYFUNCTION("GOOGLETRANSLATE(A22, ""en"", ""bn"")"),"২১")</f>
        <v>২১</v>
      </c>
      <c r="K22" s="10" t="str">
        <f>IFERROR(__xludf.DUMMYFUNCTION("GOOGLETRANSLATE(B22, ""en"", ""bn"")"),"কোন ধরণের বাংলা লোককাহিনীতে মাঝে মাঝে লাঠি খেলা উল্লেখ করা হয়?")</f>
        <v>কোন ধরণের বাংলা লোককাহিনীতে মাঝে মাঝে লাঠি খেলা উল্লেখ করা হয়?</v>
      </c>
      <c r="L22" s="10" t="str">
        <f>IFERROR(__xludf.DUMMYFUNCTION("GOOGLETRANSLATE(C22, ""en"", ""bn"")"),"ক) রূপকথা, খ) গান, গ) লোকনৃত্য, ঘ) মহাকাব্য")</f>
        <v>ক) রূপকথা, খ) গান, গ) লোকনৃত্য, ঘ) মহাকাব্য</v>
      </c>
      <c r="M22" s="10" t="str">
        <f>IFERROR(__xludf.DUMMYFUNCTION("GOOGLETRANSLATE(D22, ""en"", ""bn"")"),"খ) গান")</f>
        <v>খ) গান</v>
      </c>
      <c r="N22" s="10" t="str">
        <f>IFERROR(__xludf.DUMMYFUNCTION("GOOGLETRANSLATE(E22, ""en"", ""bn"")"),"লাঠি খেলা কখনও কখনও বাংলা লোকসঙ্গীতেও পালিত হয়, যা এর সাংস্কৃতিক গুরুত্ব তুলে ধরে।")</f>
        <v>লাঠি খেলা কখনও কখনও বাংলা লোকসঙ্গীতেও পালিত হয়, যা এর সাংস্কৃতিক গুরুত্ব তুলে ধরে।</v>
      </c>
    </row>
    <row r="23">
      <c r="A23" s="4">
        <v>22.0</v>
      </c>
      <c r="B23" s="4" t="s">
        <v>2108</v>
      </c>
      <c r="C23" s="4" t="s">
        <v>2109</v>
      </c>
      <c r="D23" s="4" t="s">
        <v>1696</v>
      </c>
      <c r="E23" s="4" t="s">
        <v>2110</v>
      </c>
      <c r="J23" s="10" t="str">
        <f>IFERROR(__xludf.DUMMYFUNCTION("GOOGLETRANSLATE(A23, ""en"", ""bn"")"),"২২")</f>
        <v>২২</v>
      </c>
      <c r="K23" s="10" t="str">
        <f>IFERROR(__xludf.DUMMYFUNCTION("GOOGLETRANSLATE(B23, ""en"", ""bn"")"),"কোন শতাব্দীতে লাঠি খেলা বাংলাদেশের বাইরে স্বীকৃতি পেতে শুরু করে?")</f>
        <v>কোন শতাব্দীতে লাঠি খেলা বাংলাদেশের বাইরে স্বীকৃতি পেতে শুরু করে?</v>
      </c>
      <c r="L23" s="10" t="str">
        <f>IFERROR(__xludf.DUMMYFUNCTION("GOOGLETRANSLATE(C23, ""en"", ""bn"")"),"ক) ষোড়শ শতাব্দী, খ) উনবিংশ শতাব্দী, গ) বিংশ শতাব্দী, ঘ) একবিংশ শতাব্দী")</f>
        <v>ক) ষোড়শ শতাব্দী, খ) উনবিংশ শতাব্দী, গ) বিংশ শতাব্দী, ঘ) একবিংশ শতাব্দী</v>
      </c>
      <c r="M23" s="10" t="str">
        <f>IFERROR(__xludf.DUMMYFUNCTION("GOOGLETRANSLATE(D23, ""en"", ""bn"")"),"গ) বিংশ শতাব্দী")</f>
        <v>গ) বিংশ শতাব্দী</v>
      </c>
      <c r="N23" s="10" t="str">
        <f>IFERROR(__xludf.DUMMYFUNCTION("GOOGLETRANSLATE(E23, ""en"", ""bn"")"),"বিংশ শতাব্দীতে ঐতিহ্যবাহী খেলাধুলা নিয়ে গবেষণা শুরু হলে লাঠি খেলা আন্তর্জাতিকভাবে মনোযোগ আকর্ষণ করে।")</f>
        <v>বিংশ শতাব্দীতে ঐতিহ্যবাহী খেলাধুলা নিয়ে গবেষণা শুরু হলে লাঠি খেলা আন্তর্জাতিকভাবে মনোযোগ আকর্ষণ করে।</v>
      </c>
    </row>
    <row r="24">
      <c r="A24" s="4">
        <v>23.0</v>
      </c>
      <c r="B24" s="4" t="s">
        <v>2111</v>
      </c>
      <c r="C24" s="4" t="s">
        <v>2112</v>
      </c>
      <c r="D24" s="4" t="s">
        <v>2113</v>
      </c>
      <c r="E24" s="4" t="s">
        <v>2114</v>
      </c>
      <c r="J24" s="10" t="str">
        <f>IFERROR(__xludf.DUMMYFUNCTION("GOOGLETRANSLATE(A24, ""en"", ""bn"")"),"২৩")</f>
        <v>২৩</v>
      </c>
      <c r="K24" s="10" t="str">
        <f>IFERROR(__xludf.DUMMYFUNCTION("GOOGLETRANSLATE(B24, ""en"", ""bn"")"),"লাঠিখেলার জন্য শারীরিক শক্তির পাশাপাশি আর কী দক্ষতা অপরিহার্য?")</f>
        <v>লাঠিখেলার জন্য শারীরিক শক্তির পাশাপাশি আর কী দক্ষতা অপরিহার্য?</v>
      </c>
      <c r="L24" s="10" t="str">
        <f>IFERROR(__xludf.DUMMYFUNCTION("GOOGLETRANSLATE(C24, ""en"", ""bn"")"),"ক) ধৈর্য, ​​খ) নমনীয়তা, গ) কৌশল, ঘ) লাফানো")</f>
        <v>ক) ধৈর্য, ​​খ) নমনীয়তা, গ) কৌশল, ঘ) লাফানো</v>
      </c>
      <c r="M24" s="10" t="str">
        <f>IFERROR(__xludf.DUMMYFUNCTION("GOOGLETRANSLATE(D24, ""en"", ""bn"")"),"গ) কৌশল")</f>
        <v>গ) কৌশল</v>
      </c>
      <c r="N24" s="10" t="str">
        <f>IFERROR(__xludf.DUMMYFUNCTION("GOOGLETRANSLATE(E24, ""en"", ""bn"")"),"লাঠিখেলায় প্রতিপক্ষের পদক্ষেপগুলি পূর্বাভাস এবং প্রতিহত করার জন্য কৌশল অত্যন্ত গুরুত্বপূর্ণ।")</f>
        <v>লাঠিখেলায় প্রতিপক্ষের পদক্ষেপগুলি পূর্বাভাস এবং প্রতিহত করার জন্য কৌশল অত্যন্ত গুরুত্বপূর্ণ।</v>
      </c>
    </row>
    <row r="25">
      <c r="A25" s="4">
        <v>24.0</v>
      </c>
      <c r="B25" s="4" t="s">
        <v>2115</v>
      </c>
      <c r="C25" s="4" t="s">
        <v>2116</v>
      </c>
      <c r="D25" s="4" t="s">
        <v>2117</v>
      </c>
      <c r="E25" s="4" t="s">
        <v>2118</v>
      </c>
      <c r="J25" s="10" t="str">
        <f>IFERROR(__xludf.DUMMYFUNCTION("GOOGLETRANSLATE(A25, ""en"", ""bn"")"),"২৪")</f>
        <v>২৪</v>
      </c>
      <c r="K25" s="10" t="str">
        <f>IFERROR(__xludf.DUMMYFUNCTION("GOOGLETRANSLATE(B25, ""en"", ""bn"")"),"আধুনিক সময়ে, লাঠি খেলা কীসের প্রতীক হয়ে উঠেছে?")</f>
        <v>আধুনিক সময়ে, লাঠি খেলা কীসের প্রতীক হয়ে উঠেছে?</v>
      </c>
      <c r="L25" s="10" t="str">
        <f>IFERROR(__xludf.DUMMYFUNCTION("GOOGLETRANSLATE(C25, ""en"", ""bn"")"),"ক) প্রতিরোধ, খ) ঐক্য, গ) স্বাধীনতা, ঘ) ঐতিহ্য")</f>
        <v>ক) প্রতিরোধ, খ) ঐক্য, গ) স্বাধীনতা, ঘ) ঐতিহ্য</v>
      </c>
      <c r="M25" s="10" t="str">
        <f>IFERROR(__xludf.DUMMYFUNCTION("GOOGLETRANSLATE(D25, ""en"", ""bn"")"),"ঘ) ঐতিহ্য")</f>
        <v>ঘ) ঐতিহ্য</v>
      </c>
      <c r="N25" s="10" t="str">
        <f>IFERROR(__xludf.DUMMYFUNCTION("GOOGLETRANSLATE(E25, ""en"", ""bn"")"),"লাঠিখেলা আজ একটি সাংস্কৃতিক ঐতিহ্য হিসেবে সমাদৃত, যা বাংলাদেশের ঐতিহ্য সংরক্ষণ করে।")</f>
        <v>লাঠিখেলা আজ একটি সাংস্কৃতিক ঐতিহ্য হিসেবে সমাদৃত, যা বাংলাদেশের ঐতিহ্য সংরক্ষণ করে।</v>
      </c>
    </row>
    <row r="26">
      <c r="A26" s="4">
        <v>25.0</v>
      </c>
      <c r="B26" s="4" t="s">
        <v>2119</v>
      </c>
      <c r="C26" s="4" t="s">
        <v>2120</v>
      </c>
      <c r="D26" s="4" t="s">
        <v>202</v>
      </c>
      <c r="E26" s="4" t="s">
        <v>2121</v>
      </c>
      <c r="J26" s="10" t="str">
        <f>IFERROR(__xludf.DUMMYFUNCTION("GOOGLETRANSLATE(A26, ""en"", ""bn"")"),"২৫")</f>
        <v>২৫</v>
      </c>
      <c r="K26" s="10" t="str">
        <f>IFERROR(__xludf.DUMMYFUNCTION("GOOGLETRANSLATE(B26, ""en"", ""bn"")"),"বাংলাদেশে কোন ধরণের উৎসবে প্রায়শই লাঠি খেলা প্রদর্শনী অনুষ্ঠিত হয়?")</f>
        <v>বাংলাদেশে কোন ধরণের উৎসবে প্রায়শই লাঠি খেলা প্রদর্শনী অনুষ্ঠিত হয়?</v>
      </c>
      <c r="L26" s="10" t="str">
        <f>IFERROR(__xludf.DUMMYFUNCTION("GOOGLETRANSLATE(C26, ""en"", ""bn"")"),"ক) নববর্ষ, খ) ফসল কাটার উৎসব, গ) বিবাহ উদযাপন, ঘ) স্বাধীনতা দিবস")</f>
        <v>ক) নববর্ষ, খ) ফসল কাটার উৎসব, গ) বিবাহ উদযাপন, ঘ) স্বাধীনতা দিবস</v>
      </c>
      <c r="M26" s="10" t="str">
        <f>IFERROR(__xludf.DUMMYFUNCTION("GOOGLETRANSLATE(D26, ""en"", ""bn"")"),"খ) ফসল কাটার উৎসব")</f>
        <v>খ) ফসল কাটার উৎসব</v>
      </c>
      <c r="N26" s="10" t="str">
        <f>IFERROR(__xludf.DUMMYFUNCTION("GOOGLETRANSLATE(E26, ""en"", ""bn"")"),"ফসল উৎসব হল লাঠি খেলা প্রদর্শনীর একটি সাধারণ উপলক্ষ, যা সম্প্রদায়ের শক্তি উদযাপন করে।")</f>
        <v>ফসল উৎসব হল লাঠি খেলা প্রদর্শনীর একটি সাধারণ উপলক্ষ, যা সম্প্রদায়ের শক্তি উদযাপন করে।</v>
      </c>
    </row>
    <row r="27">
      <c r="A27" s="4">
        <v>26.0</v>
      </c>
      <c r="B27" s="4" t="s">
        <v>2122</v>
      </c>
      <c r="C27" s="4" t="s">
        <v>2123</v>
      </c>
      <c r="D27" s="4" t="s">
        <v>2124</v>
      </c>
      <c r="E27" s="4" t="s">
        <v>2125</v>
      </c>
      <c r="J27" s="10" t="str">
        <f>IFERROR(__xludf.DUMMYFUNCTION("GOOGLETRANSLATE(A27, ""en"", ""bn"")"),"২৬")</f>
        <v>২৬</v>
      </c>
      <c r="K27" s="10" t="str">
        <f>IFERROR(__xludf.DUMMYFUNCTION("GOOGLETRANSLATE(B27, ""en"", ""bn"")"),"লাঠিখেলায় ব্যবহৃত প্রাথমিক অস্ত্র কী?")</f>
        <v>লাঠিখেলায় ব্যবহৃত প্রাথমিক অস্ত্র কী?</v>
      </c>
      <c r="L27" s="10" t="str">
        <f>IFERROR(__xludf.DUMMYFUNCTION("GOOGLETRANSLATE(C27, ""en"", ""bn"")"),"ক) তরবারি, খ) বর্শা, গ) লাঠি, ঘ) ধনুক")</f>
        <v>ক) তরবারি, খ) বর্শা, গ) লাঠি, ঘ) ধনুক</v>
      </c>
      <c r="M27" s="10" t="str">
        <f>IFERROR(__xludf.DUMMYFUNCTION("GOOGLETRANSLATE(D27, ""en"", ""bn"")"),"গ) লাঠি")</f>
        <v>গ) লাঠি</v>
      </c>
      <c r="N27" s="10" t="str">
        <f>IFERROR(__xludf.DUMMYFUNCTION("GOOGLETRANSLATE(E27, ""en"", ""bn"")"),"লাঠিখেলার প্রধান অস্ত্র হল একটি লম্বা বাঁশের লাঠি যা আক্রমণ এবং প্রতিরক্ষা উভয়ের জন্যই ব্যবহৃত হয়।")</f>
        <v>লাঠিখেলার প্রধান অস্ত্র হল একটি লম্বা বাঁশের লাঠি যা আক্রমণ এবং প্রতিরক্ষা উভয়ের জন্যই ব্যবহৃত হয়।</v>
      </c>
    </row>
    <row r="28">
      <c r="A28" s="4">
        <v>27.0</v>
      </c>
      <c r="B28" s="4" t="s">
        <v>2126</v>
      </c>
      <c r="C28" s="4" t="s">
        <v>2127</v>
      </c>
      <c r="D28" s="4" t="s">
        <v>2128</v>
      </c>
      <c r="E28" s="4" t="s">
        <v>2129</v>
      </c>
      <c r="J28" s="10" t="str">
        <f>IFERROR(__xludf.DUMMYFUNCTION("GOOGLETRANSLATE(A28, ""en"", ""bn"")"),"২৭")</f>
        <v>২৭</v>
      </c>
      <c r="K28" s="10" t="str">
        <f>IFERROR(__xludf.DUMMYFUNCTION("GOOGLETRANSLATE(B28, ""en"", ""bn"")"),"দক্ষিণ এশিয়ার কোন ভৌগোলিক অঞ্চলে লাঠি খেলা উদ্ভূত হয়েছিল?")</f>
        <v>দক্ষিণ এশিয়ার কোন ভৌগোলিক অঞ্চলে লাঠি খেলা উদ্ভূত হয়েছিল?</v>
      </c>
      <c r="L28" s="10" t="str">
        <f>IFERROR(__xludf.DUMMYFUNCTION("GOOGLETRANSLATE(C28, ""en"", ""bn"")"),"ক) পশ্চিম ভারত, খ) দক্ষিণ ভারত, গ) পূর্ব ভারত ও বাংলাদেশ, ঘ) উত্তর ভারত")</f>
        <v>ক) পশ্চিম ভারত, খ) দক্ষিণ ভারত, গ) পূর্ব ভারত ও বাংলাদেশ, ঘ) উত্তর ভারত</v>
      </c>
      <c r="M28" s="10" t="str">
        <f>IFERROR(__xludf.DUMMYFUNCTION("GOOGLETRANSLATE(D28, ""en"", ""bn"")"),"গ) পূর্ব ভারত এবং বাংলাদেশ")</f>
        <v>গ) পূর্ব ভারত এবং বাংলাদেশ</v>
      </c>
      <c r="N28" s="10" t="str">
        <f>IFERROR(__xludf.DUMMYFUNCTION("GOOGLETRANSLATE(E28, ""en"", ""bn"")"),"লাঠিখেলার উৎপত্তিস্থল ছিল বাংলা অঞ্চলে, যার মধ্যে বাংলাদেশ এবং ভারতের কিছু অংশ অন্তর্ভুক্ত।")</f>
        <v>লাঠিখেলার উৎপত্তিস্থল ছিল বাংলা অঞ্চলে, যার মধ্যে বাংলাদেশ এবং ভারতের কিছু অংশ অন্তর্ভুক্ত।</v>
      </c>
    </row>
    <row r="29">
      <c r="A29" s="4">
        <v>28.0</v>
      </c>
      <c r="B29" s="4" t="s">
        <v>2130</v>
      </c>
      <c r="C29" s="4" t="s">
        <v>2131</v>
      </c>
      <c r="D29" s="4" t="s">
        <v>2132</v>
      </c>
      <c r="E29" s="4" t="s">
        <v>2133</v>
      </c>
      <c r="J29" s="10" t="str">
        <f>IFERROR(__xludf.DUMMYFUNCTION("GOOGLETRANSLATE(A29, ""en"", ""bn"")"),"২৮")</f>
        <v>২৮</v>
      </c>
      <c r="K29" s="10" t="str">
        <f>IFERROR(__xludf.DUMMYFUNCTION("GOOGLETRANSLATE(B29, ""en"", ""bn"")"),"ঔপনিবেশিক আমলে, লাঠি খেলা কখনও কখনও কোন গোষ্ঠীর বিরুদ্ধে প্রতিরোধ গড়ে তোলার জন্য ব্যবহৃত হত?")</f>
        <v>ঔপনিবেশিক আমলে, লাঠি খেলা কখনও কখনও কোন গোষ্ঠীর বিরুদ্ধে প্রতিরোধ গড়ে তোলার জন্য ব্যবহৃত হত?</v>
      </c>
      <c r="L29" s="10" t="str">
        <f>IFERROR(__xludf.DUMMYFUNCTION("GOOGLETRANSLATE(C29, ""en"", ""bn"")"),"ক) পর্তুগিজ, খ) ডাচ, গ) ব্রিটিশ, ঘ) ফরাসি")</f>
        <v>ক) পর্তুগিজ, খ) ডাচ, গ) ব্রিটিশ, ঘ) ফরাসি</v>
      </c>
      <c r="M29" s="10" t="str">
        <f>IFERROR(__xludf.DUMMYFUNCTION("GOOGLETRANSLATE(D29, ""en"", ""bn"")"),"গ) ব্রিটিশ")</f>
        <v>গ) ব্রিটিশ</v>
      </c>
      <c r="N29" s="10" t="str">
        <f>IFERROR(__xludf.DUMMYFUNCTION("GOOGLETRANSLATE(E29, ""en"", ""bn"")"),"ব্রিটিশ ঔপনিবেশিক শক্তিকে প্রতিহত করার জন্য গ্রামবাসীরা লাঠি খেলা কৌশল ব্যবহার করত।")</f>
        <v>ব্রিটিশ ঔপনিবেশিক শক্তিকে প্রতিহত করার জন্য গ্রামবাসীরা লাঠি খেলা কৌশল ব্যবহার করত।</v>
      </c>
    </row>
    <row r="30">
      <c r="A30" s="4">
        <v>29.0</v>
      </c>
      <c r="B30" s="4" t="s">
        <v>2134</v>
      </c>
      <c r="C30" s="4" t="s">
        <v>2135</v>
      </c>
      <c r="D30" s="4" t="s">
        <v>2136</v>
      </c>
      <c r="E30" s="4" t="s">
        <v>2137</v>
      </c>
      <c r="J30" s="10" t="str">
        <f>IFERROR(__xludf.DUMMYFUNCTION("GOOGLETRANSLATE(A30, ""en"", ""bn"")"),"২৯")</f>
        <v>২৯</v>
      </c>
      <c r="K30" s="10" t="str">
        <f>IFERROR(__xludf.DUMMYFUNCTION("GOOGLETRANSLATE(B30, ""en"", ""bn"")"),"মার্শাল আর্ট হিসেবে লাঠি খেলার আনুমানিক বয়স কত?")</f>
        <v>মার্শাল আর্ট হিসেবে লাঠি খেলার আনুমানিক বয়স কত?</v>
      </c>
      <c r="L30" s="10" t="str">
        <f>IFERROR(__xludf.DUMMYFUNCTION("GOOGLETRANSLATE(C30, ""en"", ""bn"")"),"ক) ১০০ বছর, খ) ২০০ বছর, গ) ৫০০ বছর, ঘ) ১০০০ বছরেরও বেশি সময়")</f>
        <v>ক) ১০০ বছর, খ) ২০০ বছর, গ) ৫০০ বছর, ঘ) ১০০০ বছরেরও বেশি সময়</v>
      </c>
      <c r="M30" s="10" t="str">
        <f>IFERROR(__xludf.DUMMYFUNCTION("GOOGLETRANSLATE(D30, ""en"", ""bn"")"),"ঘ) ১০০০ বছরেরও বেশি সময় ধরে")</f>
        <v>ঘ) ১০০০ বছরেরও বেশি সময় ধরে</v>
      </c>
      <c r="N30" s="10" t="str">
        <f>IFERROR(__xludf.DUMMYFUNCTION("GOOGLETRANSLATE(E30, ""en"", ""bn"")"),"লাঠি খেলা শতাব্দীর পর শতাব্দী ধরে প্রচলিত হয়ে আসছে, যা এটিকে এই অঞ্চলের প্রাচীনতম মার্শাল আর্টগুলির মধ্যে একটি করে তুলেছে।")</f>
        <v>লাঠি খেলা শতাব্দীর পর শতাব্দী ধরে প্রচলিত হয়ে আসছে, যা এটিকে এই অঞ্চলের প্রাচীনতম মার্শাল আর্টগুলির মধ্যে একটি করে তুলেছে।</v>
      </c>
    </row>
    <row r="31">
      <c r="A31" s="4">
        <v>30.0</v>
      </c>
      <c r="B31" s="4" t="s">
        <v>2138</v>
      </c>
      <c r="C31" s="4" t="s">
        <v>2139</v>
      </c>
      <c r="D31" s="4" t="s">
        <v>2140</v>
      </c>
      <c r="E31" s="4" t="s">
        <v>2141</v>
      </c>
      <c r="J31" s="10" t="str">
        <f>IFERROR(__xludf.DUMMYFUNCTION("GOOGLETRANSLATE(A31, ""en"", ""bn"")"),"৩০")</f>
        <v>৩০</v>
      </c>
      <c r="K31" s="10" t="str">
        <f>IFERROR(__xludf.DUMMYFUNCTION("GOOGLETRANSLATE(B31, ""en"", ""bn"")"),"কোন বাঙালি লোক নায়ককে প্রায়শই লাঠিখেলার কিংবদন্তির সাথে যুক্ত করা হয়?")</f>
        <v>কোন বাঙালি লোক নায়ককে প্রায়শই লাঠিখেলার কিংবদন্তির সাথে যুক্ত করা হয়?</v>
      </c>
      <c r="L31" s="10" t="str">
        <f>IFERROR(__xludf.DUMMYFUNCTION("GOOGLETRANSLATE(C31, ""en"", ""bn"")"),"A) রাজা রাম মোহন রায়, B) বাবু কুঞ্জ নারায়ণ, C) লালন ফকির, D) সিরাজ-উদ-দৌলা")</f>
        <v>A) রাজা রাম মোহন রায়, B) বাবু কুঞ্জ নারায়ণ, C) লালন ফকির, D) সিরাজ-উদ-দৌলা</v>
      </c>
      <c r="M31" s="10" t="str">
        <f>IFERROR(__xludf.DUMMYFUNCTION("GOOGLETRANSLATE(D31, ""en"", ""bn"")"),"খ) বাবু কুঞ্জ নারায়ণ")</f>
        <v>খ) বাবু কুঞ্জ নারায়ণ</v>
      </c>
      <c r="N31" s="10" t="str">
        <f>IFERROR(__xludf.DUMMYFUNCTION("GOOGLETRANSLATE(E31, ""en"", ""bn"")"),"বাবু কুঞ্জ নারায়ণ একজন কিংবদন্তি ব্যক্তিত্ব যিনি বাংলা লোককাহিনীতে লাঠি খেলার প্রচার করেছিলেন।")</f>
        <v>বাবু কুঞ্জ নারায়ণ একজন কিংবদন্তি ব্যক্তিত্ব যিনি বাংলা লোককাহিনীতে লাঠি খেলার প্রচার করেছিলেন।</v>
      </c>
    </row>
    <row r="32">
      <c r="A32" s="4">
        <v>31.0</v>
      </c>
      <c r="B32" s="4" t="s">
        <v>2142</v>
      </c>
      <c r="C32" s="4" t="s">
        <v>2143</v>
      </c>
      <c r="D32" s="4" t="s">
        <v>2144</v>
      </c>
      <c r="E32" s="4" t="s">
        <v>2145</v>
      </c>
      <c r="J32" s="10" t="str">
        <f>IFERROR(__xludf.DUMMYFUNCTION("GOOGLETRANSLATE(A32, ""en"", ""bn"")"),"৩১")</f>
        <v>৩১</v>
      </c>
      <c r="K32" s="10" t="str">
        <f>IFERROR(__xludf.DUMMYFUNCTION("GOOGLETRANSLATE(B32, ""en"", ""bn"")"),"গ্রামীণ সম্প্রদায়ের মধ্যে কোন গোষ্ঠী ঐতিহ্যগতভাবে লাঠি খেলা অনুশীলন করে আসছে?")</f>
        <v>গ্রামীণ সম্প্রদায়ের মধ্যে কোন গোষ্ঠী ঐতিহ্যগতভাবে লাঠি খেলা অনুশীলন করে আসছে?</v>
      </c>
      <c r="L32" s="10" t="str">
        <f>IFERROR(__xludf.DUMMYFUNCTION("GOOGLETRANSLATE(C32, ""en"", ""bn"")"),"ক) প্রবীণ, খ) যুবক, গ) মহিলা, ঘ) ব্যবসায়ী")</f>
        <v>ক) প্রবীণ, খ) যুবক, গ) মহিলা, ঘ) ব্যবসায়ী</v>
      </c>
      <c r="M32" s="10" t="str">
        <f>IFERROR(__xludf.DUMMYFUNCTION("GOOGLETRANSLATE(D32, ""en"", ""bn"")"),"খ) যুবকরা")</f>
        <v>খ) যুবকরা</v>
      </c>
      <c r="N32" s="10" t="str">
        <f>IFERROR(__xludf.DUMMYFUNCTION("GOOGLETRANSLATE(E32, ""en"", ""bn"")"),"গ্রামের যুবকরা প্রায়শই আত্মরক্ষা এবং সম্প্রদায়ের সুরক্ষার জন্য লাঠি খেলা অনুশীলন করত।")</f>
        <v>গ্রামের যুবকরা প্রায়শই আত্মরক্ষা এবং সম্প্রদায়ের সুরক্ষার জন্য লাঠি খেলা অনুশীলন করত।</v>
      </c>
    </row>
    <row r="33">
      <c r="A33" s="4">
        <v>32.0</v>
      </c>
      <c r="B33" s="4" t="s">
        <v>2146</v>
      </c>
      <c r="C33" s="4" t="s">
        <v>2147</v>
      </c>
      <c r="D33" s="4" t="s">
        <v>2148</v>
      </c>
      <c r="E33" s="4" t="s">
        <v>2149</v>
      </c>
      <c r="J33" s="10" t="str">
        <f>IFERROR(__xludf.DUMMYFUNCTION("GOOGLETRANSLATE(A33, ""en"", ""bn"")"),"৩২")</f>
        <v>৩২</v>
      </c>
      <c r="K33" s="10" t="str">
        <f>IFERROR(__xludf.DUMMYFUNCTION("GOOGLETRANSLATE(B33, ""en"", ""bn"")"),"গ্রামে সাধারণত কোন পরিবেশে লাঠি খেলা পড়ানো হত?")</f>
        <v>গ্রামে সাধারণত কোন পরিবেশে লাঠি খেলা পড়ানো হত?</v>
      </c>
      <c r="L33" s="10" t="str">
        <f>IFERROR(__xludf.DUMMYFUNCTION("GOOGLETRANSLATE(C33, ""en"", ""bn"")"),"ক) স্কুল, খ) মাঠ, গ) ঘরবাড়ি, ঘ) মন্দির")</f>
        <v>ক) স্কুল, খ) মাঠ, গ) ঘরবাড়ি, ঘ) মন্দির</v>
      </c>
      <c r="M33" s="10" t="str">
        <f>IFERROR(__xludf.DUMMYFUNCTION("GOOGLETRANSLATE(D33, ""en"", ""bn"")"),"খ) ক্ষেত্র")</f>
        <v>খ) ক্ষেত্র</v>
      </c>
      <c r="N33" s="10" t="str">
        <f>IFERROR(__xludf.DUMMYFUNCTION("GOOGLETRANSLATE(E33, ""en"", ""bn"")"),"গ্রামবাসীরা সাধারণত খোলা মাঠে অনুশীলন এবং প্রশিক্ষণ নিয়ে লাঠি খেলা কৌশল নিখুঁত করত।")</f>
        <v>গ্রামবাসীরা সাধারণত খোলা মাঠে অনুশীলন এবং প্রশিক্ষণ নিয়ে লাঠি খেলা কৌশল নিখুঁত করত।</v>
      </c>
    </row>
    <row r="34">
      <c r="A34" s="4">
        <v>33.0</v>
      </c>
      <c r="B34" s="4" t="s">
        <v>2150</v>
      </c>
      <c r="C34" s="4" t="s">
        <v>2151</v>
      </c>
      <c r="D34" s="4" t="s">
        <v>2152</v>
      </c>
      <c r="E34" s="4" t="s">
        <v>2153</v>
      </c>
      <c r="J34" s="10" t="str">
        <f>IFERROR(__xludf.DUMMYFUNCTION("GOOGLETRANSLATE(A34, ""en"", ""bn"")"),"৩৩")</f>
        <v>৩৩</v>
      </c>
      <c r="K34" s="10" t="str">
        <f>IFERROR(__xludf.DUMMYFUNCTION("GOOGLETRANSLATE(B34, ""en"", ""bn"")"),"অতীতে লাঠি খেলা গ্রামীণ জীবনের কোন দিকটিকে সমর্থন করত?")</f>
        <v>অতীতে লাঠি খেলা গ্রামীণ জীবনের কোন দিকটিকে সমর্থন করত?</v>
      </c>
      <c r="L34" s="10" t="str">
        <f>IFERROR(__xludf.DUMMYFUNCTION("GOOGLETRANSLATE(C34, ""en"", ""bn"")"),"ক) সামাজিক সমাবেশ, খ) গ্রাম প্রতিরক্ষা, গ) বিনোদন, ঘ) কৃষিকাজ")</f>
        <v>ক) সামাজিক সমাবেশ, খ) গ্রাম প্রতিরক্ষা, গ) বিনোদন, ঘ) কৃষিকাজ</v>
      </c>
      <c r="M34" s="10" t="str">
        <f>IFERROR(__xludf.DUMMYFUNCTION("GOOGLETRANSLATE(D34, ""en"", ""bn"")"),"খ) গ্রাম প্রতিরক্ষা")</f>
        <v>খ) গ্রাম প্রতিরক্ষা</v>
      </c>
      <c r="N34" s="10" t="str">
        <f>IFERROR(__xludf.DUMMYFUNCTION("GOOGLETRANSLATE(E34, ""en"", ""bn"")"),"গ্রামাঞ্চলে লাঠি খেলা প্রাথমিকভাবে প্রতিরক্ষার উপায় হিসেবে ব্যবহৃত হত।")</f>
        <v>গ্রামাঞ্চলে লাঠি খেলা প্রাথমিকভাবে প্রতিরক্ষার উপায় হিসেবে ব্যবহৃত হত।</v>
      </c>
    </row>
    <row r="35">
      <c r="A35" s="4">
        <v>34.0</v>
      </c>
      <c r="B35" s="4" t="s">
        <v>2154</v>
      </c>
      <c r="C35" s="4" t="s">
        <v>2155</v>
      </c>
      <c r="D35" s="4" t="s">
        <v>2156</v>
      </c>
      <c r="E35" s="4" t="s">
        <v>2157</v>
      </c>
      <c r="J35" s="10" t="str">
        <f>IFERROR(__xludf.DUMMYFUNCTION("GOOGLETRANSLATE(A35, ""en"", ""bn"")"),"৩৪")</f>
        <v>৩৪</v>
      </c>
      <c r="K35" s="10" t="str">
        <f>IFERROR(__xludf.DUMMYFUNCTION("GOOGLETRANSLATE(B35, ""en"", ""bn"")"),"কোন শতাব্দীতে লাঠি খেলার জনপ্রিয়তা হ্রাস পেতে শুরু করে?")</f>
        <v>কোন শতাব্দীতে লাঠি খেলার জনপ্রিয়তা হ্রাস পেতে শুরু করে?</v>
      </c>
      <c r="L35" s="10" t="str">
        <f>IFERROR(__xludf.DUMMYFUNCTION("GOOGLETRANSLATE(C35, ""en"", ""bn"")"),"ক) ষোড়শ শতাব্দী, খ) আঠারো শতক, গ) ১৯ শতক, ঘ) ২০ শতক")</f>
        <v>ক) ষোড়শ শতাব্দী, খ) আঠারো শতক, গ) ১৯ শতক, ঘ) ২০ শতক</v>
      </c>
      <c r="M35" s="10" t="str">
        <f>IFERROR(__xludf.DUMMYFUNCTION("GOOGLETRANSLATE(D35, ""en"", ""bn"")"),"ঘ) বিংশ শতাব্দী")</f>
        <v>ঘ) বিংশ শতাব্দী</v>
      </c>
      <c r="N35" s="10" t="str">
        <f>IFERROR(__xludf.DUMMYFUNCTION("GOOGLETRANSLATE(E35, ""en"", ""bn"")"),"আধুনিকীকরণ এবং নগরায়ণের সাথে সাথে, বিংশ শতাব্দীতে লাঠিখেলার জনপ্রিয়তা হ্রাস পায়।")</f>
        <v>আধুনিকীকরণ এবং নগরায়ণের সাথে সাথে, বিংশ শতাব্দীতে লাঠিখেলার জনপ্রিয়তা হ্রাস পায়।</v>
      </c>
    </row>
    <row r="36">
      <c r="A36" s="4">
        <v>35.0</v>
      </c>
      <c r="B36" s="4" t="s">
        <v>2158</v>
      </c>
      <c r="C36" s="4" t="s">
        <v>2159</v>
      </c>
      <c r="D36" s="4" t="s">
        <v>2160</v>
      </c>
      <c r="E36" s="4" t="s">
        <v>2161</v>
      </c>
      <c r="J36" s="10" t="str">
        <f>IFERROR(__xludf.DUMMYFUNCTION("GOOGLETRANSLATE(A36, ""en"", ""bn"")"),"৩৫")</f>
        <v>৩৫</v>
      </c>
      <c r="K36" s="10" t="str">
        <f>IFERROR(__xludf.DUMMYFUNCTION("GOOGLETRANSLATE(B36, ""en"", ""bn"")"),"লাঠিখেলায় ব্যবহৃত লাঠি (কাঠি) তৈরিতে প্রায়শই কোন উপাদানটি পছন্দ করা হয়?")</f>
        <v>লাঠিখেলায় ব্যবহৃত লাঠি (কাঠি) তৈরিতে প্রায়শই কোন উপাদানটি পছন্দ করা হয়?</v>
      </c>
      <c r="L36" s="10" t="str">
        <f>IFERROR(__xludf.DUMMYFUNCTION("GOOGLETRANSLATE(C36, ""en"", ""bn"")"),"ক) ওক কাঠ, খ) লোহা, গ) সেগুন কাঠ, ঘ) বাঁশ")</f>
        <v>ক) ওক কাঠ, খ) লোহা, গ) সেগুন কাঠ, ঘ) বাঁশ</v>
      </c>
      <c r="M36" s="10" t="str">
        <f>IFERROR(__xludf.DUMMYFUNCTION("GOOGLETRANSLATE(D36, ""en"", ""bn"")"),"ঘ) বাঁশ")</f>
        <v>ঘ) বাঁশ</v>
      </c>
      <c r="N36" s="10" t="str">
        <f>IFERROR(__xludf.DUMMYFUNCTION("GOOGLETRANSLATE(E36, ""en"", ""bn"")"),"বাঁশ ব্যবহার করা হয় কারণ এটি হালকা অথচ টেকসই, যুদ্ধের জন্য আদর্শ।")</f>
        <v>বাঁশ ব্যবহার করা হয় কারণ এটি হালকা অথচ টেকসই, যুদ্ধের জন্য আদর্শ।</v>
      </c>
    </row>
    <row r="37">
      <c r="A37" s="4">
        <v>36.0</v>
      </c>
      <c r="B37" s="4" t="s">
        <v>2162</v>
      </c>
      <c r="C37" s="4" t="s">
        <v>2163</v>
      </c>
      <c r="D37" s="4" t="s">
        <v>2164</v>
      </c>
      <c r="E37" s="4" t="s">
        <v>2165</v>
      </c>
      <c r="J37" s="10" t="str">
        <f>IFERROR(__xludf.DUMMYFUNCTION("GOOGLETRANSLATE(A37, ""en"", ""bn"")"),"৩৬")</f>
        <v>৩৬</v>
      </c>
      <c r="K37" s="10" t="str">
        <f>IFERROR(__xludf.DUMMYFUNCTION("GOOGLETRANSLATE(B37, ""en"", ""bn"")"),"কোন ঐতিহাসিক ঘটনা লাঠিখেলার গুরুত্ব হ্রাসে অবদান রেখেছিল?")</f>
        <v>কোন ঐতিহাসিক ঘটনা লাঠিখেলার গুরুত্ব হ্রাসে অবদান রেখেছিল?</v>
      </c>
      <c r="L37" s="10" t="str">
        <f>IFERROR(__xludf.DUMMYFUNCTION("GOOGLETRANSLATE(C37, ""en"", ""bn"")"),"ক) শিল্প বিপ্লব, খ) আগ্নেয়াস্ত্রের আগমন, গ) ব্রিটিশ নীতি, ঘ) স্বাধীনতা")</f>
        <v>ক) শিল্প বিপ্লব, খ) আগ্নেয়াস্ত্রের আগমন, গ) ব্রিটিশ নীতি, ঘ) স্বাধীনতা</v>
      </c>
      <c r="M37" s="10" t="str">
        <f>IFERROR(__xludf.DUMMYFUNCTION("GOOGLETRANSLATE(D37, ""en"", ""bn"")"),"গ) ব্রিটিশ নীতি")</f>
        <v>গ) ব্রিটিশ নীতি</v>
      </c>
      <c r="N37" s="10" t="str">
        <f>IFERROR(__xludf.DUMMYFUNCTION("GOOGLETRANSLATE(E37, ""en"", ""bn"")"),"ব্রিটিশ ঔপনিবেশিক নীতি ঐতিহ্যবাহী মার্শাল আর্টকে দমন করে, যার ফলে লাঠি খেলার জনপ্রিয়তা হ্রাস পায়।")</f>
        <v>ব্রিটিশ ঔপনিবেশিক নীতি ঐতিহ্যবাহী মার্শাল আর্টকে দমন করে, যার ফলে লাঠি খেলার জনপ্রিয়তা হ্রাস পায়।</v>
      </c>
    </row>
    <row r="38">
      <c r="A38" s="4">
        <v>37.0</v>
      </c>
      <c r="B38" s="4" t="s">
        <v>2166</v>
      </c>
      <c r="C38" s="4" t="s">
        <v>2167</v>
      </c>
      <c r="D38" s="4" t="s">
        <v>2168</v>
      </c>
      <c r="E38" s="4" t="s">
        <v>2169</v>
      </c>
      <c r="J38" s="10" t="str">
        <f>IFERROR(__xludf.DUMMYFUNCTION("GOOGLETRANSLATE(A38, ""en"", ""bn"")"),"৩৭")</f>
        <v>৩৭</v>
      </c>
      <c r="K38" s="10" t="str">
        <f>IFERROR(__xludf.DUMMYFUNCTION("GOOGLETRANSLATE(B38, ""en"", ""bn"")"),"লাঠি খেলা কোন ধরণের স্থানীয় প্রতিযোগিতায় মাঝে মাঝে প্রদর্শিত হয়?")</f>
        <v>লাঠি খেলা কোন ধরণের স্থানীয় প্রতিযোগিতায় মাঝে মাঝে প্রদর্শিত হয়?</v>
      </c>
      <c r="L38" s="10" t="str">
        <f>IFERROR(__xludf.DUMMYFUNCTION("GOOGLETRANSLATE(C38, ""en"", ""bn"")"),"ক) স্কুলের অনুষ্ঠান, খ) গ্রামের মেলা, গ) সামরিক মহড়া, ঘ) শহরের উৎসব")</f>
        <v>ক) স্কুলের অনুষ্ঠান, খ) গ্রামের মেলা, গ) সামরিক মহড়া, ঘ) শহরের উৎসব</v>
      </c>
      <c r="M38" s="10" t="str">
        <f>IFERROR(__xludf.DUMMYFUNCTION("GOOGLETRANSLATE(D38, ""en"", ""bn"")"),"খ) গ্রামীণ মেলা")</f>
        <v>খ) গ্রামীণ মেলা</v>
      </c>
      <c r="N38" s="10" t="str">
        <f>IFERROR(__xludf.DUMMYFUNCTION("GOOGLETRANSLATE(E38, ""en"", ""bn"")"),"গ্রামীণ মেলায় প্রায়শই সাংস্কৃতিক উৎসবের অংশ হিসেবে লাঠি খেলা প্রদর্শনী অন্তর্ভুক্ত থাকে।")</f>
        <v>গ্রামীণ মেলায় প্রায়শই সাংস্কৃতিক উৎসবের অংশ হিসেবে লাঠি খেলা প্রদর্শনী অন্তর্ভুক্ত থাকে।</v>
      </c>
    </row>
    <row r="39">
      <c r="A39" s="4">
        <v>38.0</v>
      </c>
      <c r="B39" s="4" t="s">
        <v>2170</v>
      </c>
      <c r="C39" s="4" t="s">
        <v>2171</v>
      </c>
      <c r="D39" s="4" t="s">
        <v>2172</v>
      </c>
      <c r="E39" s="4" t="s">
        <v>2173</v>
      </c>
      <c r="J39" s="10" t="str">
        <f>IFERROR(__xludf.DUMMYFUNCTION("GOOGLETRANSLATE(A39, ""en"", ""bn"")"),"৩৮")</f>
        <v>৩৮</v>
      </c>
      <c r="K39" s="10" t="str">
        <f>IFERROR(__xludf.DUMMYFUNCTION("GOOGLETRANSLATE(B39, ""en"", ""bn"")"),"লাঠি খেলা অন্যান্য মার্শাল আর্টের থেকে কীভাবে আলাদা?")</f>
        <v>লাঠি খেলা অন্যান্য মার্শাল আর্টের থেকে কীভাবে আলাদা?</v>
      </c>
      <c r="L39" s="10" t="str">
        <f>IFERROR(__xludf.DUMMYFUNCTION("GOOGLETRANSLATE(C39, ""en"", ""bn"")"),"ক) এটি অস্ত্র-ভিত্তিক, খ) শুধুমাত্র প্রতিরক্ষার উপর মনোযোগ দেয়, গ) কোনও দক্ষতার প্রয়োজন হয় না, ঘ) দলে খেলা হয়")</f>
        <v>ক) এটি অস্ত্র-ভিত্তিক, খ) শুধুমাত্র প্রতিরক্ষার উপর মনোযোগ দেয়, গ) কোনও দক্ষতার প্রয়োজন হয় না, ঘ) দলে খেলা হয়</v>
      </c>
      <c r="M39" s="10" t="str">
        <f>IFERROR(__xludf.DUMMYFUNCTION("GOOGLETRANSLATE(D39, ""en"", ""bn"")"),"ক) এটি অস্ত্র-ভিত্তিক")</f>
        <v>ক) এটি অস্ত্র-ভিত্তিক</v>
      </c>
      <c r="N39" s="10" t="str">
        <f>IFERROR(__xludf.DUMMYFUNCTION("GOOGLETRANSLATE(E39, ""en"", ""bn"")"),"লাঠি খেলা একটি লাঠি-ভিত্তিক মার্শাল আর্ট, যা অনেক নিরস্ত্র মার্শাল আর্টের মতো নয়।")</f>
        <v>লাঠি খেলা একটি লাঠি-ভিত্তিক মার্শাল আর্ট, যা অনেক নিরস্ত্র মার্শাল আর্টের মতো নয়।</v>
      </c>
    </row>
    <row r="40">
      <c r="A40" s="4">
        <v>39.0</v>
      </c>
      <c r="B40" s="4" t="s">
        <v>2174</v>
      </c>
      <c r="C40" s="4" t="s">
        <v>2175</v>
      </c>
      <c r="D40" s="4" t="s">
        <v>2176</v>
      </c>
      <c r="E40" s="4" t="s">
        <v>2177</v>
      </c>
      <c r="J40" s="10" t="str">
        <f>IFERROR(__xludf.DUMMYFUNCTION("GOOGLETRANSLATE(A40, ""en"", ""bn"")"),"৩৯")</f>
        <v>৩৯</v>
      </c>
      <c r="K40" s="10" t="str">
        <f>IFERROR(__xludf.DUMMYFUNCTION("GOOGLETRANSLATE(B40, ""en"", ""bn"")"),"বংশ পরম্পরায় লাঠিখেলার ঐতিহ্যকে কে মূলত বাঁচিয়ে রেখেছেন?")</f>
        <v>বংশ পরম্পরায় লাঠিখেলার ঐতিহ্যকে কে মূলত বাঁচিয়ে রেখেছেন?</v>
      </c>
      <c r="L40" s="10" t="str">
        <f>IFERROR(__xludf.DUMMYFUNCTION("GOOGLETRANSLATE(C40, ""en"", ""bn"")"),"ক) ধর্মীয় নেতা, খ) গ্রামের প্রবীণরা, গ) তরুণ যোদ্ধা, ঘ) অভিজাতরা")</f>
        <v>ক) ধর্মীয় নেতা, খ) গ্রামের প্রবীণরা, গ) তরুণ যোদ্ধা, ঘ) অভিজাতরা</v>
      </c>
      <c r="M40" s="10" t="str">
        <f>IFERROR(__xludf.DUMMYFUNCTION("GOOGLETRANSLATE(D40, ""en"", ""bn"")"),"খ) গ্রামের প্রবীণরা")</f>
        <v>খ) গ্রামের প্রবীণরা</v>
      </c>
      <c r="N40" s="10" t="str">
        <f>IFERROR(__xludf.DUMMYFUNCTION("GOOGLETRANSLATE(E40, ""en"", ""bn"")"),"গ্রামের প্রবীণরা লাঠি খেলার সাথে সম্পর্কিত কৌশল এবং মূল্যবোধ তুলে ধরেন।")</f>
        <v>গ্রামের প্রবীণরা লাঠি খেলার সাথে সম্পর্কিত কৌশল এবং মূল্যবোধ তুলে ধরেন।</v>
      </c>
    </row>
    <row r="41">
      <c r="A41" s="4">
        <v>40.0</v>
      </c>
      <c r="B41" s="4" t="s">
        <v>2178</v>
      </c>
      <c r="C41" s="4" t="s">
        <v>2179</v>
      </c>
      <c r="D41" s="4" t="s">
        <v>2180</v>
      </c>
      <c r="E41" s="4" t="s">
        <v>2181</v>
      </c>
      <c r="J41" s="10" t="str">
        <f>IFERROR(__xludf.DUMMYFUNCTION("GOOGLETRANSLATE(A41, ""en"", ""bn"")"),"৪০")</f>
        <v>৪০</v>
      </c>
      <c r="K41" s="10" t="str">
        <f>IFERROR(__xludf.DUMMYFUNCTION("GOOGLETRANSLATE(B41, ""en"", ""bn"")"),"লোককাহিনীতে কোন কিংবদন্তি যোদ্ধার নাম লাঠি খেলার সাথে যুক্ত করা হয়েছে?")</f>
        <v>লোককাহিনীতে কোন কিংবদন্তি যোদ্ধার নাম লাঠি খেলার সাথে যুক্ত করা হয়েছে?</v>
      </c>
      <c r="L41" s="10" t="str">
        <f>IFERROR(__xludf.DUMMYFUNCTION("GOOGLETRANSLATE(C41, ""en"", ""bn"")"),"A) রামায়ণের হনুমান, B) লালন ফকির, C) বেহুলা, D) বাবুরাম পরমহংস")</f>
        <v>A) রামায়ণের হনুমান, B) লালন ফকির, C) বেহুলা, D) বাবুরাম পরমহংস</v>
      </c>
      <c r="M41" s="10" t="str">
        <f>IFERROR(__xludf.DUMMYFUNCTION("GOOGLETRANSLATE(D41, ""en"", ""bn"")"),"ক) রামায়ণের হনুমান")</f>
        <v>ক) রামায়ণের হনুমান</v>
      </c>
      <c r="N41" s="10" t="str">
        <f>IFERROR(__xludf.DUMMYFUNCTION("GOOGLETRANSLATE(E41, ""en"", ""bn"")"),"লাঠিখেলার দক্ষতার সাথে সাদৃশ্যপূর্ণ গল্পগুলিতে হনুমানের শক্তি এবং চটপটেতার প্রশংসা করা হয়।")</f>
        <v>লাঠিখেলার দক্ষতার সাথে সাদৃশ্যপূর্ণ গল্পগুলিতে হনুমানের শক্তি এবং চটপটেতার প্রশংসা করা হয়।</v>
      </c>
    </row>
    <row r="42">
      <c r="A42" s="4">
        <v>41.0</v>
      </c>
      <c r="B42" s="4" t="s">
        <v>2182</v>
      </c>
      <c r="C42" s="4" t="s">
        <v>2183</v>
      </c>
      <c r="D42" s="4" t="s">
        <v>2184</v>
      </c>
      <c r="E42" s="4" t="s">
        <v>2185</v>
      </c>
      <c r="J42" s="10" t="str">
        <f>IFERROR(__xludf.DUMMYFUNCTION("GOOGLETRANSLATE(A42, ""en"", ""bn"")"),"৪১")</f>
        <v>৪১</v>
      </c>
      <c r="K42" s="10" t="str">
        <f>IFERROR(__xludf.DUMMYFUNCTION("GOOGLETRANSLATE(B42, ""en"", ""bn"")"),"ঐতিহ্যবাহী লাঠি খেলা প্রশিক্ষণে কোন মূল্যবোধের উপর জোর দেওয়া হয়?")</f>
        <v>ঐতিহ্যবাহী লাঠি খেলা প্রশিক্ষণে কোন মূল্যবোধের উপর জোর দেওয়া হয়?</v>
      </c>
      <c r="L42" s="10" t="str">
        <f>IFERROR(__xludf.DUMMYFUNCTION("GOOGLETRANSLATE(C42, ""en"", ""bn"")"),"ক) উদারতা, খ) আনুগত্য, গ) সাহসিকতা, ঘ) বুদ্ধিমত্তা")</f>
        <v>ক) উদারতা, খ) আনুগত্য, গ) সাহসিকতা, ঘ) বুদ্ধিমত্তা</v>
      </c>
      <c r="M42" s="10" t="str">
        <f>IFERROR(__xludf.DUMMYFUNCTION("GOOGLETRANSLATE(D42, ""en"", ""bn"")"),"গ) সাহসিকতা")</f>
        <v>গ) সাহসিকতা</v>
      </c>
      <c r="N42" s="10" t="str">
        <f>IFERROR(__xludf.DUMMYFUNCTION("GOOGLETRANSLATE(E42, ""en"", ""bn"")"),"লাঠি খেলা অনুশীলনকারীদের মধ্যে সাহসিকতা একটি মূল মূল্যবোধ যা অনুপ্রাণিত হয়।")</f>
        <v>লাঠি খেলা অনুশীলনকারীদের মধ্যে সাহসিকতা একটি মূল মূল্যবোধ যা অনুপ্রাণিত হয়।</v>
      </c>
    </row>
    <row r="43">
      <c r="A43" s="4">
        <v>42.0</v>
      </c>
      <c r="B43" s="4" t="s">
        <v>2186</v>
      </c>
      <c r="C43" s="4" t="s">
        <v>2187</v>
      </c>
      <c r="D43" s="4" t="s">
        <v>2188</v>
      </c>
      <c r="E43" s="4" t="s">
        <v>2189</v>
      </c>
      <c r="J43" s="10" t="str">
        <f>IFERROR(__xludf.DUMMYFUNCTION("GOOGLETRANSLATE(A43, ""en"", ""bn"")"),"৪২")</f>
        <v>৪২</v>
      </c>
      <c r="K43" s="10" t="str">
        <f>IFERROR(__xludf.DUMMYFUNCTION("GOOGLETRANSLATE(B43, ""en"", ""bn"")"),"আজ লাঠিখেলা বিক্ষোভের একটি উল্লেখযোগ্য উদ্দেশ্য কী?")</f>
        <v>আজ লাঠিখেলা বিক্ষোভের একটি উল্লেখযোগ্য উদ্দেশ্য কী?</v>
      </c>
      <c r="L43" s="10" t="str">
        <f>IFERROR(__xludf.DUMMYFUNCTION("GOOGLETRANSLATE(C43, ""en"", ""bn"")"),"ক) বিনোদন, খ) সামরিক নিয়োগ, গ) সাংস্কৃতিক সংরক্ষণ, ঘ) পর্যটন আকর্ষণ")</f>
        <v>ক) বিনোদন, খ) সামরিক নিয়োগ, গ) সাংস্কৃতিক সংরক্ষণ, ঘ) পর্যটন আকর্ষণ</v>
      </c>
      <c r="M43" s="10" t="str">
        <f>IFERROR(__xludf.DUMMYFUNCTION("GOOGLETRANSLATE(D43, ""en"", ""bn"")"),"গ) সাংস্কৃতিক সংরক্ষণ")</f>
        <v>গ) সাংস্কৃতিক সংরক্ষণ</v>
      </c>
      <c r="N43" s="10" t="str">
        <f>IFERROR(__xludf.DUMMYFUNCTION("GOOGLETRANSLATE(E43, ""en"", ""bn"")"),"আজকের বিক্ষোভ লাঠিখেলাকে সাংস্কৃতিক ঐতিহ্য হিসেবে সংরক্ষণ এবং উদযাপনে সহায়তা করে।")</f>
        <v>আজকের বিক্ষোভ লাঠিখেলাকে সাংস্কৃতিক ঐতিহ্য হিসেবে সংরক্ষণ এবং উদযাপনে সহায়তা করে।</v>
      </c>
    </row>
    <row r="44">
      <c r="A44" s="4">
        <v>43.0</v>
      </c>
      <c r="B44" s="4" t="s">
        <v>2190</v>
      </c>
      <c r="C44" s="4" t="s">
        <v>2191</v>
      </c>
      <c r="D44" s="4" t="s">
        <v>2192</v>
      </c>
      <c r="E44" s="4" t="s">
        <v>2193</v>
      </c>
      <c r="J44" s="10" t="str">
        <f>IFERROR(__xludf.DUMMYFUNCTION("GOOGLETRANSLATE(A44, ""en"", ""bn"")"),"৪৩")</f>
        <v>৪৩</v>
      </c>
      <c r="K44" s="10" t="str">
        <f>IFERROR(__xludf.DUMMYFUNCTION("GOOGLETRANSLATE(B44, ""en"", ""bn"")"),"লাঠি খেলায় মূলত অংশগ্রহণকারীদের কোন ধরণের যুদ্ধ প্রশিক্ষণ দেওয়া হয়?")</f>
        <v>লাঠি খেলায় মূলত অংশগ্রহণকারীদের কোন ধরণের যুদ্ধ প্রশিক্ষণ দেওয়া হয়?</v>
      </c>
      <c r="L44" s="10" t="str">
        <f>IFERROR(__xludf.DUMMYFUNCTION("GOOGLETRANSLATE(C44, ""en"", ""bn"")"),"ক) হাতে-হাতে যুদ্ধ, খ) ঘনিষ্ঠ যুদ্ধ, গ) মাউন্টেড যুদ্ধ, ঘ) লাঠি-ভিত্তিক যুদ্ধ")</f>
        <v>ক) হাতে-হাতে যুদ্ধ, খ) ঘনিষ্ঠ যুদ্ধ, গ) মাউন্টেড যুদ্ধ, ঘ) লাঠি-ভিত্তিক যুদ্ধ</v>
      </c>
      <c r="M44" s="10" t="str">
        <f>IFERROR(__xludf.DUMMYFUNCTION("GOOGLETRANSLATE(D44, ""en"", ""bn"")"),"ঘ) লাঠি-ভিত্তিক লড়াই")</f>
        <v>ঘ) লাঠি-ভিত্তিক লড়াই</v>
      </c>
      <c r="N44" s="10" t="str">
        <f>IFERROR(__xludf.DUMMYFUNCTION("GOOGLETRANSLATE(E44, ""en"", ""bn"")"),"লাঠি খেলা বাঁশের লাঠি ব্যবহার করে লাঠি মারার কৌশলের জন্য স্বতন্ত্র।")</f>
        <v>লাঠি খেলা বাঁশের লাঠি ব্যবহার করে লাঠি মারার কৌশলের জন্য স্বতন্ত্র।</v>
      </c>
    </row>
    <row r="45">
      <c r="A45" s="4">
        <v>44.0</v>
      </c>
      <c r="B45" s="4" t="s">
        <v>2194</v>
      </c>
      <c r="C45" s="4" t="s">
        <v>2195</v>
      </c>
      <c r="D45" s="4" t="s">
        <v>2196</v>
      </c>
      <c r="E45" s="4" t="s">
        <v>2197</v>
      </c>
      <c r="J45" s="10" t="str">
        <f>IFERROR(__xludf.DUMMYFUNCTION("GOOGLETRANSLATE(A45, ""en"", ""bn"")"),"৪৪")</f>
        <v>৪৪</v>
      </c>
      <c r="K45" s="10" t="str">
        <f>IFERROR(__xludf.DUMMYFUNCTION("GOOGLETRANSLATE(B45, ""en"", ""bn"")"),"ঐতিহ্যবাহী লাঠিখেলায় প্রতিরক্ষার জন্য কোন জিনিসটি প্রায়শই লাঠির সাথে জোড়া লাগানো হয়?")</f>
        <v>ঐতিহ্যবাহী লাঠিখেলায় প্রতিরক্ষার জন্য কোন জিনিসটি প্রায়শই লাঠির সাথে জোড়া লাগানো হয়?</v>
      </c>
      <c r="L45" s="10" t="str">
        <f>IFERROR(__xludf.DUMMYFUNCTION("GOOGLETRANSLATE(C45, ""en"", ""bn"")"),"ক) ঢাল, খ) তরবারি, গ) ছোট ছোরা, ঘ) জোড়া নেই")</f>
        <v>ক) ঢাল, খ) তরবারি, গ) ছোট ছোরা, ঘ) জোড়া নেই</v>
      </c>
      <c r="M45" s="10" t="str">
        <f>IFERROR(__xludf.DUMMYFUNCTION("GOOGLETRANSLATE(D45, ""en"", ""bn"")"),"ক) ঢাল")</f>
        <v>ক) ঢাল</v>
      </c>
      <c r="N45" s="10" t="str">
        <f>IFERROR(__xludf.DUMMYFUNCTION("GOOGLETRANSLATE(E45, ""en"", ""bn"")"),"কিছু কিছু ক্ষেত্রে, প্রতিরক্ষামূলক কৌশল উন্নত করার জন্য লাঠির সাথে একটি ঢাল ব্যবহার করা হয়।")</f>
        <v>কিছু কিছু ক্ষেত্রে, প্রতিরক্ষামূলক কৌশল উন্নত করার জন্য লাঠির সাথে একটি ঢাল ব্যবহার করা হয়।</v>
      </c>
    </row>
    <row r="46">
      <c r="A46" s="4">
        <v>45.0</v>
      </c>
      <c r="B46" s="4" t="s">
        <v>2198</v>
      </c>
      <c r="C46" s="4" t="s">
        <v>2199</v>
      </c>
      <c r="D46" s="4" t="s">
        <v>1856</v>
      </c>
      <c r="E46" s="4" t="s">
        <v>2200</v>
      </c>
      <c r="J46" s="10" t="str">
        <f>IFERROR(__xludf.DUMMYFUNCTION("GOOGLETRANSLATE(A46, ""en"", ""bn"")"),"৪৫")</f>
        <v>৪৫</v>
      </c>
      <c r="K46" s="10" t="str">
        <f>IFERROR(__xludf.DUMMYFUNCTION("GOOGLETRANSLATE(B46, ""en"", ""bn"")"),"কোন সময়কালে লাঠি খেলা জনসাধারণের আগ্রহের পুনরুত্থান দেখেছিল?")</f>
        <v>কোন সময়কালে লাঠি খেলা জনসাধারণের আগ্রহের পুনরুত্থান দেখেছিল?</v>
      </c>
      <c r="L46" s="10" t="str">
        <f>IFERROR(__xludf.DUMMYFUNCTION("GOOGLETRANSLATE(C46, ""en"", ""bn"")"),"ক) ১৯৫০ এর দশক, খ) ১৯৭০ এর দশক, গ) ১৯৯০ এর দশক, ঘ) ২০০০ এর দশক")</f>
        <v>ক) ১৯৫০ এর দশক, খ) ১৯৭০ এর দশক, গ) ১৯৯০ এর দশক, ঘ) ২০০০ এর দশক</v>
      </c>
      <c r="M46" s="10" t="str">
        <f>IFERROR(__xludf.DUMMYFUNCTION("GOOGLETRANSLATE(D46, ""en"", ""bn"")"),"গ) ১৯৯০ এর দশক")</f>
        <v>গ) ১৯৯০ এর দশক</v>
      </c>
      <c r="N46" s="10" t="str">
        <f>IFERROR(__xludf.DUMMYFUNCTION("GOOGLETRANSLATE(E46, ""en"", ""bn"")"),"১৯৯০-এর দশকে, লাঠি খেলার মতো ঐতিহ্যবাহী খেলা সংরক্ষণের প্রতি নতুন করে আগ্রহ দেখা দেয়।")</f>
        <v>১৯৯০-এর দশকে, লাঠি খেলার মতো ঐতিহ্যবাহী খেলা সংরক্ষণের প্রতি নতুন করে আগ্রহ দেখা দেয়।</v>
      </c>
    </row>
    <row r="47">
      <c r="A47" s="4">
        <v>46.0</v>
      </c>
      <c r="B47" s="4" t="s">
        <v>2201</v>
      </c>
      <c r="C47" s="4" t="s">
        <v>2202</v>
      </c>
      <c r="D47" s="4" t="s">
        <v>2203</v>
      </c>
      <c r="E47" s="4" t="s">
        <v>2204</v>
      </c>
      <c r="J47" s="10" t="str">
        <f>IFERROR(__xludf.DUMMYFUNCTION("GOOGLETRANSLATE(A47, ""en"", ""bn"")"),"৪৬")</f>
        <v>৪৬</v>
      </c>
      <c r="K47" s="10" t="str">
        <f>IFERROR(__xludf.DUMMYFUNCTION("GOOGLETRANSLATE(B47, ""en"", ""bn"")"),"ঔপনিবেশিক সময়ে ব্রিটিশ কর্মকর্তারা লাঠি খেলা অনুশীলনকারীদের কী উদ্দেশ্যে নিযুক্ত করেছিলেন?")</f>
        <v>ঔপনিবেশিক সময়ে ব্রিটিশ কর্মকর্তারা লাঠি খেলা অনুশীলনকারীদের কী উদ্দেশ্যে নিযুক্ত করেছিলেন?</v>
      </c>
      <c r="L47" s="10" t="str">
        <f>IFERROR(__xludf.DUMMYFUNCTION("GOOGLETRANSLATE(C47, ""en"", ""bn"")"),"ক) রক্ষী, খ) পুলিশ, গ) বিনোদনকারী, ঘ) সৈন্য")</f>
        <v>ক) রক্ষী, খ) পুলিশ, গ) বিনোদনকারী, ঘ) সৈন্য</v>
      </c>
      <c r="M47" s="10" t="str">
        <f>IFERROR(__xludf.DUMMYFUNCTION("GOOGLETRANSLATE(D47, ""en"", ""bn"")"),"খ) পুলিশ")</f>
        <v>খ) পুলিশ</v>
      </c>
      <c r="N47" s="10" t="str">
        <f>IFERROR(__xludf.DUMMYFUNCTION("GOOGLETRANSLATE(E47, ""en"", ""bn"")"),"ব্রিটিশরা কখনও কখনও দক্ষ লাঠিখেলা অনুশীলনকারীদের গ্রামীণ পুলিশ হিসেবে নিযুক্ত করত।")</f>
        <v>ব্রিটিশরা কখনও কখনও দক্ষ লাঠিখেলা অনুশীলনকারীদের গ্রামীণ পুলিশ হিসেবে নিযুক্ত করত।</v>
      </c>
    </row>
    <row r="48">
      <c r="A48" s="4">
        <v>47.0</v>
      </c>
      <c r="B48" s="4" t="s">
        <v>2205</v>
      </c>
      <c r="C48" s="4" t="s">
        <v>2206</v>
      </c>
      <c r="D48" s="4" t="s">
        <v>2207</v>
      </c>
      <c r="E48" s="4" t="s">
        <v>2208</v>
      </c>
      <c r="J48" s="10" t="str">
        <f>IFERROR(__xludf.DUMMYFUNCTION("GOOGLETRANSLATE(A48, ""en"", ""bn"")"),"৪৭")</f>
        <v>৪৭</v>
      </c>
      <c r="K48" s="10" t="str">
        <f>IFERROR(__xludf.DUMMYFUNCTION("GOOGLETRANSLATE(B48, ""en"", ""bn"")"),"গ্রামাঞ্চলে লাঠি খেলার সাথে কোন সামাজিক দিকটি নিবিড়ভাবে জড়িত ছিল?")</f>
        <v>গ্রামাঞ্চলে লাঠি খেলার সাথে কোন সামাজিক দিকটি নিবিড়ভাবে জড়িত ছিল?</v>
      </c>
      <c r="L48" s="10" t="str">
        <f>IFERROR(__xludf.DUMMYFUNCTION("GOOGLETRANSLATE(C48, ""en"", ""bn"")"),"ক) উৎসব, খ) বিবাহ, গ) গ্রাম সভা, ঘ) আচার-অনুষ্ঠান")</f>
        <v>ক) উৎসব, খ) বিবাহ, গ) গ্রাম সভা, ঘ) আচার-অনুষ্ঠান</v>
      </c>
      <c r="M48" s="10" t="str">
        <f>IFERROR(__xludf.DUMMYFUNCTION("GOOGLETRANSLATE(D48, ""en"", ""bn"")"),"গ) গ্রাম সভা")</f>
        <v>গ) গ্রাম সভা</v>
      </c>
      <c r="N48" s="10" t="str">
        <f>IFERROR(__xludf.DUMMYFUNCTION("GOOGLETRANSLATE(E48, ""en"", ""bn"")"),"গ্রামীণ সভাগুলিতে প্রায়শই প্রতিরক্ষা সংক্রান্ত আলোচনা অন্তর্ভুক্ত থাকত, যার মধ্যে লাঠি খেলা প্রশিক্ষণকে কেন্দ্রবিন্দুতে রাখা হত।")</f>
        <v>গ্রামীণ সভাগুলিতে প্রায়শই প্রতিরক্ষা সংক্রান্ত আলোচনা অন্তর্ভুক্ত থাকত, যার মধ্যে লাঠি খেলা প্রশিক্ষণকে কেন্দ্রবিন্দুতে রাখা হত।</v>
      </c>
    </row>
    <row r="49">
      <c r="A49" s="4">
        <v>48.0</v>
      </c>
      <c r="B49" s="4" t="s">
        <v>2209</v>
      </c>
      <c r="C49" s="4" t="s">
        <v>2210</v>
      </c>
      <c r="D49" s="4" t="s">
        <v>2211</v>
      </c>
      <c r="E49" s="4" t="s">
        <v>2212</v>
      </c>
      <c r="J49" s="10" t="str">
        <f>IFERROR(__xludf.DUMMYFUNCTION("GOOGLETRANSLATE(A49, ""en"", ""bn"")"),"৪৮")</f>
        <v>৪৮</v>
      </c>
      <c r="K49" s="10" t="str">
        <f>IFERROR(__xludf.DUMMYFUNCTION("GOOGLETRANSLATE(B49, ""en"", ""bn"")"),"অন্য কোন মার্শাল আর্ট লাঠি খেলার মতো একই কৌশল ব্যবহার করে?")</f>
        <v>অন্য কোন মার্শাল আর্ট লাঠি খেলার মতো একই কৌশল ব্যবহার করে?</v>
      </c>
      <c r="L49" s="10" t="str">
        <f>IFERROR(__xludf.DUMMYFUNCTION("GOOGLETRANSLATE(C49, ""en"", ""bn"")"),"A) মুয়ে থাই, B) কালারিপায়াত্তু, C) গাটকা, D) কুং ফু")</f>
        <v>A) মুয়ে থাই, B) কালারিপায়াত্তু, C) গাটকা, D) কুং ফু</v>
      </c>
      <c r="M49" s="10" t="str">
        <f>IFERROR(__xludf.DUMMYFUNCTION("GOOGLETRANSLATE(D49, ""en"", ""bn"")"),"গ) গাটকা")</f>
        <v>গ) গাটকা</v>
      </c>
      <c r="N49" s="10" t="str">
        <f>IFERROR(__xludf.DUMMYFUNCTION("GOOGLETRANSLATE(E49, ""en"", ""bn"")"),"শিখদের দ্বারা অনুশীলন করা গাটকা, লাঠি ব্যবহার করে এবং লাঠি খেলার সাথে কৌশল ভাগ করে নেয়।")</f>
        <v>শিখদের দ্বারা অনুশীলন করা গাটকা, লাঠি ব্যবহার করে এবং লাঠি খেলার সাথে কৌশল ভাগ করে নেয়।</v>
      </c>
    </row>
    <row r="50">
      <c r="A50" s="4">
        <v>49.0</v>
      </c>
      <c r="B50" s="4" t="s">
        <v>2213</v>
      </c>
      <c r="C50" s="4" t="s">
        <v>2214</v>
      </c>
      <c r="D50" s="4" t="s">
        <v>2215</v>
      </c>
      <c r="E50" s="4" t="s">
        <v>2216</v>
      </c>
      <c r="J50" s="10" t="str">
        <f>IFERROR(__xludf.DUMMYFUNCTION("GOOGLETRANSLATE(A50, ""en"", ""bn"")"),"৪৯")</f>
        <v>৪৯</v>
      </c>
      <c r="K50" s="10" t="str">
        <f>IFERROR(__xludf.DUMMYFUNCTION("GOOGLETRANSLATE(B50, ""en"", ""bn"")"),"ঐতিহ্যবাহী লাঠিখেলায়, কোন কৌশলটি প্রায়শই প্রথমে অনুশীলন করা হয়?")</f>
        <v>ঐতিহ্যবাহী লাঠিখেলায়, কোন কৌশলটি প্রায়শই প্রথমে অনুশীলন করা হয়?</v>
      </c>
      <c r="L50" s="10" t="str">
        <f>IFERROR(__xludf.DUMMYFUNCTION("GOOGLETRANSLATE(C50, ""en"", ""bn"")"),"ক) প্রতিরক্ষামূলক অবস্থান, খ) অস্ত্রের আঘাত, গ) এড়িয়ে যাওয়া, ঘ) লাফ দেওয়া")</f>
        <v>ক) প্রতিরক্ষামূলক অবস্থান, খ) অস্ত্রের আঘাত, গ) এড়িয়ে যাওয়া, ঘ) লাফ দেওয়া</v>
      </c>
      <c r="M50" s="10" t="str">
        <f>IFERROR(__xludf.DUMMYFUNCTION("GOOGLETRANSLATE(D50, ""en"", ""bn"")"),"ক) প্রতিরক্ষামূলক অবস্থান")</f>
        <v>ক) প্রতিরক্ষামূলক অবস্থান</v>
      </c>
      <c r="N50" s="10" t="str">
        <f>IFERROR(__xludf.DUMMYFUNCTION("GOOGLETRANSLATE(E50, ""en"", ""bn"")"),"আক্রমণাত্মক কৌশল ব্যবহার করার আগে অনুশীলনকারীরা প্রথমে আক্রমণকে রক্ষা এবং আটকাতে শেখে।")</f>
        <v>আক্রমণাত্মক কৌশল ব্যবহার করার আগে অনুশীলনকারীরা প্রথমে আক্রমণকে রক্ষা এবং আটকাতে শেখে।</v>
      </c>
    </row>
    <row r="51">
      <c r="A51" s="4">
        <v>50.0</v>
      </c>
      <c r="B51" s="4" t="s">
        <v>2217</v>
      </c>
      <c r="C51" s="4" t="s">
        <v>2218</v>
      </c>
      <c r="D51" s="4" t="s">
        <v>2219</v>
      </c>
      <c r="E51" s="4" t="s">
        <v>2220</v>
      </c>
      <c r="J51" s="10" t="str">
        <f>IFERROR(__xludf.DUMMYFUNCTION("GOOGLETRANSLATE(A51, ""en"", ""bn"")"),"৫০")</f>
        <v>৫০</v>
      </c>
      <c r="K51" s="10" t="str">
        <f>IFERROR(__xludf.DUMMYFUNCTION("GOOGLETRANSLATE(B51, ""en"", ""bn"")"),"বাংলাদেশের কোন সরকারি সংস্থা লাঠিখেলাকে সাংস্কৃতিক ঐতিহ্য হিসেবে প্রচার করেছে?")</f>
        <v>বাংলাদেশের কোন সরকারি সংস্থা লাঠিখেলাকে সাংস্কৃতিক ঐতিহ্য হিসেবে প্রচার করেছে?</v>
      </c>
      <c r="L51" s="10" t="str">
        <f>IFERROR(__xludf.DUMMYFUNCTION("GOOGLETRANSLATE(C51, ""en"", ""bn"")"),"ক) শিক্ষা মন্ত্রণালয়, খ) যুব ও ক্রীড়া মন্ত্রণালয়, গ) পর্যটন মন্ত্রণালয়, ঘ) প্রতিরক্ষা মন্ত্রণালয়")</f>
        <v>ক) শিক্ষা মন্ত্রণালয়, খ) যুব ও ক্রীড়া মন্ত্রণালয়, গ) পর্যটন মন্ত্রণালয়, ঘ) প্রতিরক্ষা মন্ত্রণালয়</v>
      </c>
      <c r="M51" s="10" t="str">
        <f>IFERROR(__xludf.DUMMYFUNCTION("GOOGLETRANSLATE(D51, ""en"", ""bn"")"),"খ) যুব ও ক্রীড়া মন্ত্রণালয়")</f>
        <v>খ) যুব ও ক্রীড়া মন্ত্রণালয়</v>
      </c>
      <c r="N51" s="10" t="str">
        <f>IFERROR(__xludf.DUMMYFUNCTION("GOOGLETRANSLATE(E51, ""en"", ""bn"")"),"যুব ও ক্রীড়া মন্ত্রণালয় লাঠিখেলা সংরক্ষণের উদ্যোগগুলিকে সমর্থন করেছে।")</f>
        <v>যুব ও ক্রীড়া মন্ত্রণালয় লাঠিখেলা সংরক্ষণের উদ্যোগগুলিকে সমর্থন করেছে।</v>
      </c>
    </row>
    <row r="52">
      <c r="A52" s="4">
        <v>51.0</v>
      </c>
      <c r="B52" s="4" t="s">
        <v>2221</v>
      </c>
      <c r="C52" s="4" t="s">
        <v>2222</v>
      </c>
      <c r="D52" s="4" t="s">
        <v>2223</v>
      </c>
      <c r="E52" s="4" t="s">
        <v>2224</v>
      </c>
      <c r="J52" s="10" t="str">
        <f>IFERROR(__xludf.DUMMYFUNCTION("GOOGLETRANSLATE(A52, ""en"", ""bn"")"),"৫১")</f>
        <v>৫১</v>
      </c>
      <c r="K52" s="10" t="str">
        <f>IFERROR(__xludf.DUMMYFUNCTION("GOOGLETRANSLATE(B52, ""en"", ""bn"")"),"বাংলার গ্রামীণ বিরোধে লাঠি খেলা কোন ঐতিহ্যবাহী ভূমিকা পালন করেছিল?")</f>
        <v>বাংলার গ্রামীণ বিরোধে লাঠি খেলা কোন ঐতিহ্যবাহী ভূমিকা পালন করেছিল?</v>
      </c>
      <c r="L52" s="10" t="str">
        <f>IFERROR(__xludf.DUMMYFUNCTION("GOOGLETRANSLATE(C52, ""en"", ""bn"")"),"ক) শাস্তির ধরণ, খ) ধর্মীয় নৃত্য, গ) দ্বন্দ্ব নিরসন, ঘ) ধর্মীয় অনুশীলন")</f>
        <v>ক) শাস্তির ধরণ, খ) ধর্মীয় নৃত্য, গ) দ্বন্দ্ব নিরসন, ঘ) ধর্মীয় অনুশীলন</v>
      </c>
      <c r="M52" s="10" t="str">
        <f>IFERROR(__xludf.DUMMYFUNCTION("GOOGLETRANSLATE(D52, ""en"", ""bn"")"),"গ) দ্বন্দ্ব নিরসন")</f>
        <v>গ) দ্বন্দ্ব নিরসন</v>
      </c>
      <c r="N52" s="10" t="str">
        <f>IFERROR(__xludf.DUMMYFUNCTION("GOOGLETRANSLATE(E52, ""en"", ""bn"")"),"গ্রামে প্রায়ই বিরোধ নিষ্পত্তি এবং শান্তিপূর্ণভাবে শারীরিক দক্ষতা প্রদর্শনের জন্য লাঠি খেলা ব্যবহার করা হত।")</f>
        <v>গ্রামে প্রায়ই বিরোধ নিষ্পত্তি এবং শান্তিপূর্ণভাবে শারীরিক দক্ষতা প্রদর্শনের জন্য লাঠি খেলা ব্যবহার করা হত।</v>
      </c>
    </row>
    <row r="53">
      <c r="A53" s="4">
        <v>52.0</v>
      </c>
      <c r="B53" s="4" t="s">
        <v>2225</v>
      </c>
      <c r="C53" s="4" t="s">
        <v>2226</v>
      </c>
      <c r="D53" s="4" t="s">
        <v>2227</v>
      </c>
      <c r="E53" s="4" t="s">
        <v>2228</v>
      </c>
      <c r="J53" s="10" t="str">
        <f>IFERROR(__xludf.DUMMYFUNCTION("GOOGLETRANSLATE(A53, ""en"", ""bn"")"),"৫২")</f>
        <v>৫২</v>
      </c>
      <c r="K53" s="10" t="str">
        <f>IFERROR(__xludf.DUMMYFUNCTION("GOOGLETRANSLATE(B53, ""en"", ""bn"")"),"লাঠিখেলার মূল কোন প্রাচীন ঐতিহ্যে?")</f>
        <v>লাঠিখেলার মূল কোন প্রাচীন ঐতিহ্যে?</v>
      </c>
      <c r="L53" s="10" t="str">
        <f>IFERROR(__xludf.DUMMYFUNCTION("GOOGLETRANSLATE(C53, ""en"", ""bn"")"),"ক) সামরিক প্রশিক্ষণ, খ) ধর্মীয় আচার-অনুষ্ঠান, গ) ঐতিহ্যবাহী কৃষিকাজ, ঘ) পাথরের গাঁথুনি")</f>
        <v>ক) সামরিক প্রশিক্ষণ, খ) ধর্মীয় আচার-অনুষ্ঠান, গ) ঐতিহ্যবাহী কৃষিকাজ, ঘ) পাথরের গাঁথুনি</v>
      </c>
      <c r="M53" s="10" t="str">
        <f>IFERROR(__xludf.DUMMYFUNCTION("GOOGLETRANSLATE(D53, ""en"", ""bn"")"),"ক) সামরিক প্রশিক্ষণ")</f>
        <v>ক) সামরিক প্রশিক্ষণ</v>
      </c>
      <c r="N53" s="10" t="str">
        <f>IFERROR(__xludf.DUMMYFUNCTION("GOOGLETRANSLATE(E53, ""en"", ""bn"")"),"এটি গ্রামবাসীদের সুরক্ষা এবং আত্মরক্ষার জন্য ব্যবহৃত প্রাচীন সামরিক অনুশীলন থেকে উদ্ভূত।")</f>
        <v>এটি গ্রামবাসীদের সুরক্ষা এবং আত্মরক্ষার জন্য ব্যবহৃত প্রাচীন সামরিক অনুশীলন থেকে উদ্ভূত।</v>
      </c>
    </row>
    <row r="54">
      <c r="A54" s="4">
        <v>53.0</v>
      </c>
      <c r="B54" s="4" t="s">
        <v>2229</v>
      </c>
      <c r="C54" s="4" t="s">
        <v>2230</v>
      </c>
      <c r="D54" s="4" t="s">
        <v>2231</v>
      </c>
      <c r="E54" s="4" t="s">
        <v>2232</v>
      </c>
      <c r="J54" s="10" t="str">
        <f>IFERROR(__xludf.DUMMYFUNCTION("GOOGLETRANSLATE(A54, ""en"", ""bn"")"),"৫৩")</f>
        <v>৫৩</v>
      </c>
      <c r="K54" s="10" t="str">
        <f>IFERROR(__xludf.DUMMYFUNCTION("GOOGLETRANSLATE(B54, ""en"", ""bn"")"),"উনিশ শতকের কোন বিখ্যাত বাঙালি লেখক তাঁর রচনায় লাঠিখেলার কথা উল্লেখ করেছিলেন?")</f>
        <v>উনিশ শতকের কোন বিখ্যাত বাঙালি লেখক তাঁর রচনায় লাঠিখেলার কথা উল্লেখ করেছিলেন?</v>
      </c>
      <c r="L54" s="10" t="str">
        <f>IFERROR(__xludf.DUMMYFUNCTION("GOOGLETRANSLATE(C54, ""en"", ""bn"")"),"A) রবীন্দ্রনাথ ঠাকুর, B) বঙ্কিম চন্দ্র চ্যাটার্জি, C) কাজী নজরুল ইসলাম, D) লালন ফকির")</f>
        <v>A) রবীন্দ্রনাথ ঠাকুর, B) বঙ্কিম চন্দ্র চ্যাটার্জি, C) কাজী নজরুল ইসলাম, D) লালন ফকির</v>
      </c>
      <c r="M54" s="10" t="str">
        <f>IFERROR(__xludf.DUMMYFUNCTION("GOOGLETRANSLATE(D54, ""en"", ""bn"")"),"খ) বঙ্কিমচন্দ্র চট্টোপাধ্যায়")</f>
        <v>খ) বঙ্কিমচন্দ্র চট্টোপাধ্যায়</v>
      </c>
      <c r="N54" s="10" t="str">
        <f>IFERROR(__xludf.DUMMYFUNCTION("GOOGLETRANSLATE(E54, ""en"", ""bn"")"),"বঙ্কিমচন্দ্র চ্যাটার্জি গ্রামীণ বাঙালি জীবনকে তুলে ধরে তাঁর উপন্যাসে লাঠি খেলার কথা উল্লেখ করেছেন।")</f>
        <v>বঙ্কিমচন্দ্র চ্যাটার্জি গ্রামীণ বাঙালি জীবনকে তুলে ধরে তাঁর উপন্যাসে লাঠি খেলার কথা উল্লেখ করেছেন।</v>
      </c>
    </row>
    <row r="55">
      <c r="A55" s="4">
        <v>54.0</v>
      </c>
      <c r="B55" s="4" t="s">
        <v>2233</v>
      </c>
      <c r="C55" s="4" t="s">
        <v>2234</v>
      </c>
      <c r="D55" s="4" t="s">
        <v>1620</v>
      </c>
      <c r="E55" s="4" t="s">
        <v>2235</v>
      </c>
      <c r="J55" s="10" t="str">
        <f>IFERROR(__xludf.DUMMYFUNCTION("GOOGLETRANSLATE(A55, ""en"", ""bn"")"),"৫৪")</f>
        <v>৫৪</v>
      </c>
      <c r="K55" s="10" t="str">
        <f>IFERROR(__xludf.DUMMYFUNCTION("GOOGLETRANSLATE(B55, ""en"", ""bn"")"),"লাঠিখেলায় সাফল্যের জন্য কোন সাধারণ বৈশিষ্ট্যটি প্রয়োজন?")</f>
        <v>লাঠিখেলায় সাফল্যের জন্য কোন সাধারণ বৈশিষ্ট্যটি প্রয়োজন?</v>
      </c>
      <c r="L55" s="10" t="str">
        <f>IFERROR(__xludf.DUMMYFUNCTION("GOOGLETRANSLATE(C55, ""en"", ""bn"")"),"ক) নমনীয়তা, খ) নিষ্ঠুর শক্তি, গ) সহনশীলতা, ঘ) তৎপরতা")</f>
        <v>ক) নমনীয়তা, খ) নিষ্ঠুর শক্তি, গ) সহনশীলতা, ঘ) তৎপরতা</v>
      </c>
      <c r="M55" s="10" t="str">
        <f>IFERROR(__xludf.DUMMYFUNCTION("GOOGLETRANSLATE(D55, ""en"", ""bn"")"),"ঘ) তত্পরতা")</f>
        <v>ঘ) তত্পরতা</v>
      </c>
      <c r="N55" s="10" t="str">
        <f>IFERROR(__xludf.DUMMYFUNCTION("GOOGLETRANSLATE(E55, ""en"", ""bn"")"),"আক্রমণ এড়াতে এবং প্রতিপক্ষকে কার্যকরভাবে মোকাবেলা করার জন্য লাঠি খেলায় তত্পরতা প্রয়োজন।")</f>
        <v>আক্রমণ এড়াতে এবং প্রতিপক্ষকে কার্যকরভাবে মোকাবেলা করার জন্য লাঠি খেলায় তত্পরতা প্রয়োজন।</v>
      </c>
    </row>
    <row r="56">
      <c r="A56" s="4">
        <v>55.0</v>
      </c>
      <c r="B56" s="4" t="s">
        <v>2236</v>
      </c>
      <c r="C56" s="4" t="s">
        <v>2237</v>
      </c>
      <c r="D56" s="4" t="s">
        <v>2238</v>
      </c>
      <c r="E56" s="11" t="s">
        <v>2239</v>
      </c>
      <c r="J56" s="10" t="str">
        <f>IFERROR(__xludf.DUMMYFUNCTION("GOOGLETRANSLATE(A56, ""en"", ""bn"")"),"৫৫")</f>
        <v>৫৫</v>
      </c>
      <c r="K56" s="10" t="str">
        <f>IFERROR(__xludf.DUMMYFUNCTION("GOOGLETRANSLATE(B56, ""en"", ""bn"")"),"লাঠিখেলার ইতিহাসে 'লাঠিয়াল' শব্দটি কী বোঝায়?")</f>
        <v>লাঠিখেলার ইতিহাসে 'লাঠিয়াল' শব্দটি কী বোঝায়?</v>
      </c>
      <c r="L56" s="10" t="str">
        <f>IFERROR(__xludf.DUMMYFUNCTION("GOOGLETRANSLATE(C56, ""en"", ""bn"")"),"ক) যোদ্ধা, খ) সঙ্গীতজ্ঞ, গ) শিক্ষক, ঘ) লাঠি যোদ্ধা")</f>
        <v>ক) যোদ্ধা, খ) সঙ্গীতজ্ঞ, গ) শিক্ষক, ঘ) লাঠি যোদ্ধা</v>
      </c>
      <c r="M56" s="10" t="str">
        <f>IFERROR(__xludf.DUMMYFUNCTION("GOOGLETRANSLATE(D56, ""en"", ""bn"")"),"ঘ) লাঠি যোদ্ধা")</f>
        <v>ঘ) লাঠি যোদ্ধা</v>
      </c>
      <c r="N56" s="10" t="str">
        <f>IFERROR(__xludf.DUMMYFUNCTION("GOOGLETRANSLATE(E56, ""en"", ""bn"")"),"লাঠিয়াল' শব্দটি তাদের জন্য ব্যবহৃত হয় যারা লাঠি খেলা অনুশীলন করেন এবং দক্ষ লাঠি যোদ্ধা।")</f>
        <v>লাঠিয়াল' শব্দটি তাদের জন্য ব্যবহৃত হয় যারা লাঠি খেলা অনুশীলন করেন এবং দক্ষ লাঠি যোদ্ধা।</v>
      </c>
    </row>
    <row r="57">
      <c r="A57" s="4">
        <v>56.0</v>
      </c>
      <c r="B57" s="4" t="s">
        <v>2240</v>
      </c>
      <c r="C57" s="4" t="s">
        <v>2241</v>
      </c>
      <c r="D57" s="4" t="s">
        <v>2242</v>
      </c>
      <c r="E57" s="4" t="s">
        <v>2243</v>
      </c>
      <c r="J57" s="10" t="str">
        <f>IFERROR(__xludf.DUMMYFUNCTION("GOOGLETRANSLATE(A57, ""en"", ""bn"")"),"৫৬")</f>
        <v>৫৬</v>
      </c>
      <c r="K57" s="10" t="str">
        <f>IFERROR(__xludf.DUMMYFUNCTION("GOOGLETRANSLATE(B57, ""en"", ""bn"")"),"লাঠি খেলা কৌশলে সাধারণত কোন শরীরের নড়াচড়ার উপর জোর দেওয়া হয়?")</f>
        <v>লাঠি খেলা কৌশলে সাধারণত কোন শরীরের নড়াচড়ার উপর জোর দেওয়া হয়?</v>
      </c>
      <c r="L57" s="10" t="str">
        <f>IFERROR(__xludf.DUMMYFUNCTION("GOOGLETRANSLATE(C57, ""en"", ""bn"")"),"ক) বাহু সম্প্রসারণ, খ) মোচড়ানো, গ) পায়ের কাজ, ঘ) লাফানো")</f>
        <v>ক) বাহু সম্প্রসারণ, খ) মোচড়ানো, গ) পায়ের কাজ, ঘ) লাফানো</v>
      </c>
      <c r="M57" s="10" t="str">
        <f>IFERROR(__xludf.DUMMYFUNCTION("GOOGLETRANSLATE(D57, ""en"", ""bn"")"),"গ) পায়ের কাজ")</f>
        <v>গ) পায়ের কাজ</v>
      </c>
      <c r="N57" s="10" t="str">
        <f>IFERROR(__xludf.DUMMYFUNCTION("GOOGLETRANSLATE(E57, ""en"", ""bn"")"),"লাঠিখেলায় ভারসাম্য বজায় রাখতে এবং আক্রমণ এড়াতে সঠিক পায়ের কাজ অত্যন্ত গুরুত্বপূর্ণ।")</f>
        <v>লাঠিখেলায় ভারসাম্য বজায় রাখতে এবং আক্রমণ এড়াতে সঠিক পায়ের কাজ অত্যন্ত গুরুত্বপূর্ণ।</v>
      </c>
    </row>
    <row r="58">
      <c r="A58" s="4">
        <v>57.0</v>
      </c>
      <c r="B58" s="4" t="s">
        <v>2244</v>
      </c>
      <c r="C58" s="4" t="s">
        <v>2245</v>
      </c>
      <c r="D58" s="4" t="s">
        <v>2246</v>
      </c>
      <c r="E58" s="4" t="s">
        <v>2247</v>
      </c>
      <c r="J58" s="10" t="str">
        <f>IFERROR(__xludf.DUMMYFUNCTION("GOOGLETRANSLATE(A58, ""en"", ""bn"")"),"৫৭")</f>
        <v>৫৭</v>
      </c>
      <c r="K58" s="10" t="str">
        <f>IFERROR(__xludf.DUMMYFUNCTION("GOOGLETRANSLATE(B58, ""en"", ""bn"")"),"লাঠিখেলায় ব্যবহৃত একটি সাধারণ লাঠির দৈর্ঘ্য আনুমানিক কত?")</f>
        <v>লাঠিখেলায় ব্যবহৃত একটি সাধারণ লাঠির দৈর্ঘ্য আনুমানিক কত?</v>
      </c>
      <c r="L58" s="10" t="str">
        <f>IFERROR(__xludf.DUMMYFUNCTION("GOOGLETRANSLATE(C58, ""en"", ""bn"")"),"ক) ১ মিটার, খ) ১.৫ মিটার, গ) ২ মিটার, ঘ) ২.৫ মিটার")</f>
        <v>ক) ১ মিটার, খ) ১.৫ মিটার, গ) ২ মিটার, ঘ) ২.৫ মিটার</v>
      </c>
      <c r="M58" s="10" t="str">
        <f>IFERROR(__xludf.DUMMYFUNCTION("GOOGLETRANSLATE(D58, ""en"", ""bn"")"),"গ) ২ মিটার")</f>
        <v>গ) ২ মিটার</v>
      </c>
      <c r="N58" s="10" t="str">
        <f>IFERROR(__xludf.DUMMYFUNCTION("GOOGLETRANSLATE(E58, ""en"", ""bn"")"),"লাঠিখেলায় ব্যবহৃত বাঁশের লাঠি সাধারণত প্রায় ২ মিটার লম্বা হয়, যা সর্বোত্তম নাগালের জন্য উপযুক্ত।")</f>
        <v>লাঠিখেলায় ব্যবহৃত বাঁশের লাঠি সাধারণত প্রায় ২ মিটার লম্বা হয়, যা সর্বোত্তম নাগালের জন্য উপযুক্ত।</v>
      </c>
    </row>
    <row r="59">
      <c r="A59" s="4">
        <v>58.0</v>
      </c>
      <c r="B59" s="4" t="s">
        <v>2248</v>
      </c>
      <c r="C59" s="4" t="s">
        <v>2249</v>
      </c>
      <c r="D59" s="4" t="s">
        <v>2250</v>
      </c>
      <c r="E59" s="4" t="s">
        <v>2251</v>
      </c>
      <c r="J59" s="10" t="str">
        <f>IFERROR(__xludf.DUMMYFUNCTION("GOOGLETRANSLATE(A59, ""en"", ""bn"")"),"৫৮")</f>
        <v>৫৮</v>
      </c>
      <c r="K59" s="10" t="str">
        <f>IFERROR(__xludf.DUMMYFUNCTION("GOOGLETRANSLATE(B59, ""en"", ""bn"")"),"বাংলাদেশের গ্রামাঞ্চলে ঐতিহ্যগতভাবে লাঠিখেলা কোন উদ্দেশ্যে ব্যবহৃত হত?")</f>
        <v>বাংলাদেশের গ্রামাঞ্চলে ঐতিহ্যগতভাবে লাঠিখেলা কোন উদ্দেশ্যে ব্যবহৃত হত?</v>
      </c>
      <c r="L59" s="10" t="str">
        <f>IFERROR(__xludf.DUMMYFUNCTION("GOOGLETRANSLATE(C59, ""en"", ""bn"")"),"ক) শিকার, খ) সামরিক প্রতিযোগিতা, গ) আত্মরক্ষা, ঘ) বিনোদন")</f>
        <v>ক) শিকার, খ) সামরিক প্রতিযোগিতা, গ) আত্মরক্ষা, ঘ) বিনোদন</v>
      </c>
      <c r="M59" s="10" t="str">
        <f>IFERROR(__xludf.DUMMYFUNCTION("GOOGLETRANSLATE(D59, ""en"", ""bn"")"),"গ) আত্মরক্ষা")</f>
        <v>গ) আত্মরক্ষা</v>
      </c>
      <c r="N59" s="10" t="str">
        <f>IFERROR(__xludf.DUMMYFUNCTION("GOOGLETRANSLATE(E59, ""en"", ""bn"")"),"গ্রামবাসীরা হুমকির বিরুদ্ধে আত্মরক্ষার একটি ব্যবহারিক উপায় হিসেবে লাঠি খেলা ব্যবহার করত।")</f>
        <v>গ্রামবাসীরা হুমকির বিরুদ্ধে আত্মরক্ষার একটি ব্যবহারিক উপায় হিসেবে লাঠি খেলা ব্যবহার করত।</v>
      </c>
    </row>
    <row r="60">
      <c r="A60" s="4">
        <v>59.0</v>
      </c>
      <c r="B60" s="4" t="s">
        <v>2252</v>
      </c>
      <c r="C60" s="4" t="s">
        <v>2253</v>
      </c>
      <c r="D60" s="4" t="s">
        <v>2254</v>
      </c>
      <c r="E60" s="4" t="s">
        <v>2255</v>
      </c>
      <c r="J60" s="10" t="str">
        <f>IFERROR(__xludf.DUMMYFUNCTION("GOOGLETRANSLATE(A60, ""en"", ""bn"")"),"৫৯")</f>
        <v>৫৯</v>
      </c>
      <c r="K60" s="10" t="str">
        <f>IFERROR(__xludf.DUMMYFUNCTION("GOOGLETRANSLATE(B60, ""en"", ""bn"")"),"নাটকীয়তা বৃদ্ধির জন্য লাঠিখেলা পরিবেশনায় প্রায়শই কোন উপাদানটি অন্তর্ভুক্ত করা হয়?")</f>
        <v>নাটকীয়তা বৃদ্ধির জন্য লাঠিখেলা পরিবেশনায় প্রায়শই কোন উপাদানটি অন্তর্ভুক্ত করা হয়?</v>
      </c>
      <c r="L60" s="10" t="str">
        <f>IFERROR(__xludf.DUMMYFUNCTION("GOOGLETRANSLATE(C60, ""en"", ""bn"")"),"ক) জোরে শ্লোগান, খ) সঙ্গীত, গ) আতশবাজি, ঘ) নৃত্য")</f>
        <v>ক) জোরে শ্লোগান, খ) সঙ্গীত, গ) আতশবাজি, ঘ) নৃত্য</v>
      </c>
      <c r="M60" s="10" t="str">
        <f>IFERROR(__xludf.DUMMYFUNCTION("GOOGLETRANSLATE(D60, ""en"", ""bn"")"),"খ) সঙ্গীত")</f>
        <v>খ) সঙ্গীত</v>
      </c>
      <c r="N60" s="10" t="str">
        <f>IFERROR(__xludf.DUMMYFUNCTION("GOOGLETRANSLATE(E60, ""en"", ""bn"")"),"লাঠি খেলার সাথে ঐতিহ্যবাহী ঢোল সঙ্গীত বাজানো হয়, যা এর তীব্রতা এবং ছন্দকে বাড়িয়ে তোলে।")</f>
        <v>লাঠি খেলার সাথে ঐতিহ্যবাহী ঢোল সঙ্গীত বাজানো হয়, যা এর তীব্রতা এবং ছন্দকে বাড়িয়ে তোলে।</v>
      </c>
    </row>
    <row r="61">
      <c r="A61" s="4">
        <v>60.0</v>
      </c>
      <c r="B61" s="4" t="s">
        <v>2256</v>
      </c>
      <c r="C61" s="4" t="s">
        <v>2257</v>
      </c>
      <c r="D61" s="4" t="s">
        <v>2258</v>
      </c>
      <c r="E61" s="4" t="s">
        <v>2259</v>
      </c>
      <c r="J61" s="10" t="str">
        <f>IFERROR(__xludf.DUMMYFUNCTION("GOOGLETRANSLATE(A61, ""en"", ""bn"")"),"৬০")</f>
        <v>৬০</v>
      </c>
      <c r="K61" s="10" t="str">
        <f>IFERROR(__xludf.DUMMYFUNCTION("GOOGLETRANSLATE(B61, ""en"", ""bn"")"),"লাঠি খেলা প্রথার উপর ব্রিটিশ ঔপনিবেশিক শাসনের কী প্রভাব পড়েছিল?")</f>
        <v>লাঠি খেলা প্রথার উপর ব্রিটিশ ঔপনিবেশিক শাসনের কী প্রভাব পড়েছিল?</v>
      </c>
      <c r="L61" s="10" t="str">
        <f>IFERROR(__xludf.DUMMYFUNCTION("GOOGLETRANSLATE(C61, ""en"", ""bn"")"),"ক) এটি প্রচারিত হয়েছিল, খ) এটি সীমাবদ্ধ ছিল, গ) এটি বাধ্যতামূলক হয়ে গিয়েছিল, ঘ) এটি আধুনিকীকরণ করা হয়েছিল")</f>
        <v>ক) এটি প্রচারিত হয়েছিল, খ) এটি সীমাবদ্ধ ছিল, গ) এটি বাধ্যতামূলক হয়ে গিয়েছিল, ঘ) এটি আধুনিকীকরণ করা হয়েছিল</v>
      </c>
      <c r="M61" s="10" t="str">
        <f>IFERROR(__xludf.DUMMYFUNCTION("GOOGLETRANSLATE(D61, ""en"", ""bn"")"),"খ) এটি সীমাবদ্ধ ছিল")</f>
        <v>খ) এটি সীমাবদ্ধ ছিল</v>
      </c>
      <c r="N61" s="10" t="str">
        <f>IFERROR(__xludf.DUMMYFUNCTION("GOOGLETRANSLATE(E61, ""en"", ""bn"")"),"ব্রিটিশরা লাঠিখেলাকে সম্ভাব্য হুমকি হিসেবে দেখে নিরুৎসাহিত এবং সীমাবদ্ধ করে।")</f>
        <v>ব্রিটিশরা লাঠিখেলাকে সম্ভাব্য হুমকি হিসেবে দেখে নিরুৎসাহিত এবং সীমাবদ্ধ করে।</v>
      </c>
    </row>
    <row r="62">
      <c r="A62" s="7">
        <v>61.0</v>
      </c>
      <c r="B62" s="7" t="s">
        <v>2260</v>
      </c>
      <c r="C62" s="7" t="s">
        <v>2261</v>
      </c>
      <c r="D62" s="7" t="s">
        <v>2262</v>
      </c>
      <c r="E62" s="7" t="s">
        <v>2263</v>
      </c>
      <c r="J62" s="10" t="str">
        <f>IFERROR(__xludf.DUMMYFUNCTION("GOOGLETRANSLATE(A62, ""en"", ""bn"")"),"৬১")</f>
        <v>৬১</v>
      </c>
      <c r="K62" s="10" t="str">
        <f>IFERROR(__xludf.DUMMYFUNCTION("GOOGLETRANSLATE(B62, ""en"", ""bn"")"),"মধ্যযুগীয় বাংলায় সামন্ত জমিদারদের সময়ে, 'লাঠিয়াল'-এর প্রাথমিক ভূমিকা কী ছিল?")</f>
        <v>মধ্যযুগীয় বাংলায় সামন্ত জমিদারদের সময়ে, 'লাঠিয়াল'-এর প্রাথমিক ভূমিকা কী ছিল?</v>
      </c>
      <c r="L62" s="10" t="str">
        <f>IFERROR(__xludf.DUMMYFUNCTION("GOOGLETRANSLATE(C62, ""en"", ""bn"")"),"ক) গ্রামের বিনোদনকারী, খ) কর আদায়কারী এবং প্রহরী, গ) আধ্যাত্মিক পথপ্রদর্শক, ঘ) মার্শাল আর্টের শিক্ষক")</f>
        <v>ক) গ্রামের বিনোদনকারী, খ) কর আদায়কারী এবং প্রহরী, গ) আধ্যাত্মিক পথপ্রদর্শক, ঘ) মার্শাল আর্টের শিক্ষক</v>
      </c>
      <c r="M62" s="10" t="str">
        <f>IFERROR(__xludf.DUMMYFUNCTION("GOOGLETRANSLATE(D62, ""en"", ""bn"")"),"খ) কর আদায়কারী এবং প্রহরী")</f>
        <v>খ) কর আদায়কারী এবং প্রহরী</v>
      </c>
      <c r="N62" s="10" t="str">
        <f>IFERROR(__xludf.DUMMYFUNCTION("GOOGLETRANSLATE(E62, ""en"", ""bn"")"),"জমিদাররা (জমিদাররা) জোরপূর্বক কর আদায় এবং তাদের সম্পত্তির নিরাপত্তা প্রদানের জন্য লাঠিয়াল নিয়োগ করত।")</f>
        <v>জমিদাররা (জমিদাররা) জোরপূর্বক কর আদায় এবং তাদের সম্পত্তির নিরাপত্তা প্রদানের জন্য লাঠিয়াল নিয়োগ করত।</v>
      </c>
    </row>
    <row r="63">
      <c r="A63" s="7">
        <v>62.0</v>
      </c>
      <c r="B63" s="7" t="s">
        <v>2264</v>
      </c>
      <c r="C63" s="7" t="s">
        <v>2265</v>
      </c>
      <c r="D63" s="7" t="s">
        <v>2266</v>
      </c>
      <c r="E63" s="7" t="s">
        <v>2267</v>
      </c>
      <c r="J63" s="10" t="str">
        <f>IFERROR(__xludf.DUMMYFUNCTION("GOOGLETRANSLATE(A63, ""en"", ""bn"")"),"৬২")</f>
        <v>৬২</v>
      </c>
      <c r="K63" s="10" t="str">
        <f>IFERROR(__xludf.DUMMYFUNCTION("GOOGLETRANSLATE(B63, ""en"", ""bn"")"),"'লাঠিয়াল' শব্দটি লাঠি খেলা অনুশীলনকারীকে বোঝাতে ব্যবহৃত হয়। এই শব্দের আক্ষরিক অর্থ কী?")</f>
        <v>'লাঠিয়াল' শব্দটি লাঠি খেলা অনুশীলনকারীকে বোঝাতে ব্যবহৃত হয়। এই শব্দের আক্ষরিক অর্থ কী?</v>
      </c>
      <c r="L63" s="10" t="str">
        <f>IFERROR(__xludf.DUMMYFUNCTION("GOOGLETRANSLATE(C63, ""en"", ""bn"")"),"ক) যে যুদ্ধ করে, খ) যে লাঠি চালায়, গ) যে শিক্ষা দেয়, ঘ) যে দৌড়ায়")</f>
        <v>ক) যে যুদ্ধ করে, খ) যে লাঠি চালায়, গ) যে শিক্ষা দেয়, ঘ) যে দৌড়ায়</v>
      </c>
      <c r="M63" s="10" t="str">
        <f>IFERROR(__xludf.DUMMYFUNCTION("GOOGLETRANSLATE(D63, ""en"", ""bn"")"),"খ) যে লাঠি চালায়")</f>
        <v>খ) যে লাঠি চালায়</v>
      </c>
      <c r="N63" s="10" t="str">
        <f>IFERROR(__xludf.DUMMYFUNCTION("GOOGLETRANSLATE(E63, ""en"", ""bn"")"),"'লাঠিয়াল' শব্দটি 'লাঠি' (লাঠি) থেকে এসেছে, যার অর্থ লাঠি চালাতে দক্ষ ব্যক্তি।")</f>
        <v>'লাঠিয়াল' শব্দটি 'লাঠি' (লাঠি) থেকে এসেছে, যার অর্থ লাঠি চালাতে দক্ষ ব্যক্তি।</v>
      </c>
    </row>
    <row r="64">
      <c r="A64" s="7">
        <v>63.0</v>
      </c>
      <c r="B64" s="7" t="s">
        <v>2268</v>
      </c>
      <c r="C64" s="7" t="s">
        <v>2269</v>
      </c>
      <c r="D64" s="7" t="s">
        <v>2270</v>
      </c>
      <c r="E64" s="7" t="s">
        <v>2271</v>
      </c>
      <c r="J64" s="10" t="str">
        <f>IFERROR(__xludf.DUMMYFUNCTION("GOOGLETRANSLATE(A64, ""en"", ""bn"")"),"৬৩")</f>
        <v>৬৩</v>
      </c>
      <c r="K64" s="10" t="str">
        <f>IFERROR(__xludf.DUMMYFUNCTION("GOOGLETRANSLATE(B64, ""en"", ""bn"")"),"ঐতিহাসিকভাবে বাংলাদেশের কোন জেলায় বার্ষিক দেশব্যাপী লাঠি খেলা সম্মেলন অনুষ্ঠিত হয়েছিল?")</f>
        <v>ঐতিহাসিকভাবে বাংলাদেশের কোন জেলায় বার্ষিক দেশব্যাপী লাঠি খেলা সম্মেলন অনুষ্ঠিত হয়েছিল?</v>
      </c>
      <c r="L64" s="10" t="str">
        <f>IFERROR(__xludf.DUMMYFUNCTION("GOOGLETRANSLATE(C64, ""en"", ""bn"")"),"A) ঢাকা, B) কুষ্টিয়া, C) চট্টগ্রাম, D) সিলেট")</f>
        <v>A) ঢাকা, B) কুষ্টিয়া, C) চট্টগ্রাম, D) সিলেট</v>
      </c>
      <c r="M64" s="10" t="str">
        <f>IFERROR(__xludf.DUMMYFUNCTION("GOOGLETRANSLATE(D64, ""en"", ""bn"")"),"খ) কুষ্টিয়া")</f>
        <v>খ) কুষ্টিয়া</v>
      </c>
      <c r="N64" s="10" t="str">
        <f>IFERROR(__xludf.DUMMYFUNCTION("GOOGLETRANSLATE(E64, ""en"", ""bn"")"),"১৯৮৯ সাল পর্যন্ত কুষ্টিয়ায় বার্ষিক দেশব্যাপী লাঠি খেলা সম্মেলন অনুষ্ঠিত হত।")</f>
        <v>১৯৮৯ সাল পর্যন্ত কুষ্টিয়ায় বার্ষিক দেশব্যাপী লাঠি খেলা সম্মেলন অনুষ্ঠিত হত।</v>
      </c>
    </row>
    <row r="65">
      <c r="A65" s="7">
        <v>64.0</v>
      </c>
      <c r="B65" s="7" t="s">
        <v>2272</v>
      </c>
      <c r="C65" s="7" t="s">
        <v>2273</v>
      </c>
      <c r="D65" s="7" t="s">
        <v>2274</v>
      </c>
      <c r="E65" s="7" t="s">
        <v>2275</v>
      </c>
      <c r="J65" s="10" t="str">
        <f>IFERROR(__xludf.DUMMYFUNCTION("GOOGLETRANSLATE(A65, ""en"", ""bn"")"),"৬৪")</f>
        <v>৬৪</v>
      </c>
      <c r="K65" s="10" t="str">
        <f>IFERROR(__xludf.DUMMYFUNCTION("GOOGLETRANSLATE(B65, ""en"", ""bn"")"),"ঢালের সাথে প্রায়শই যে লাঠি-লড়াই প্রদর্শনী করা হত, তার নাম কী ছিল?")</f>
        <v>ঢালের সাথে প্রায়শই যে লাঠি-লড়াই প্রদর্শনী করা হত, তার নাম কী ছিল?</v>
      </c>
      <c r="L65" s="10" t="str">
        <f>IFERROR(__xludf.DUMMYFUNCTION("GOOGLETRANSLATE(C65, ""en"", ""bn"")"),"ক) নরি বাড়ি, খ) বাঁই ঝাক, গ) দাও খেলা, ঘ) ছুড়ি নাচ")</f>
        <v>ক) নরি বাড়ি, খ) বাঁই ঝাক, গ) দাও খেলা, ঘ) ছুড়ি নাচ</v>
      </c>
      <c r="M65" s="10" t="str">
        <f>IFERROR(__xludf.DUMMYFUNCTION("GOOGLETRANSLATE(D65, ""en"", ""bn"")"),"ক) নরী বাড়ি")</f>
        <v>ক) নরী বাড়ি</v>
      </c>
      <c r="N65" s="10" t="str">
        <f>IFERROR(__xludf.DUMMYFUNCTION("GOOGLETRANSLATE(E65, ""en"", ""bn"")"),"নরি ​​বারি ছিল একটি নির্দিষ্ট ধরণের নকল লাঠি-লড়াই প্রদর্শনী যেখানে লাঠিগুলিকে ঢালের সাথে জোড়া লাগানো যেত।")</f>
        <v>নরি ​​বারি ছিল একটি নির্দিষ্ট ধরণের নকল লাঠি-লড়াই প্রদর্শনী যেখানে লাঠিগুলিকে ঢালের সাথে জোড়া লাগানো যেত।</v>
      </c>
    </row>
    <row r="66">
      <c r="A66" s="7">
        <v>65.0</v>
      </c>
      <c r="B66" s="7" t="s">
        <v>2276</v>
      </c>
      <c r="C66" s="7" t="s">
        <v>2277</v>
      </c>
      <c r="D66" s="7" t="s">
        <v>2278</v>
      </c>
      <c r="E66" s="7" t="s">
        <v>2279</v>
      </c>
      <c r="J66" s="10" t="str">
        <f>IFERROR(__xludf.DUMMYFUNCTION("GOOGLETRANSLATE(A66, ""en"", ""bn"")"),"৬৫")</f>
        <v>৬৫</v>
      </c>
      <c r="K66" s="10" t="str">
        <f>IFERROR(__xludf.DUMMYFUNCTION("GOOGLETRANSLATE(B66, ""en"", ""bn"")"),"সাম্প্রতিক দশকগুলিতে লাঠি খেলার পতনের জন্য কোন প্রধান সামাজিক প্রবণতা দায়ী?")</f>
        <v>সাম্প্রতিক দশকগুলিতে লাঠি খেলার পতনের জন্য কোন প্রধান সামাজিক প্রবণতা দায়ী?</v>
      </c>
      <c r="L66" s="10" t="str">
        <f>IFERROR(__xludf.DUMMYFUNCTION("GOOGLETRANSLATE(C66, ""en"", ""bn"")"),"ক) অর্থনৈতিক দুর্দশা, খ) গ্রামীণ অভিবাসন, গ) নগরায়ণ, ঘ) জলবায়ু পরিবর্তন")</f>
        <v>ক) অর্থনৈতিক দুর্দশা, খ) গ্রামীণ অভিবাসন, গ) নগরায়ণ, ঘ) জলবায়ু পরিবর্তন</v>
      </c>
      <c r="M66" s="10" t="str">
        <f>IFERROR(__xludf.DUMMYFUNCTION("GOOGLETRANSLATE(D66, ""en"", ""bn"")"),"গ) নগরায়ণ")</f>
        <v>গ) নগরায়ণ</v>
      </c>
      <c r="N66" s="10" t="str">
        <f>IFERROR(__xludf.DUMMYFUNCTION("GOOGLETRANSLATE(E66, ""en"", ""bn"")"),"গ্রামাঞ্চল থেকে শহরে স্থানান্তরের ফলে লাঠি খেলার মতো ঐতিহ্যবাহী গ্রামীণ মার্শাল আর্টের হ্রাস ঘটেছে।")</f>
        <v>গ্রামাঞ্চল থেকে শহরে স্থানান্তরের ফলে লাঠি খেলার মতো ঐতিহ্যবাহী গ্রামীণ মার্শাল আর্টের হ্রাস ঘটেছে।</v>
      </c>
    </row>
    <row r="67">
      <c r="A67" s="7">
        <v>66.0</v>
      </c>
      <c r="B67" s="7" t="s">
        <v>2280</v>
      </c>
      <c r="C67" s="7" t="s">
        <v>2281</v>
      </c>
      <c r="D67" s="7" t="s">
        <v>2282</v>
      </c>
      <c r="E67" s="7" t="s">
        <v>2283</v>
      </c>
      <c r="J67" s="10" t="str">
        <f>IFERROR(__xludf.DUMMYFUNCTION("GOOGLETRANSLATE(A67, ""en"", ""bn"")"),"৬৬")</f>
        <v>৬৬</v>
      </c>
      <c r="K67" s="10" t="str">
        <f>IFERROR(__xludf.DUMMYFUNCTION("GOOGLETRANSLATE(B67, ""en"", ""bn"")"),"লাঠিয়াল দলগুলির দ্বারা পরিচালিত নির্দিষ্ট ধরণের নকল-দল লড়াইয়ের নাম কী ছিল?")</f>
        <v>লাঠিয়াল দলগুলির দ্বারা পরিচালিত নির্দিষ্ট ধরণের নকল-দল লড়াইয়ের নাম কী ছিল?</v>
      </c>
      <c r="L67" s="10" t="str">
        <f>IFERROR(__xludf.DUMMYFUNCTION("GOOGLETRANSLATE(C67, ""en"", ""bn"")"),"ক) নরি বাড়ি, খ) দাও খেলা, গ) ছুড়ি নাচ, ঘ) বাওই ঝাক")</f>
        <v>ক) নরি বাড়ি, খ) দাও খেলা, গ) ছুড়ি নাচ, ঘ) বাওই ঝাক</v>
      </c>
      <c r="M67" s="10" t="str">
        <f>IFERROR(__xludf.DUMMYFUNCTION("GOOGLETRANSLATE(D67, ""en"", ""bn"")"),"ঘ) বাওই ঝাক")</f>
        <v>ঘ) বাওই ঝাক</v>
      </c>
      <c r="N67" s="10" t="str">
        <f>IFERROR(__xludf.DUMMYFUNCTION("GOOGLETRANSLATE(E67, ""en"", ""bn"")"),"বাওই ঝাক ছিল লাঠিয়াল দল কর্তৃক পরিবেশিত এক ধরণের নকল দলগত লড়াই।")</f>
        <v>বাওই ঝাক ছিল লাঠিয়াল দল কর্তৃক পরিবেশিত এক ধরণের নকল দলগত লড়াই।</v>
      </c>
    </row>
    <row r="68">
      <c r="A68" s="7">
        <v>67.0</v>
      </c>
      <c r="B68" s="7" t="s">
        <v>2284</v>
      </c>
      <c r="C68" s="7" t="s">
        <v>2285</v>
      </c>
      <c r="D68" s="7" t="s">
        <v>2286</v>
      </c>
      <c r="E68" s="7" t="s">
        <v>2287</v>
      </c>
      <c r="J68" s="10" t="str">
        <f>IFERROR(__xludf.DUMMYFUNCTION("GOOGLETRANSLATE(A68, ""en"", ""bn"")"),"৬৭")</f>
        <v>৬৭</v>
      </c>
      <c r="K68" s="10" t="str">
        <f>IFERROR(__xludf.DUMMYFUNCTION("GOOGLETRANSLATE(B68, ""en"", ""bn"")"),"লাঠি খেলা একসময় কোন নামে পরিচিত শিক্ষা ব্যবস্থার অন্তর্ভুক্ত ছিল?")</f>
        <v>লাঠি খেলা একসময় কোন নামে পরিচিত শিক্ষা ব্যবস্থার অন্তর্ভুক্ত ছিল?</v>
      </c>
      <c r="L68" s="10" t="str">
        <f>IFERROR(__xludf.DUMMYFUNCTION("GOOGLETRANSLATE(C68, ""en"", ""bn"")"),"ক) ব্রতচারী, খ) সাধোনা, গ) অনুশীলন, ঘ) বঙ্গীয় ব্যায়াম সমিতি")</f>
        <v>ক) ব্রতচারী, খ) সাধোনা, গ) অনুশীলন, ঘ) বঙ্গীয় ব্যায়াম সমিতি</v>
      </c>
      <c r="M68" s="10" t="str">
        <f>IFERROR(__xludf.DUMMYFUNCTION("GOOGLETRANSLATE(D68, ""en"", ""bn"")"),"ক) ব্রতচারী")</f>
        <v>ক) ব্রতচারী</v>
      </c>
      <c r="N68" s="10" t="str">
        <f>IFERROR(__xludf.DUMMYFUNCTION("GOOGLETRANSLATE(E68, ""en"", ""bn"")"),"লাঠি খেলা প্রশিক্ষণ একসময় গুরুসদয় দত্ত কর্তৃক প্রতিষ্ঠিত ব্রতচারী শিক্ষা ব্যবস্থার অংশ ছিল।")</f>
        <v>লাঠি খেলা প্রশিক্ষণ একসময় গুরুসদয় দত্ত কর্তৃক প্রতিষ্ঠিত ব্রতচারী শিক্ষা ব্যবস্থার অংশ ছিল।</v>
      </c>
    </row>
    <row r="69">
      <c r="A69" s="7">
        <v>68.0</v>
      </c>
      <c r="B69" s="7" t="s">
        <v>2288</v>
      </c>
      <c r="C69" s="7" t="s">
        <v>2289</v>
      </c>
      <c r="D69" s="7" t="s">
        <v>2290</v>
      </c>
      <c r="E69" s="7" t="s">
        <v>2291</v>
      </c>
      <c r="J69" s="10" t="str">
        <f>IFERROR(__xludf.DUMMYFUNCTION("GOOGLETRANSLATE(A69, ""en"", ""bn"")"),"৬৮")</f>
        <v>৬৮</v>
      </c>
      <c r="K69" s="10" t="str">
        <f>IFERROR(__xludf.DUMMYFUNCTION("GOOGLETRANSLATE(B69, ""en"", ""bn"")"),"লাঠি যুদ্ধের পাশাপাশি, লাঠিয়াল দলগুলি আর কোন কোন অস্ত্র ব্যবহার করে নকল যুদ্ধের কলা শিখত?")</f>
        <v>লাঠি যুদ্ধের পাশাপাশি, লাঠিয়াল দলগুলি আর কোন কোন অস্ত্র ব্যবহার করে নকল যুদ্ধের কলা শিখত?</v>
      </c>
      <c r="L69" s="10" t="str">
        <f>IFERROR(__xludf.DUMMYFUNCTION("GOOGLETRANSLATE(C69, ""en"", ""bn"")"),"ক) বর্শা এবং কুঠার, খ) ছোরা এবং তরবারি, গ) ছুরি এবং তরবারি, ঘ) ধনুক এবং তীর")</f>
        <v>ক) বর্শা এবং কুঠার, খ) ছোরা এবং তরবারি, গ) ছুরি এবং তরবারি, ঘ) ধনুক এবং তীর</v>
      </c>
      <c r="M69" s="10" t="str">
        <f>IFERROR(__xludf.DUMMYFUNCTION("GOOGLETRANSLATE(D69, ""en"", ""bn"")"),"গ) ছুরি এবং তরবারি")</f>
        <v>গ) ছুরি এবং তরবারি</v>
      </c>
      <c r="N69" s="10" t="str">
        <f>IFERROR(__xludf.DUMMYFUNCTION("GOOGLETRANSLATE(E69, ""en"", ""bn"")"),"লাঠিয়ালরা প্রায়শই তাদের প্রশিক্ষণের অংশ হিসেবে দাও খেলা (মাশেতে যুদ্ধ) এবং ফারা খেলা (তলোয়ার যুদ্ধ) শিখত।")</f>
        <v>লাঠিয়ালরা প্রায়শই তাদের প্রশিক্ষণের অংশ হিসেবে দাও খেলা (মাশেতে যুদ্ধ) এবং ফারা খেলা (তলোয়ার যুদ্ধ) শিখত।</v>
      </c>
    </row>
    <row r="70">
      <c r="A70" s="7">
        <v>69.0</v>
      </c>
      <c r="B70" s="7" t="s">
        <v>2292</v>
      </c>
      <c r="C70" s="7" t="s">
        <v>2293</v>
      </c>
      <c r="D70" s="7" t="s">
        <v>2294</v>
      </c>
      <c r="E70" s="7" t="s">
        <v>2295</v>
      </c>
      <c r="J70" s="10" t="str">
        <f>IFERROR(__xludf.DUMMYFUNCTION("GOOGLETRANSLATE(A70, ""en"", ""bn"")"),"৬৯")</f>
        <v>৬৯</v>
      </c>
      <c r="K70" s="10" t="str">
        <f>IFERROR(__xludf.DUMMYFUNCTION("GOOGLETRANSLATE(B70, ""en"", ""bn"")"),"লাঠি খেলা সহ ঐতিহ্যবাহী শিল্পকলা সংরক্ষণের জন্য ১৯৩২ সালে গুরুসদয় দত্ত যে আন্দোলন শুরু করেছিলেন তার নাম কী ছিল?")</f>
        <v>লাঠি খেলা সহ ঐতিহ্যবাহী শিল্পকলা সংরক্ষণের জন্য ১৯৩২ সালে গুরুসদয় দত্ত যে আন্দোলন শুরু করেছিলেন তার নাম কী ছিল?</v>
      </c>
      <c r="L70" s="10" t="str">
        <f>IFERROR(__xludf.DUMMYFUNCTION("GOOGLETRANSLATE(C70, ""en"", ""bn"")"),"A) অনুশীলন সমিতি, B) ব্রতচারী আন্দোলন, C) সাধোনা সাংস্কৃতিক বৃত্ত, D) ভারত সেবাশ্রম সংঘ")</f>
        <v>A) অনুশীলন সমিতি, B) ব্রতচারী আন্দোলন, C) সাধোনা সাংস্কৃতিক বৃত্ত, D) ভারত সেবাশ্রম সংঘ</v>
      </c>
      <c r="M70" s="10" t="str">
        <f>IFERROR(__xludf.DUMMYFUNCTION("GOOGLETRANSLATE(D70, ""en"", ""bn"")"),"খ) ব্রতচারী আন্দোলন")</f>
        <v>খ) ব্রতচারী আন্দোলন</v>
      </c>
      <c r="N70" s="10" t="str">
        <f>IFERROR(__xludf.DUMMYFUNCTION("GOOGLETRANSLATE(E70, ""en"", ""bn"")"),"ব্রতচারী আন্দোলন ছিল বাংলার ঐতিহ্যবাহী শিল্প ও ঐতিহ্য সংরক্ষণের লক্ষ্যে একটি সাংস্কৃতিক উদ্যোগ।")</f>
        <v>ব্রতচারী আন্দোলন ছিল বাংলার ঐতিহ্যবাহী শিল্প ও ঐতিহ্য সংরক্ষণের লক্ষ্যে একটি সাংস্কৃতিক উদ্যোগ।</v>
      </c>
    </row>
    <row r="71">
      <c r="A71" s="7">
        <v>70.0</v>
      </c>
      <c r="B71" s="7" t="s">
        <v>2296</v>
      </c>
      <c r="C71" s="7" t="s">
        <v>2297</v>
      </c>
      <c r="D71" s="7" t="s">
        <v>2298</v>
      </c>
      <c r="E71" s="7" t="s">
        <v>2299</v>
      </c>
      <c r="J71" s="10" t="str">
        <f>IFERROR(__xludf.DUMMYFUNCTION("GOOGLETRANSLATE(A71, ""en"", ""bn"")"),"৭০")</f>
        <v>৭০</v>
      </c>
      <c r="K71" s="10" t="str">
        <f>IFERROR(__xludf.DUMMYFUNCTION("GOOGLETRANSLATE(B71, ""en"", ""bn"")"),"আধুনিক বাংলাদেশে লাঠিখেলা পুনরুজ্জীবিত ও প্রচারের জন্য কোন সংস্থা কাজ করে?")</f>
        <v>আধুনিক বাংলাদেশে লাঠিখেলা পুনরুজ্জীবিত ও প্রচারের জন্য কোন সংস্থা কাজ করে?</v>
      </c>
      <c r="L71" s="10" t="str">
        <f>IFERROR(__xludf.DUMMYFUNCTION("GOOGLETRANSLATE(C71, ""en"", ""bn"")"),"A) সাধোনা কালচারাল সার্কেল, B) ঢাকা অনুশীলন সমিতি, C) ভারত সেবাশ্রম সংঘ, D) এশিয়াটিক সোসাইটি অফ বাংলাদেশ")</f>
        <v>A) সাধোনা কালচারাল সার্কেল, B) ঢাকা অনুশীলন সমিতি, C) ভারত সেবাশ্রম সংঘ, D) এশিয়াটিক সোসাইটি অফ বাংলাদেশ</v>
      </c>
      <c r="M71" s="10" t="str">
        <f>IFERROR(__xludf.DUMMYFUNCTION("GOOGLETRANSLATE(D71, ""en"", ""bn"")"),"ক) সাধনা সাংস্কৃতিক বৃত্ত")</f>
        <v>ক) সাধনা সাংস্কৃতিক বৃত্ত</v>
      </c>
      <c r="N71" s="10" t="str">
        <f>IFERROR(__xludf.DUMMYFUNCTION("GOOGLETRANSLATE(E71, ""en"", ""bn"")"),"সাধোনা কালচারাল সার্কেল লাঠি খেলার প্রচারের জন্য একটি প্রকল্প চালু করেছে এবং এটিকে পুনরুজ্জীবনের কেন্দ্র হিসেবে দেখা হয়।")</f>
        <v>সাধোনা কালচারাল সার্কেল লাঠি খেলার প্রচারের জন্য একটি প্রকল্প চালু করেছে এবং এটিকে পুনরুজ্জীবনের কেন্দ্র হিসেবে দেখা হয়।</v>
      </c>
    </row>
    <row r="72">
      <c r="A72" s="7">
        <v>71.0</v>
      </c>
      <c r="B72" s="7" t="s">
        <v>2300</v>
      </c>
      <c r="C72" s="7" t="s">
        <v>2301</v>
      </c>
      <c r="D72" s="7" t="s">
        <v>2302</v>
      </c>
      <c r="E72" s="7" t="s">
        <v>2303</v>
      </c>
      <c r="J72" s="10" t="str">
        <f>IFERROR(__xludf.DUMMYFUNCTION("GOOGLETRANSLATE(A72, ""en"", ""bn"")"),"৭১")</f>
        <v>৭১</v>
      </c>
      <c r="K72" s="10" t="str">
        <f>IFERROR(__xludf.DUMMYFUNCTION("GOOGLETRANSLATE(B72, ""en"", ""bn"")"),"গ্রামাঞ্চলে অতীতে লাঠি খেলা প্রতিযোগিতা কোন ধরণের সামাজিক অনুষ্ঠান পরিবেশন করত?")</f>
        <v>গ্রামাঞ্চলে অতীতে লাঠি খেলা প্রতিযোগিতা কোন ধরণের সামাজিক অনুষ্ঠান পরিবেশন করত?</v>
      </c>
      <c r="L72" s="10" t="str">
        <f>IFERROR(__xludf.DUMMYFUNCTION("GOOGLETRANSLATE(C72, ""en"", ""bn"")"),"ক) সম্পদ অর্জনের একটি উপায়, খ) জমি দখল বা রক্ষা করার একটি পদ্ধতি, গ) ধর্মীয় ত্যাগের একটি রূপ, ঘ) বিনোদনের একটি রূপ")</f>
        <v>ক) সম্পদ অর্জনের একটি উপায়, খ) জমি দখল বা রক্ষা করার একটি পদ্ধতি, গ) ধর্মীয় ত্যাগের একটি রূপ, ঘ) বিনোদনের একটি রূপ</v>
      </c>
      <c r="M72" s="10" t="str">
        <f>IFERROR(__xludf.DUMMYFUNCTION("GOOGLETRANSLATE(D72, ""en"", ""bn"")"),"খ) জমি দখল বা রক্ষা করার একটি পদ্ধতি")</f>
        <v>খ) জমি দখল বা রক্ষা করার একটি পদ্ধতি</v>
      </c>
      <c r="N72" s="10" t="str">
        <f>IFERROR(__xludf.DUMMYFUNCTION("GOOGLETRANSLATE(E72, ""en"", ""bn"")"),"জমি এবং অন্যান্য সম্পত্তির বিরোধ নিষ্পত্তির জন্য কখনও কখনও লাঠিয়ালদের মধ্যে দ্বন্দ্বযুদ্ধ ব্যবহৃত হত।")</f>
        <v>জমি এবং অন্যান্য সম্পত্তির বিরোধ নিষ্পত্তির জন্য কখনও কখনও লাঠিয়ালদের মধ্যে দ্বন্দ্বযুদ্ধ ব্যবহৃত হত।</v>
      </c>
    </row>
    <row r="73">
      <c r="A73" s="7">
        <v>72.0</v>
      </c>
      <c r="B73" s="7" t="s">
        <v>2304</v>
      </c>
      <c r="C73" s="7" t="s">
        <v>2305</v>
      </c>
      <c r="D73" s="7" t="s">
        <v>2306</v>
      </c>
      <c r="E73" s="7" t="s">
        <v>2307</v>
      </c>
      <c r="J73" s="10" t="str">
        <f>IFERROR(__xludf.DUMMYFUNCTION("GOOGLETRANSLATE(A73, ""en"", ""bn"")"),"৭২")</f>
        <v>৭২</v>
      </c>
      <c r="K73" s="10" t="str">
        <f>IFERROR(__xludf.DUMMYFUNCTION("GOOGLETRANSLATE(B73, ""en"", ""bn"")"),"লাঠি খেলার প্রসঙ্গে ""বাড়ি"" কী?")</f>
        <v>লাঠি খেলার প্রসঙ্গে "বাড়ি" কী?</v>
      </c>
      <c r="L73" s="10" t="str">
        <f>IFERROR(__xludf.DUMMYFUNCTION("GOOGLETRANSLATE(C73, ""en"", ""bn"")"),"ক) এক ধরণের ঢাল, খ) একটি ছোট লাঠি, গ) একটি প্রশিক্ষণ ক্ষেত্র, ঘ) একটি যুদ্ধের ধরণ")</f>
        <v>ক) এক ধরণের ঢাল, খ) একটি ছোট লাঠি, গ) একটি প্রশিক্ষণ ক্ষেত্র, ঘ) একটি যুদ্ধের ধরণ</v>
      </c>
      <c r="M73" s="10" t="str">
        <f>IFERROR(__xludf.DUMMYFUNCTION("GOOGLETRANSLATE(D73, ""en"", ""bn"")"),"খ) একটি ছোট লাঠি")</f>
        <v>খ) একটি ছোট লাঠি</v>
      </c>
      <c r="N73" s="10" t="str">
        <f>IFERROR(__xludf.DUMMYFUNCTION("GOOGLETRANSLATE(E73, ""en"", ""bn"")"),"বারি হল লাঠিখেলায় ব্যবহৃত একটি ছোট লাঠি, যা কখনও কখনও কাঠির মতো ব্যবহার করা হয়।")</f>
        <v>বারি হল লাঠিখেলায় ব্যবহৃত একটি ছোট লাঠি, যা কখনও কখনও কাঠির মতো ব্যবহার করা হয়।</v>
      </c>
    </row>
    <row r="74">
      <c r="A74" s="7">
        <v>73.0</v>
      </c>
      <c r="B74" s="7" t="s">
        <v>2308</v>
      </c>
      <c r="C74" s="7" t="s">
        <v>2309</v>
      </c>
      <c r="D74" s="7" t="s">
        <v>2310</v>
      </c>
      <c r="E74" s="7" t="s">
        <v>2311</v>
      </c>
      <c r="J74" s="10" t="str">
        <f>IFERROR(__xludf.DUMMYFUNCTION("GOOGLETRANSLATE(A74, ""en"", ""bn"")"),"৭৩")</f>
        <v>৭৩</v>
      </c>
      <c r="K74" s="10" t="str">
        <f>IFERROR(__xludf.DUMMYFUNCTION("GOOGLETRANSLATE(B74, ""en"", ""bn"")"),"ব্রিটিশদের বিরুদ্ধে লড়াই করার জন্য লাঠিখেলার যুবকদের প্রশিক্ষণ দেওয়ার জন্য বিপ্লবী পুলিন বিহারী দাস যে প্রতিষ্ঠানটি প্রতিষ্ঠা করেছিলেন তার নাম কী ছিল?")</f>
        <v>ব্রিটিশদের বিরুদ্ধে লড়াই করার জন্য লাঠিখেলার যুবকদের প্রশিক্ষণ দেওয়ার জন্য বিপ্লবী পুলিন বিহারী দাস যে প্রতিষ্ঠানটি প্রতিষ্ঠা করেছিলেন তার নাম কী ছিল?</v>
      </c>
      <c r="L74" s="10" t="str">
        <f>IFERROR(__xludf.DUMMYFUNCTION("GOOGLETRANSLATE(C74, ""en"", ""bn"")"),"A) সাধোনা সাংস্কৃতিক বৃত্ত, B) বঙ্গীয় ব্যায়াম সমিতি, C) ব্রতচারী আন্দোলন, D) ভারত সেবাশ্রম সংঘ")</f>
        <v>A) সাধোনা সাংস্কৃতিক বৃত্ত, B) বঙ্গীয় ব্যায়াম সমিতি, C) ব্রতচারী আন্দোলন, D) ভারত সেবাশ্রম সংঘ</v>
      </c>
      <c r="M74" s="10" t="str">
        <f>IFERROR(__xludf.DUMMYFUNCTION("GOOGLETRANSLATE(D74, ""en"", ""bn"")"),"খ) বঙ্গীয় ব্যায়াম সমিতি")</f>
        <v>খ) বঙ্গীয় ব্যায়াম সমিতি</v>
      </c>
      <c r="N74" s="10" t="str">
        <f>IFERROR(__xludf.DUMMYFUNCTION("GOOGLETRANSLATE(E74, ""en"", ""bn"")"),"ব্রিটিশ বিরোধী প্রতিরোধের অংশ হিসেবে যুবকদের লাঠি ও তরবারি যুদ্ধে প্রশিক্ষণ দেওয়ার জন্য পুলিন বিহারী দাস বঙ্গীয় ব্যায়াম সমিতি প্রতিষ্ঠা করেছিলেন।")</f>
        <v>ব্রিটিশ বিরোধী প্রতিরোধের অংশ হিসেবে যুবকদের লাঠি ও তরবারি যুদ্ধে প্রশিক্ষণ দেওয়ার জন্য পুলিন বিহারী দাস বঙ্গীয় ব্যায়াম সমিতি প্রতিষ্ঠা করেছিলেন।</v>
      </c>
    </row>
    <row r="75">
      <c r="A75" s="7">
        <v>74.0</v>
      </c>
      <c r="B75" s="7" t="s">
        <v>2312</v>
      </c>
      <c r="C75" s="7" t="s">
        <v>2313</v>
      </c>
      <c r="D75" s="7" t="s">
        <v>2314</v>
      </c>
      <c r="E75" s="7" t="s">
        <v>2315</v>
      </c>
      <c r="J75" s="10" t="str">
        <f>IFERROR(__xludf.DUMMYFUNCTION("GOOGLETRANSLATE(A75, ""en"", ""bn"")"),"৭৪")</f>
        <v>৭৪</v>
      </c>
      <c r="K75" s="10" t="str">
        <f>IFERROR(__xludf.DUMMYFUNCTION("GOOGLETRANSLATE(B75, ""en"", ""bn"")"),"কিছু দক্ষিণ এশীয় ভাষায় একটি প্রবাদ আছে: ""যে লাঠি চালায় সে..."" কী রাখে?")</f>
        <v>কিছু দক্ষিণ এশীয় ভাষায় একটি প্রবাদ আছে: "যে লাঠি চালায় সে..." কী রাখে?</v>
      </c>
      <c r="L75" s="10" t="str">
        <f>IFERROR(__xludf.DUMMYFUNCTION("GOOGLETRANSLATE(C75, ""en"", ""bn"")"),"ক) জমি, খ) টাকা, গ) মহিষ, ঘ) বাড়ি")</f>
        <v>ক) জমি, খ) টাকা, গ) মহিষ, ঘ) বাড়ি</v>
      </c>
      <c r="M75" s="10" t="str">
        <f>IFERROR(__xludf.DUMMYFUNCTION("GOOGLETRANSLATE(D75, ""en"", ""bn"")"),"গ) মহিষ")</f>
        <v>গ) মহিষ</v>
      </c>
      <c r="N75" s="10" t="str">
        <f>IFERROR(__xludf.DUMMYFUNCTION("GOOGLETRANSLATE(E75, ""en"", ""bn"")"),"এই প্রবাদটি লাঠির ব্যবহারকে শক্তি এবং নিয়ন্ত্রণের প্রতীক হিসেবে চিত্রিত করে।")</f>
        <v>এই প্রবাদটি লাঠির ব্যবহারকে শক্তি এবং নিয়ন্ত্রণের প্রতীক হিসেবে চিত্রিত করে।</v>
      </c>
    </row>
    <row r="76">
      <c r="A76" s="7">
        <v>75.0</v>
      </c>
      <c r="B76" s="7" t="s">
        <v>2316</v>
      </c>
      <c r="C76" s="7" t="s">
        <v>2317</v>
      </c>
      <c r="D76" s="7" t="s">
        <v>2318</v>
      </c>
      <c r="E76" s="7" t="s">
        <v>2319</v>
      </c>
      <c r="J76" s="10" t="str">
        <f>IFERROR(__xludf.DUMMYFUNCTION("GOOGLETRANSLATE(A76, ""en"", ""bn"")"),"৭৫")</f>
        <v>৭৫</v>
      </c>
      <c r="K76" s="10" t="str">
        <f>IFERROR(__xludf.DUMMYFUNCTION("GOOGLETRANSLATE(B76, ""en"", ""bn"")"),"ঐতিহ্যবাহী উৎসব এবং বিবাহের সময় লাঠি খেলা কোন ধরণের পরিবেশনার সাথে সম্পর্কিত বলে পরিচিত?")</f>
        <v>ঐতিহ্যবাহী উৎসব এবং বিবাহের সময় লাঠি খেলা কোন ধরণের পরিবেশনার সাথে সম্পর্কিত বলে পরিচিত?</v>
      </c>
      <c r="L76" s="10" t="str">
        <f>IFERROR(__xludf.DUMMYFUNCTION("GOOGLETRANSLATE(C76, ""en"", ""bn"")"),"ক) সঙ্গীত পরিবেশনা, খ) নাট্য নাটক, গ) উপহাসের লড়াই, ঘ) কবিতা পাঠ")</f>
        <v>ক) সঙ্গীত পরিবেশনা, খ) নাট্য নাটক, গ) উপহাসের লড়াই, ঘ) কবিতা পাঠ</v>
      </c>
      <c r="M76" s="10" t="str">
        <f>IFERROR(__xludf.DUMMYFUNCTION("GOOGLETRANSLATE(D76, ""en"", ""bn"")"),"গ) নকল মারামারি")</f>
        <v>গ) নকল মারামারি</v>
      </c>
      <c r="N76" s="10" t="str">
        <f>IFERROR(__xludf.DUMMYFUNCTION("GOOGLETRANSLATE(E76, ""en"", ""bn"")"),"লাঠি খেলা প্রায়শই নৃত্য পরিবেশনা হিসেবে উপস্থাপিত হয়, যেখানে নৃত্য পরিবেশনায় নৃত্য পরিবেশনা এবং ছন্দবদ্ধ রুটিন থাকে।")</f>
        <v>লাঠি খেলা প্রায়শই নৃত্য পরিবেশনা হিসেবে উপস্থাপিত হয়, যেখানে নৃত্য পরিবেশনায় নৃত্য পরিবেশনা এবং ছন্দবদ্ধ রুটিন থাকে।</v>
      </c>
    </row>
    <row r="77">
      <c r="A77" s="7">
        <v>76.0</v>
      </c>
      <c r="B77" s="7" t="s">
        <v>2320</v>
      </c>
      <c r="C77" s="7" t="s">
        <v>2321</v>
      </c>
      <c r="D77" s="7" t="s">
        <v>2322</v>
      </c>
      <c r="E77" s="7" t="s">
        <v>2323</v>
      </c>
      <c r="J77" s="10" t="str">
        <f>IFERROR(__xludf.DUMMYFUNCTION("GOOGLETRANSLATE(A77, ""en"", ""bn"")"),"৭৬")</f>
        <v>৭৬</v>
      </c>
      <c r="K77" s="10" t="str">
        <f>IFERROR(__xludf.DUMMYFUNCTION("GOOGLETRANSLATE(B77, ""en"", ""bn"")"),"প্রাচীনকালে লাঠিখেলা দক্ষতা কোন ধরণের সম্প্রদায়কে দস্যু এবং বন্যপ্রাণীর হাত থেকে রক্ষা করতে সাহায্য করেছিল?")</f>
        <v>প্রাচীনকালে লাঠিখেলা দক্ষতা কোন ধরণের সম্প্রদায়কে দস্যু এবং বন্যপ্রাণীর হাত থেকে রক্ষা করতে সাহায্য করেছিল?</v>
      </c>
      <c r="L77" s="10" t="str">
        <f>IFERROR(__xludf.DUMMYFUNCTION("GOOGLETRANSLATE(C77, ""en"", ""bn"")"),"ক) উপকূলীয় গ্রাম, খ) বন বসতি, গ) নগর কেন্দ্র, ঘ) গ্রামীণ গ্রামাঞ্চল")</f>
        <v>ক) উপকূলীয় গ্রাম, খ) বন বসতি, গ) নগর কেন্দ্র, ঘ) গ্রামীণ গ্রামাঞ্চল</v>
      </c>
      <c r="M77" s="10" t="str">
        <f>IFERROR(__xludf.DUMMYFUNCTION("GOOGLETRANSLATE(D77, ""en"", ""bn"")"),"ঘ) গ্রামীণ গ্রামাঞ্চল")</f>
        <v>ঘ) গ্রামীণ গ্রামাঞ্চল</v>
      </c>
      <c r="N77" s="10" t="str">
        <f>IFERROR(__xludf.DUMMYFUNCTION("GOOGLETRANSLATE(E77, ""en"", ""bn"")"),"দস্যু এবং বন্য প্রাণীর মতো হুমকি থেকে গ্রামাঞ্চলের গ্রামবাসীদের রক্ষা করার কৌশল হিসেবে মার্শাল আর্ট আবির্ভূত হয়েছিল।")</f>
        <v>দস্যু এবং বন্য প্রাণীর মতো হুমকি থেকে গ্রামাঞ্চলের গ্রামবাসীদের রক্ষা করার কৌশল হিসেবে মার্শাল আর্ট আবির্ভূত হয়েছিল।</v>
      </c>
    </row>
    <row r="78">
      <c r="A78" s="7">
        <v>77.0</v>
      </c>
      <c r="B78" s="7" t="s">
        <v>2324</v>
      </c>
      <c r="C78" s="7" t="s">
        <v>2325</v>
      </c>
      <c r="D78" s="7" t="s">
        <v>2326</v>
      </c>
      <c r="E78" s="7" t="s">
        <v>2327</v>
      </c>
      <c r="J78" s="10" t="str">
        <f>IFERROR(__xludf.DUMMYFUNCTION("GOOGLETRANSLATE(A78, ""en"", ""bn"")"),"৭৭")</f>
        <v>৭৭</v>
      </c>
      <c r="K78" s="10" t="str">
        <f>IFERROR(__xludf.DUMMYFUNCTION("GOOGLETRANSLATE(B78, ""en"", ""bn"")"),"মার্শাল আর্ট হিসেবে ভূমিকা পালন করার পাশাপাশি, লাঠি খেলা কোন কোন বিরোধ নিষ্পত্তির মাধ্যম হিসেবেও কাজ করেছিল?")</f>
        <v>মার্শাল আর্ট হিসেবে ভূমিকা পালন করার পাশাপাশি, লাঠি খেলা কোন কোন বিরোধ নিষ্পত্তির মাধ্যম হিসেবেও কাজ করেছিল?</v>
      </c>
      <c r="L78" s="10" t="str">
        <f>IFERROR(__xludf.DUMMYFUNCTION("GOOGLETRANSLATE(C78, ""en"", ""bn"")"),"ক) পারিবারিক বিরোধ, খ) জমি বা সম্পত্তি, গ) ঋণ, ঘ) ব্যক্তিগত সম্মান")</f>
        <v>ক) পারিবারিক বিরোধ, খ) জমি বা সম্পত্তি, গ) ঋণ, ঘ) ব্যক্তিগত সম্মান</v>
      </c>
      <c r="M78" s="10" t="str">
        <f>IFERROR(__xludf.DUMMYFUNCTION("GOOGLETRANSLATE(D78, ""en"", ""bn"")"),"খ) জমি বা সম্পত্তি")</f>
        <v>খ) জমি বা সম্পত্তি</v>
      </c>
      <c r="N78" s="10" t="str">
        <f>IFERROR(__xludf.DUMMYFUNCTION("GOOGLETRANSLATE(E78, ""en"", ""bn"")"),"অতীতে, জমি সংক্রান্ত বিরোধ শান্তিপূর্ণভাবে নিষ্পত্তির জন্য দক্ষ লাঠিয়ালদের মধ্যে ম্যাচ আয়োজন করা হত।")</f>
        <v>অতীতে, জমি সংক্রান্ত বিরোধ শান্তিপূর্ণভাবে নিষ্পত্তির জন্য দক্ষ লাঠিয়ালদের মধ্যে ম্যাচ আয়োজন করা হত।</v>
      </c>
    </row>
    <row r="79">
      <c r="A79" s="7">
        <v>78.0</v>
      </c>
      <c r="B79" s="7" t="s">
        <v>2328</v>
      </c>
      <c r="C79" s="7" t="s">
        <v>2329</v>
      </c>
      <c r="D79" s="7" t="s">
        <v>2330</v>
      </c>
      <c r="E79" s="7" t="s">
        <v>2331</v>
      </c>
      <c r="J79" s="10" t="str">
        <f>IFERROR(__xludf.DUMMYFUNCTION("GOOGLETRANSLATE(A79, ""en"", ""bn"")"),"৭৮")</f>
        <v>৭৮</v>
      </c>
      <c r="K79" s="10" t="str">
        <f>IFERROR(__xludf.DUMMYFUNCTION("GOOGLETRANSLATE(B79, ""en"", ""bn"")"),"যুদ্ধের বাইরে লাঠি খেলা কৌশলের প্রাথমিক লক্ষ্য কী?")</f>
        <v>যুদ্ধের বাইরে লাঠি খেলা কৌশলের প্রাথমিক লক্ষ্য কী?</v>
      </c>
      <c r="L79" s="10" t="str">
        <f>IFERROR(__xludf.DUMMYFUNCTION("GOOGLETRANSLATE(C79, ""en"", ""bn"")"),"ক) শারীরিক দক্ষতা, খ) মানসিক একাগ্রতা, গ) শৈল্পিক অভিব্যক্তি, ঘ) আধ্যাত্মিক ভক্তি")</f>
        <v>ক) শারীরিক দক্ষতা, খ) মানসিক একাগ্রতা, গ) শৈল্পিক অভিব্যক্তি, ঘ) আধ্যাত্মিক ভক্তি</v>
      </c>
      <c r="M79" s="10" t="str">
        <f>IFERROR(__xludf.DUMMYFUNCTION("GOOGLETRANSLATE(D79, ""en"", ""bn"")"),"ক) শারীরিক দক্ষতা")</f>
        <v>ক) শারীরিক দক্ষতা</v>
      </c>
      <c r="N79" s="10" t="str">
        <f>IFERROR(__xludf.DUMMYFUNCTION("GOOGLETRANSLATE(E79, ""en"", ""bn"")"),"লাঠি খেলা এমন একটি শিল্প হিসেবে সমাদৃত যা শারীরিক দক্ষতা, শৃঙ্খলা এবং সাংস্কৃতিক তাৎপর্যের মিশ্রণ ঘটায়।")</f>
        <v>লাঠি খেলা এমন একটি শিল্প হিসেবে সমাদৃত যা শারীরিক দক্ষতা, শৃঙ্খলা এবং সাংস্কৃতিক তাৎপর্যের মিশ্রণ ঘটায়।</v>
      </c>
    </row>
    <row r="80">
      <c r="A80" s="7">
        <v>79.0</v>
      </c>
      <c r="B80" s="7" t="s">
        <v>2332</v>
      </c>
      <c r="C80" s="7" t="s">
        <v>2333</v>
      </c>
      <c r="D80" s="7" t="s">
        <v>2334</v>
      </c>
      <c r="E80" s="7" t="s">
        <v>2335</v>
      </c>
      <c r="J80" s="10" t="str">
        <f>IFERROR(__xludf.DUMMYFUNCTION("GOOGLETRANSLATE(A80, ""en"", ""bn"")"),"৭৯")</f>
        <v>৭৯</v>
      </c>
      <c r="K80" s="10" t="str">
        <f>IFERROR(__xludf.DUMMYFUNCTION("GOOGLETRANSLATE(B80, ""en"", ""bn"")"),"লাঠি খেলায় নাট্য প্রদর্শনের সাথে প্রায়শই কী থাকে?")</f>
        <v>লাঠি খেলায় নাট্য প্রদর্শনের সাথে প্রায়শই কী থাকে?</v>
      </c>
      <c r="L80" s="10" t="str">
        <f>IFERROR(__xludf.DUMMYFUNCTION("GOOGLETRANSLATE(C80, ""en"", ""bn"")"),"ক) গান, খ) ঐতিহ্যবাহী ঢোলবাদন, গ) বাঁশি সঙ্গীত, ঘ) গান গাওয়া")</f>
        <v>ক) গান, খ) ঐতিহ্যবাহী ঢোলবাদন, গ) বাঁশি সঙ্গীত, ঘ) গান গাওয়া</v>
      </c>
      <c r="M80" s="10" t="str">
        <f>IFERROR(__xludf.DUMMYFUNCTION("GOOGLETRANSLATE(D80, ""en"", ""bn"")"),"খ) ঐতিহ্যবাহী ঢোলবাদন")</f>
        <v>খ) ঐতিহ্যবাহী ঢোলবাদন</v>
      </c>
      <c r="N80" s="10" t="str">
        <f>IFERROR(__xludf.DUMMYFUNCTION("GOOGLETRANSLATE(E80, ""en"", ""bn"")"),"ছন্দবদ্ধ রুটিন এবং থিয়েটারের নকল লড়াই প্রায়শই ঐতিহ্যবাহী ঢোলবাদনের সাথে পরিবেশনাকে আরও উন্নত করে।")</f>
        <v>ছন্দবদ্ধ রুটিন এবং থিয়েটারের নকল লড়াই প্রায়শই ঐতিহ্যবাহী ঢোলবাদনের সাথে পরিবেশনাকে আরও উন্নত করে।</v>
      </c>
    </row>
    <row r="81">
      <c r="A81" s="7">
        <v>80.0</v>
      </c>
      <c r="B81" s="7" t="s">
        <v>2336</v>
      </c>
      <c r="C81" s="7" t="s">
        <v>2337</v>
      </c>
      <c r="D81" s="7" t="s">
        <v>2338</v>
      </c>
      <c r="E81" s="7" t="s">
        <v>2339</v>
      </c>
      <c r="J81" s="10" t="str">
        <f>IFERROR(__xludf.DUMMYFUNCTION("GOOGLETRANSLATE(A81, ""en"", ""bn"")"),"৮০")</f>
        <v>৮০</v>
      </c>
      <c r="K81" s="10" t="str">
        <f>IFERROR(__xludf.DUMMYFUNCTION("GOOGLETRANSLATE(B81, ""en"", ""bn"")"),"লাঠিখেলা বাংলাদেশের সাংস্কৃতিক পরিচয়ের একটি অংশ হিসেবে বিবেচিত এবং কীসের প্রতীক হিসেবে লালিত হয়?")</f>
        <v>লাঠিখেলা বাংলাদেশের সাংস্কৃতিক পরিচয়ের একটি অংশ হিসেবে বিবেচিত এবং কীসের প্রতীক হিসেবে লালিত হয়?</v>
      </c>
      <c r="L81" s="10" t="str">
        <f>IFERROR(__xludf.DUMMYFUNCTION("GOOGLETRANSLATE(C81, ""en"", ""bn"")"),"ক) গ্রামীণ শক্তি ও গর্ব, খ) অর্থনৈতিক সমৃদ্ধি, গ) সামরিক শক্তি, ঘ) রাজনৈতিক ক্ষমতা")</f>
        <v>ক) গ্রামীণ শক্তি ও গর্ব, খ) অর্থনৈতিক সমৃদ্ধি, গ) সামরিক শক্তি, ঘ) রাজনৈতিক ক্ষমতা</v>
      </c>
      <c r="M81" s="10" t="str">
        <f>IFERROR(__xludf.DUMMYFUNCTION("GOOGLETRANSLATE(D81, ""en"", ""bn"")"),"ক) গ্রামীণ শক্তি এবং গর্ব")</f>
        <v>ক) গ্রামীণ শক্তি এবং গর্ব</v>
      </c>
      <c r="N81" s="10" t="str">
        <f>IFERROR(__xludf.DUMMYFUNCTION("GOOGLETRANSLATE(E81, ""en"", ""bn"")"),"মার্শাল আর্ট একটি মার্শাল দক্ষতা থেকে গ্রামীণ শক্তি, সাহসিকতা এবং গর্বের প্রতীকে বিকশিত হয়েছে।")</f>
        <v>মার্শাল আর্ট একটি মার্শাল দক্ষতা থেকে গ্রামীণ শক্তি, সাহসিকতা এবং গর্বের প্রতীকে বিকশিত হয়েছে।</v>
      </c>
    </row>
    <row r="82">
      <c r="A82" s="7">
        <v>81.0</v>
      </c>
      <c r="B82" s="7" t="s">
        <v>2340</v>
      </c>
      <c r="C82" s="7" t="s">
        <v>2341</v>
      </c>
      <c r="D82" s="7" t="s">
        <v>119</v>
      </c>
      <c r="E82" s="7" t="s">
        <v>2342</v>
      </c>
      <c r="J82" s="10" t="str">
        <f>IFERROR(__xludf.DUMMYFUNCTION("GOOGLETRANSLATE(A82, ""en"", ""bn"")"),"৮১")</f>
        <v>৮১</v>
      </c>
      <c r="K82" s="10" t="str">
        <f>IFERROR(__xludf.DUMMYFUNCTION("GOOGLETRANSLATE(B82, ""en"", ""bn"")"),"বাংলাদেশের কোন উৎসবে লাঠি খেলা সবচেয়ে বেশি দেখা যায়?")</f>
        <v>বাংলাদেশের কোন উৎসবে লাঠি খেলা সবচেয়ে বেশি দেখা যায়?</v>
      </c>
      <c r="L82" s="10" t="str">
        <f>IFERROR(__xludf.DUMMYFUNCTION("GOOGLETRANSLATE(C82, ""en"", ""bn"")"),"A) ঈদ, B) পহেলা বৈশাখ, C) দুর্গাপূজা, D) বিজয় দিবস")</f>
        <v>A) ঈদ, B) পহেলা বৈশাখ, C) দুর্গাপূজা, D) বিজয় দিবস</v>
      </c>
      <c r="M82" s="10" t="str">
        <f>IFERROR(__xludf.DUMMYFUNCTION("GOOGLETRANSLATE(D82, ""en"", ""bn"")"),"খ) পহেলা বৈশাখ")</f>
        <v>খ) পহেলা বৈশাখ</v>
      </c>
      <c r="N82" s="10" t="str">
        <f>IFERROR(__xludf.DUMMYFUNCTION("GOOGLETRANSLATE(E82, ""en"", ""bn"")"),"লাঠি খেলা প্রদর্শন প্রায়ই পহেলা বৈশাখ, বাংলা নববর্ষের উদযাপনের একটি হাইলাইট।")</f>
        <v>লাঠি খেলা প্রদর্শন প্রায়ই পহেলা বৈশাখ, বাংলা নববর্ষের উদযাপনের একটি হাইলাইট।</v>
      </c>
    </row>
    <row r="83">
      <c r="A83" s="7">
        <v>82.0</v>
      </c>
      <c r="B83" s="7" t="s">
        <v>2343</v>
      </c>
      <c r="C83" s="7" t="s">
        <v>2344</v>
      </c>
      <c r="D83" s="7" t="s">
        <v>2345</v>
      </c>
      <c r="E83" s="7" t="s">
        <v>2346</v>
      </c>
      <c r="J83" s="10" t="str">
        <f>IFERROR(__xludf.DUMMYFUNCTION("GOOGLETRANSLATE(A83, ""en"", ""bn"")"),"৮২")</f>
        <v>৮২</v>
      </c>
      <c r="K83" s="10" t="str">
        <f>IFERROR(__xludf.DUMMYFUNCTION("GOOGLETRANSLATE(B83, ""en"", ""bn"")"),"লাঠি খেলা, অন্যান্য ঐতিহ্যবাহী মার্শাল আর্টের সাথে, ঐতিহাসিকভাবে গ্রামবাসীদের কার হাত থেকে রক্ষা করার প্রয়োজনীয়তার সাথে যুক্ত?")</f>
        <v>লাঠি খেলা, অন্যান্য ঐতিহ্যবাহী মার্শাল আর্টের সাথে, ঐতিহাসিকভাবে গ্রামবাসীদের কার হাত থেকে রক্ষা করার প্রয়োজনীয়তার সাথে যুক্ত?</v>
      </c>
      <c r="L83" s="10" t="str">
        <f>IFERROR(__xludf.DUMMYFUNCTION("GOOGLETRANSLATE(C83, ""en"", ""bn"")"),"ক) প্রতিবেশী দেশ, খ) জমিদার, গ) ব্রিটিশ কর্মকর্তা, ঘ) ইউরোপীয় বণিক")</f>
        <v>ক) প্রতিবেশী দেশ, খ) জমিদার, গ) ব্রিটিশ কর্মকর্তা, ঘ) ইউরোপীয় বণিক</v>
      </c>
      <c r="M83" s="10" t="str">
        <f>IFERROR(__xludf.DUMMYFUNCTION("GOOGLETRANSLATE(D83, ""en"", ""bn"")"),"খ) জমিদার")</f>
        <v>খ) জমিদার</v>
      </c>
      <c r="N83" s="10" t="str">
        <f>IFERROR(__xludf.DUMMYFUNCTION("GOOGLETRANSLATE(E83, ""en"", ""bn"")"),"লাঠি খেলার মতো বাংলাদেশী মার্শাল আর্টের উৎপত্তির কারণ হিসেবে বলা হয় শক্তিশালী জমিদারদের হাত থেকে গ্রামবাসীদের রক্ষা করার প্রয়োজনীয়তা।")</f>
        <v>লাঠি খেলার মতো বাংলাদেশী মার্শাল আর্টের উৎপত্তির কারণ হিসেবে বলা হয় শক্তিশালী জমিদারদের হাত থেকে গ্রামবাসীদের রক্ষা করার প্রয়োজনীয়তা।</v>
      </c>
    </row>
    <row r="84">
      <c r="A84" s="7">
        <v>83.0</v>
      </c>
      <c r="B84" s="7" t="s">
        <v>2347</v>
      </c>
      <c r="C84" s="7" t="s">
        <v>2348</v>
      </c>
      <c r="D84" s="7" t="s">
        <v>2349</v>
      </c>
      <c r="E84" s="7" t="s">
        <v>2350</v>
      </c>
      <c r="J84" s="10" t="str">
        <f>IFERROR(__xludf.DUMMYFUNCTION("GOOGLETRANSLATE(A84, ""en"", ""bn"")"),"৮৩")</f>
        <v>৮৩</v>
      </c>
      <c r="K84" s="10" t="str">
        <f>IFERROR(__xludf.DUMMYFUNCTION("GOOGLETRANSLATE(B84, ""en"", ""bn"")"),"""লাঠিয়াল বাহিনী"" বলতে কী বোঝায়?")</f>
        <v>"লাঠিয়াল বাহিনী" বলতে কী বোঝায়?</v>
      </c>
      <c r="L84" s="10" t="str">
        <f>IFERROR(__xludf.DUMMYFUNCTION("GOOGLETRANSLATE(C84, ""en"", ""bn"")"),"ক) এক ধরণের লাঠি, খ) একদল লাঠিয়াল, গ) একটি বাদ্যযন্ত্র, ঘ) একটি প্রশিক্ষণ কৌশল")</f>
        <v>ক) এক ধরণের লাঠি, খ) একদল লাঠিয়াল, গ) একটি বাদ্যযন্ত্র, ঘ) একটি প্রশিক্ষণ কৌশল</v>
      </c>
      <c r="M84" s="10" t="str">
        <f>IFERROR(__xludf.DUMMYFUNCTION("GOOGLETRANSLATE(D84, ""en"", ""bn"")"),"খ) লাঠিয়ালদের একটি দল")</f>
        <v>খ) লাঠিয়ালদের একটি দল</v>
      </c>
      <c r="N84" s="10" t="str">
        <f>IFERROR(__xludf.DUMMYFUNCTION("GOOGLETRANSLATE(E84, ""en"", ""bn"")"),"""লাঠিয়াল বাহিনী"" হল লাঠিয়ালদের একটি দল যারা উৎসবের সময় নৃত্য পরিবেশন করত।")</f>
        <v>"লাঠিয়াল বাহিনী" হল লাঠিয়ালদের একটি দল যারা উৎসবের সময় নৃত্য পরিবেশন করত।</v>
      </c>
    </row>
    <row r="85">
      <c r="A85" s="7">
        <v>84.0</v>
      </c>
      <c r="B85" s="7" t="s">
        <v>2351</v>
      </c>
      <c r="C85" s="7" t="s">
        <v>2352</v>
      </c>
      <c r="D85" s="7" t="s">
        <v>2353</v>
      </c>
      <c r="E85" s="7" t="s">
        <v>2354</v>
      </c>
      <c r="J85" s="10" t="str">
        <f>IFERROR(__xludf.DUMMYFUNCTION("GOOGLETRANSLATE(A85, ""en"", ""bn"")"),"৮৪")</f>
        <v>৮৪</v>
      </c>
      <c r="K85" s="10" t="str">
        <f>IFERROR(__xludf.DUMMYFUNCTION("GOOGLETRANSLATE(B85, ""en"", ""bn"")"),"মধ্যযুগীয় বাংলায় কোন সামাজিক শ্রেণীর মানুষ ঐতিহ্যগতভাবে লাঠি খেলা এবং অন্যান্য যুদ্ধশিল্প অনুশীলন করত?")</f>
        <v>মধ্যযুগীয় বাংলায় কোন সামাজিক শ্রেণীর মানুষ ঐতিহ্যগতভাবে লাঠি খেলা এবং অন্যান্য যুদ্ধশিল্প অনুশীলন করত?</v>
      </c>
      <c r="L85" s="10" t="str">
        <f>IFERROR(__xludf.DUMMYFUNCTION("GOOGLETRANSLATE(C85, ""en"", ""bn"")"),"ক) অভিজাত, খ) জমিদার, গ) কৃষক ও যুবক, ঘ) বুদ্ধিজীবী")</f>
        <v>ক) অভিজাত, খ) জমিদার, গ) কৃষক ও যুবক, ঘ) বুদ্ধিজীবী</v>
      </c>
      <c r="M85" s="10" t="str">
        <f>IFERROR(__xludf.DUMMYFUNCTION("GOOGLETRANSLATE(D85, ""en"", ""bn"")"),"গ) কৃষক ও যুবসমাজ")</f>
        <v>গ) কৃষক ও যুবসমাজ</v>
      </c>
      <c r="N85" s="10" t="str">
        <f>IFERROR(__xludf.DUMMYFUNCTION("GOOGLETRANSLATE(E85, ""en"", ""bn"")"),"ঐতিহাসিকভাবে এই শিল্পটি কৃষক এবং তরুণদের দ্বারা চর্চা করা হত যারা তাদের সম্প্রদায়কে রক্ষা করার জন্য নিজস্ব দল গঠন করত।")</f>
        <v>ঐতিহাসিকভাবে এই শিল্পটি কৃষক এবং তরুণদের দ্বারা চর্চা করা হত যারা তাদের সম্প্রদায়কে রক্ষা করার জন্য নিজস্ব দল গঠন করত।</v>
      </c>
    </row>
    <row r="86">
      <c r="A86" s="7">
        <v>85.0</v>
      </c>
      <c r="B86" s="7" t="s">
        <v>2355</v>
      </c>
      <c r="C86" s="7" t="s">
        <v>2356</v>
      </c>
      <c r="D86" s="7" t="s">
        <v>2357</v>
      </c>
      <c r="E86" s="7" t="s">
        <v>2358</v>
      </c>
      <c r="J86" s="10" t="str">
        <f>IFERROR(__xludf.DUMMYFUNCTION("GOOGLETRANSLATE(A86, ""en"", ""bn"")"),"৮৫")</f>
        <v>৮৫</v>
      </c>
      <c r="K86" s="10" t="str">
        <f>IFERROR(__xludf.DUMMYFUNCTION("GOOGLETRANSLATE(B86, ""en"", ""bn"")"),"আজ লাঠি খেলার জনপ্রিয়তা কমে যাওয়ার একটি প্রধান কারণ কী?")</f>
        <v>আজ লাঠি খেলার জনপ্রিয়তা কমে যাওয়ার একটি প্রধান কারণ কী?</v>
      </c>
      <c r="L86" s="10" t="str">
        <f>IFERROR(__xludf.DUMMYFUNCTION("GOOGLETRANSLATE(C86, ""en"", ""bn"")"),"ক) তরুণদের আগ্রহের অভাব, খ) সরকার কর্তৃক নিষেধাজ্ঞা, গ) আধুনিক খেলাধুলায় বৃদ্ধি, ঘ) প্রশিক্ষণের উচ্চ ব্যয়")</f>
        <v>ক) তরুণদের আগ্রহের অভাব, খ) সরকার কর্তৃক নিষেধাজ্ঞা, গ) আধুনিক খেলাধুলায় বৃদ্ধি, ঘ) প্রশিক্ষণের উচ্চ ব্যয়</v>
      </c>
      <c r="M86" s="10" t="str">
        <f>IFERROR(__xludf.DUMMYFUNCTION("GOOGLETRANSLATE(D86, ""en"", ""bn"")"),"ক) তরুণদের আগ্রহের অভাব")</f>
        <v>ক) তরুণদের আগ্রহের অভাব</v>
      </c>
      <c r="N86" s="10" t="str">
        <f>IFERROR(__xludf.DUMMYFUNCTION("GOOGLETRANSLATE(E86, ""en"", ""bn"")"),"তরুণ প্রজন্মের আগ্রহের অভাবের কারণে শিল্পের অনুশীলনকারী এবং দর্শকদের সংখ্যা হ্রাস পাচ্ছে।")</f>
        <v>তরুণ প্রজন্মের আগ্রহের অভাবের কারণে শিল্পের অনুশীলনকারী এবং দর্শকদের সংখ্যা হ্রাস পাচ্ছে।</v>
      </c>
    </row>
    <row r="87">
      <c r="A87" s="7">
        <v>86.0</v>
      </c>
      <c r="B87" s="7" t="s">
        <v>2359</v>
      </c>
      <c r="C87" s="7" t="s">
        <v>2360</v>
      </c>
      <c r="D87" s="7" t="s">
        <v>2361</v>
      </c>
      <c r="E87" s="7" t="s">
        <v>2362</v>
      </c>
      <c r="J87" s="10" t="str">
        <f>IFERROR(__xludf.DUMMYFUNCTION("GOOGLETRANSLATE(A87, ""en"", ""bn"")"),"৮৬")</f>
        <v>৮৬</v>
      </c>
      <c r="K87" s="10" t="str">
        <f>IFERROR(__xludf.DUMMYFUNCTION("GOOGLETRANSLATE(B87, ""en"", ""bn"")"),"সাম্প্রতিক দশকগুলিতে অনুশীলনকারীদের সংখ্যা হ্রাসের কারণে বাংলাদেশের কুষ্টিয়ায় বার্ষিক দেশব্যাপী লাঠি খেলা সম্মেলন কী পরিবর্তন করেছে?")</f>
        <v>সাম্প্রতিক দশকগুলিতে অনুশীলনকারীদের সংখ্যা হ্রাসের কারণে বাংলাদেশের কুষ্টিয়ায় বার্ষিক দেশব্যাপী লাঠি খেলা সম্মেলন কী পরিবর্তন করেছে?</v>
      </c>
      <c r="L87" s="10" t="str">
        <f>IFERROR(__xludf.DUMMYFUNCTION("GOOGLETRANSLATE(C87, ""en"", ""bn"")"),"ক) এটি ঢাকায় স্থানান্তরিত হয়, খ) এটি বন্ধ করে দেওয়া হয়, গ) এটি দ্বিবার্ষিক অনুষ্ঠান হয়ে ওঠে, ঘ) এটি এখন প্রতি তিন বছরে একবার অনুষ্ঠিত হয়")</f>
        <v>ক) এটি ঢাকায় স্থানান্তরিত হয়, খ) এটি বন্ধ করে দেওয়া হয়, গ) এটি দ্বিবার্ষিক অনুষ্ঠান হয়ে ওঠে, ঘ) এটি এখন প্রতি তিন বছরে একবার অনুষ্ঠিত হয়</v>
      </c>
      <c r="M87" s="10" t="str">
        <f>IFERROR(__xludf.DUMMYFUNCTION("GOOGLETRANSLATE(D87, ""en"", ""bn"")"),"ঘ) এটি এখন প্রতি তিন বছরে একবার অনুষ্ঠিত হয়")</f>
        <v>ঘ) এটি এখন প্রতি তিন বছরে একবার অনুষ্ঠিত হয়</v>
      </c>
      <c r="N87" s="10" t="str">
        <f>IFERROR(__xludf.DUMMYFUNCTION("GOOGLETRANSLATE(E87, ""en"", ""bn"")"),"অংশগ্রহণ হ্রাসের কারণে সম্মেলনের ফ্রিকোয়েন্সি বার্ষিক থেকে প্রতি তিন বছরে একবারে পরিবর্তিত হয়।")</f>
        <v>অংশগ্রহণ হ্রাসের কারণে সম্মেলনের ফ্রিকোয়েন্সি বার্ষিক থেকে প্রতি তিন বছরে একবারে পরিবর্তিত হয়।</v>
      </c>
    </row>
    <row r="88">
      <c r="A88" s="7">
        <v>87.0</v>
      </c>
      <c r="B88" s="7" t="s">
        <v>2363</v>
      </c>
      <c r="C88" s="7" t="s">
        <v>2364</v>
      </c>
      <c r="D88" s="7" t="s">
        <v>2365</v>
      </c>
      <c r="E88" s="7" t="s">
        <v>2366</v>
      </c>
      <c r="J88" s="10" t="str">
        <f>IFERROR(__xludf.DUMMYFUNCTION("GOOGLETRANSLATE(A88, ""en"", ""bn"")"),"৮৭")</f>
        <v>৮৭</v>
      </c>
      <c r="K88" s="10" t="str">
        <f>IFERROR(__xludf.DUMMYFUNCTION("GOOGLETRANSLATE(B88, ""en"", ""bn"")"),"লাঠিয়াল দলগুলির দ্বারা পরিবেশিত ""ছুরি নৃত্য"" কী ব্যবহার করে একটি নকল লড়াই ছিল?")</f>
        <v>লাঠিয়াল দলগুলির দ্বারা পরিবেশিত "ছুরি নৃত্য" কী ব্যবহার করে একটি নকল লড়াই ছিল?</v>
      </c>
      <c r="L88" s="10" t="str">
        <f>IFERROR(__xludf.DUMMYFUNCTION("GOOGLETRANSLATE(C88, ""en"", ""bn"")"),"ক) লাঠি, খ) ছুরি, গ) ছুরি, ঘ) তরবারি")</f>
        <v>ক) লাঠি, খ) ছুরি, গ) ছুরি, ঘ) তরবারি</v>
      </c>
      <c r="M88" s="10" t="str">
        <f>IFERROR(__xludf.DUMMYFUNCTION("GOOGLETRANSLATE(D88, ""en"", ""bn"")"),"গ) ছুরি")</f>
        <v>গ) ছুরি</v>
      </c>
      <c r="N88" s="10" t="str">
        <f>IFERROR(__xludf.DUMMYFUNCTION("GOOGLETRANSLATE(E88, ""en"", ""bn"")"),"""ছুরি নৃত্য""-তে ছুরি ব্যবহার করে একটি নকল লড়াই জড়িত ছিল।")</f>
        <v>"ছুরি নৃত্য"-তে ছুরি ব্যবহার করে একটি নকল লড়াই জড়িত ছিল।</v>
      </c>
    </row>
    <row r="89">
      <c r="A89" s="7">
        <v>88.0</v>
      </c>
      <c r="B89" s="7" t="s">
        <v>2367</v>
      </c>
      <c r="C89" s="7" t="s">
        <v>2368</v>
      </c>
      <c r="D89" s="7" t="s">
        <v>2369</v>
      </c>
      <c r="E89" s="7" t="s">
        <v>2370</v>
      </c>
      <c r="J89" s="10" t="str">
        <f>IFERROR(__xludf.DUMMYFUNCTION("GOOGLETRANSLATE(A89, ""en"", ""bn"")"),"৮৮")</f>
        <v>৮৮</v>
      </c>
      <c r="K89" s="10" t="str">
        <f>IFERROR(__xludf.DUMMYFUNCTION("GOOGLETRANSLATE(B89, ""en"", ""bn"")"),"মাঝে মাঝে অল্প বিরতিতে লাঠির কাঠির সাথে আবদ্ধ লোহার রিংগুলির উদ্দেশ্য কী?")</f>
        <v>মাঝে মাঝে অল্প বিরতিতে লাঠির কাঠির সাথে আবদ্ধ লোহার রিংগুলির উদ্দেশ্য কী?</v>
      </c>
      <c r="L89" s="10" t="str">
        <f>IFERROR(__xludf.DUMMYFUNCTION("GOOGLETRANSLATE(C89, ""en"", ""bn"")"),"ক) এটিকে হালকা করার জন্য, খ) এটিকে আরও সাজসজ্জার জন্য, গ) ওজন এবং শক্তি যোগ করার জন্য, ঘ) এটিকে নমনীয় করার জন্য")</f>
        <v>ক) এটিকে হালকা করার জন্য, খ) এটিকে আরও সাজসজ্জার জন্য, গ) ওজন এবং শক্তি যোগ করার জন্য, ঘ) এটিকে নমনীয় করার জন্য</v>
      </c>
      <c r="M89" s="10" t="str">
        <f>IFERROR(__xludf.DUMMYFUNCTION("GOOGLETRANSLATE(D89, ""en"", ""bn"")"),"গ) ওজন এবং শক্তি যোগ করার জন্য")</f>
        <v>গ) ওজন এবং শক্তি যোগ করার জন্য</v>
      </c>
      <c r="N89" s="10" t="str">
        <f>IFERROR(__xludf.DUMMYFUNCTION("GOOGLETRANSLATE(E89, ""en"", ""bn"")"),"লোহার রিংগুলি বাঁশের কাঠিতে ওজন এবং শক্তি যোগ করে।")</f>
        <v>লোহার রিংগুলি বাঁশের কাঠিতে ওজন এবং শক্তি যোগ করে।</v>
      </c>
    </row>
    <row r="90">
      <c r="A90" s="7">
        <v>89.0</v>
      </c>
      <c r="B90" s="7" t="s">
        <v>2371</v>
      </c>
      <c r="C90" s="7" t="s">
        <v>2372</v>
      </c>
      <c r="D90" s="7" t="s">
        <v>2373</v>
      </c>
      <c r="E90" s="7" t="s">
        <v>2374</v>
      </c>
      <c r="J90" s="10" t="str">
        <f>IFERROR(__xludf.DUMMYFUNCTION("GOOGLETRANSLATE(A90, ""en"", ""bn"")"),"৮৯")</f>
        <v>৮৯</v>
      </c>
      <c r="K90" s="10" t="str">
        <f>IFERROR(__xludf.DUMMYFUNCTION("GOOGLETRANSLATE(B90, ""en"", ""bn"")"),"লাঠিয়াল গোষ্ঠীগুলির ঐতিহাসিক উৎপত্তি কী, যারা ""লাঠিচালক"" নামেও পরিচিত ছিল?")</f>
        <v>লাঠিয়াল গোষ্ঠীগুলির ঐতিহাসিক উৎপত্তি কী, যারা "লাঠিচালক" নামেও পরিচিত ছিল?</v>
      </c>
      <c r="L90" s="10" t="str">
        <f>IFERROR(__xludf.DUMMYFUNCTION("GOOGLETRANSLATE(C90, ""en"", ""bn"")"),"ক) তাদের নিরাপত্তারক্ষী হিসেবে নিয়োগ করা হয়েছিল, খ) তারা ছিলেন ধর্মীয় সন্ন্যাসী, গ) তারা ছিলেন ভ্রমণকারী শিল্পী, ঘ) তারা ছিলেন মার্শাল আর্টের পণ্ডিত।")</f>
        <v>ক) তাদের নিরাপত্তারক্ষী হিসেবে নিয়োগ করা হয়েছিল, খ) তারা ছিলেন ধর্মীয় সন্ন্যাসী, গ) তারা ছিলেন ভ্রমণকারী শিল্পী, ঘ) তারা ছিলেন মার্শাল আর্টের পণ্ডিত।</v>
      </c>
      <c r="M90" s="10" t="str">
        <f>IFERROR(__xludf.DUMMYFUNCTION("GOOGLETRANSLATE(D90, ""en"", ""bn"")"),"ক) তাদের নিরাপত্তারক্ষী হিসেবে নিয়োগ করা হয়েছিল")</f>
        <v>ক) তাদের নিরাপত্তারক্ষী হিসেবে নিয়োগ করা হয়েছিল</v>
      </c>
      <c r="N90" s="10" t="str">
        <f>IFERROR(__xludf.DUMMYFUNCTION("GOOGLETRANSLATE(E90, ""en"", ""bn"")"),"ধনী কৃষক এবং অন্যান্য বিশিষ্ট ব্যক্তিরা নিরাপত্তার জন্য এবং তাদের ক্ষমতার প্রতীক হিসেবে লাঠিয়াল দল ভাড়া করেছিলেন।")</f>
        <v>ধনী কৃষক এবং অন্যান্য বিশিষ্ট ব্যক্তিরা নিরাপত্তার জন্য এবং তাদের ক্ষমতার প্রতীক হিসেবে লাঠিয়াল দল ভাড়া করেছিলেন।</v>
      </c>
    </row>
    <row r="91">
      <c r="A91" s="7">
        <v>90.0</v>
      </c>
      <c r="B91" s="7" t="s">
        <v>2375</v>
      </c>
      <c r="C91" s="7" t="s">
        <v>2376</v>
      </c>
      <c r="D91" s="7" t="s">
        <v>2377</v>
      </c>
      <c r="E91" s="7" t="s">
        <v>2378</v>
      </c>
      <c r="J91" s="10" t="str">
        <f>IFERROR(__xludf.DUMMYFUNCTION("GOOGLETRANSLATE(A91, ""en"", ""bn"")"),"৯০")</f>
        <v>৯০</v>
      </c>
      <c r="K91" s="10" t="str">
        <f>IFERROR(__xludf.DUMMYFUNCTION("GOOGLETRANSLATE(B91, ""en"", ""bn"")"),"লাঠি খেলাকে ধর্মীয় পুণ্য ও আচার হিসেবে পাঠ্যক্রমে অন্তর্ভুক্তকারী ধর্মীয় আন্দোলনের নাম কী?")</f>
        <v>লাঠি খেলাকে ধর্মীয় পুণ্য ও আচার হিসেবে পাঠ্যক্রমে অন্তর্ভুক্তকারী ধর্মীয় আন্দোলনের নাম কী?</v>
      </c>
      <c r="L91" s="10" t="str">
        <f>IFERROR(__xludf.DUMMYFUNCTION("GOOGLETRANSLATE(C91, ""en"", ""bn"")"),"A) আর্য সমাজ, B) ভারত সেবাশ্রম সংঘ, C) রামকৃষ্ণ মিশন, D) থিওসফিক্যাল সোসাইটি")</f>
        <v>A) আর্য সমাজ, B) ভারত সেবাশ্রম সংঘ, C) রামকৃষ্ণ মিশন, D) থিওসফিক্যাল সোসাইটি</v>
      </c>
      <c r="M91" s="10" t="str">
        <f>IFERROR(__xludf.DUMMYFUNCTION("GOOGLETRANSLATE(D91, ""en"", ""bn"")"),"খ) ভারত সেবাশ্রম সংঘ")</f>
        <v>খ) ভারত সেবাশ্রম সংঘ</v>
      </c>
      <c r="N91" s="10" t="str">
        <f>IFERROR(__xludf.DUMMYFUNCTION("GOOGLETRANSLATE(E91, ""en"", ""bn"")"),"বিংশ শতাব্দীর গোড়ার দিকে শুরু হওয়া এই ধর্মীয় আন্দোলন তরুণ সন্ন্যাসীদের লাঠি খেলা শেখায়।")</f>
        <v>বিংশ শতাব্দীর গোড়ার দিকে শুরু হওয়া এই ধর্মীয় আন্দোলন তরুণ সন্ন্যাসীদের লাঠি খেলা শেখায়।</v>
      </c>
    </row>
    <row r="92">
      <c r="A92" s="7">
        <v>91.0</v>
      </c>
      <c r="B92" s="7" t="s">
        <v>2379</v>
      </c>
      <c r="C92" s="7" t="s">
        <v>2380</v>
      </c>
      <c r="D92" s="7" t="s">
        <v>2381</v>
      </c>
      <c r="E92" s="7" t="s">
        <v>2382</v>
      </c>
      <c r="J92" s="10" t="str">
        <f>IFERROR(__xludf.DUMMYFUNCTION("GOOGLETRANSLATE(A92, ""en"", ""bn"")"),"৯১")</f>
        <v>৯১</v>
      </c>
      <c r="K92" s="10" t="str">
        <f>IFERROR(__xludf.DUMMYFUNCTION("GOOGLETRANSLATE(B92, ""en"", ""bn"")"),"ব্রিটিশ শাসনামলে পুলিন বিহারী দাসের মতো বিপ্লবীদের লাঠিখেলায় যুবকদের প্রশিক্ষণ দেওয়ার প্রাথমিক প্রেরণা কী ছিল?")</f>
        <v>ব্রিটিশ শাসনামলে পুলিন বিহারী দাসের মতো বিপ্লবীদের লাঠিখেলায় যুবকদের প্রশিক্ষণ দেওয়ার প্রাথমিক প্রেরণা কী ছিল?</v>
      </c>
      <c r="L92" s="10" t="str">
        <f>IFERROR(__xludf.DUMMYFUNCTION("GOOGLETRANSLATE(C92, ""en"", ""bn"")"),"ক) আনুষ্ঠানিক চাকরির জন্য তাদের প্রস্তুত করা, খ) শারীরিক সুস্থতা উৎসাহিত করা, গ) ব্রিটিশ হানাদারদের বিরুদ্ধে লড়াই করতে তাদের সক্ষম করা, ঘ) সাংস্কৃতিক কর্মকাণ্ডের প্রচার করা")</f>
        <v>ক) আনুষ্ঠানিক চাকরির জন্য তাদের প্রস্তুত করা, খ) শারীরিক সুস্থতা উৎসাহিত করা, গ) ব্রিটিশ হানাদারদের বিরুদ্ধে লড়াই করতে তাদের সক্ষম করা, ঘ) সাংস্কৃতিক কর্মকাণ্ডের প্রচার করা</v>
      </c>
      <c r="M92" s="10" t="str">
        <f>IFERROR(__xludf.DUMMYFUNCTION("GOOGLETRANSLATE(D92, ""en"", ""bn"")"),"গ) ব্রিটিশ হানাদারদের বিরুদ্ধে লড়াই করতে তাদের সক্ষম করা")</f>
        <v>গ) ব্রিটিশ হানাদারদের বিরুদ্ধে লড়াই করতে তাদের সক্ষম করা</v>
      </c>
      <c r="N92" s="10" t="str">
        <f>IFERROR(__xludf.DUMMYFUNCTION("GOOGLETRANSLATE(E92, ""en"", ""bn"")"),"এই প্রশিক্ষণ ছিল ব্রিটিশদের বিরুদ্ধে রাজনৈতিক প্রতিরোধের এক রূপ।")</f>
        <v>এই প্রশিক্ষণ ছিল ব্রিটিশদের বিরুদ্ধে রাজনৈতিক প্রতিরোধের এক রূপ।</v>
      </c>
    </row>
    <row r="93">
      <c r="A93" s="7">
        <v>92.0</v>
      </c>
      <c r="B93" s="7" t="s">
        <v>2383</v>
      </c>
      <c r="C93" s="7" t="s">
        <v>2384</v>
      </c>
      <c r="D93" s="7" t="s">
        <v>2385</v>
      </c>
      <c r="E93" s="7" t="s">
        <v>2386</v>
      </c>
      <c r="J93" s="10" t="str">
        <f>IFERROR(__xludf.DUMMYFUNCTION("GOOGLETRANSLATE(A93, ""en"", ""bn"")"),"৯২")</f>
        <v>৯২</v>
      </c>
      <c r="K93" s="10" t="str">
        <f>IFERROR(__xludf.DUMMYFUNCTION("GOOGLETRANSLATE(B93, ""en"", ""bn"")"),"লাঠি খেলা এবং তামিল মার্শাল আর্ট সিলাম্বামের মধ্যে উল্লেখযোগ্য পার্থক্য কী?")</f>
        <v>লাঠি খেলা এবং তামিল মার্শাল আর্ট সিলাম্বামের মধ্যে উল্লেখযোগ্য পার্থক্য কী?</v>
      </c>
      <c r="L93" s="10" t="str">
        <f>IFERROR(__xludf.DUMMYFUNCTION("GOOGLETRANSLATE(C93, ""en"", ""bn"")"),"ক) কাঠির উপাদান, খ) কাঠির দৈর্ঘ্য, গ) কাঠির ব্যবহার পদ্ধতি, ঘ) শিল্পকর্মের উদ্দেশ্য")</f>
        <v>ক) কাঠির উপাদান, খ) কাঠির দৈর্ঘ্য, গ) কাঠির ব্যবহার পদ্ধতি, ঘ) শিল্পকর্মের উদ্দেশ্য</v>
      </c>
      <c r="M93" s="10" t="str">
        <f>IFERROR(__xludf.DUMMYFUNCTION("GOOGLETRANSLATE(D93, ""en"", ""bn"")"),"গ) লাঠি চালানোর ধরণ")</f>
        <v>গ) লাঠি চালানোর ধরণ</v>
      </c>
      <c r="N93" s="10" t="str">
        <f>IFERROR(__xludf.DUMMYFUNCTION("GOOGLETRANSLATE(E93, ""en"", ""bn"")"),"সিলাম্বামে, লাঠি খেলার চেয়ে গ্রিপ আলাদা, যেখানে ডান হাতে লাঠির নীচের প্রান্তটি ধরে রাখা হয়।")</f>
        <v>সিলাম্বামে, লাঠি খেলার চেয়ে গ্রিপ আলাদা, যেখানে ডান হাতে লাঠির নীচের প্রান্তটি ধরে রাখা হয়।</v>
      </c>
    </row>
    <row r="94">
      <c r="A94" s="7">
        <v>93.0</v>
      </c>
      <c r="B94" s="7" t="s">
        <v>2387</v>
      </c>
      <c r="C94" s="7" t="s">
        <v>2388</v>
      </c>
      <c r="D94" s="7" t="s">
        <v>2389</v>
      </c>
      <c r="E94" s="7" t="s">
        <v>2390</v>
      </c>
      <c r="J94" s="10" t="str">
        <f>IFERROR(__xludf.DUMMYFUNCTION("GOOGLETRANSLATE(A94, ""en"", ""bn"")"),"৯৩")</f>
        <v>৯৩</v>
      </c>
      <c r="K94" s="10" t="str">
        <f>IFERROR(__xludf.DUMMYFUNCTION("GOOGLETRANSLATE(B94, ""en"", ""bn"")"),"ব্রিটিশ ঔপনিবেশিক সরকার লাঠিখেলার সাথে এমন কী করেছিল যার ফলে এটি তাদের মার্শাল আর্টের সাধারণ দমনের ব্যতিক্রম হয়েছিল?")</f>
        <v>ব্রিটিশ ঔপনিবেশিক সরকার লাঠিখেলার সাথে এমন কী করেছিল যার ফলে এটি তাদের মার্শাল আর্টের সাধারণ দমনের ব্যতিক্রম হয়েছিল?</v>
      </c>
      <c r="L94" s="10" t="str">
        <f>IFERROR(__xludf.DUMMYFUNCTION("GOOGLETRANSLATE(C94, ""en"", ""bn"")"),"ক) তারা এর উন্নয়নে অর্থায়ন করেছে, খ) তারা এটি কর আদায়ের জন্য ব্যবহার করেছে, গ) তারা এটিকে বাধ্যতামূলক করেছে, ঘ) তারা এটিকে সম্পূর্ণ উপেক্ষা করেছে")</f>
        <v>ক) তারা এর উন্নয়নে অর্থায়ন করেছে, খ) তারা এটি কর আদায়ের জন্য ব্যবহার করেছে, গ) তারা এটিকে বাধ্যতামূলক করেছে, ঘ) তারা এটিকে সম্পূর্ণ উপেক্ষা করেছে</v>
      </c>
      <c r="M94" s="10" t="str">
        <f>IFERROR(__xludf.DUMMYFUNCTION("GOOGLETRANSLATE(D94, ""en"", ""bn"")"),"খ) তারা এটি কর আদায়ের জন্য ব্যবহার করেছিল")</f>
        <v>খ) তারা এটি কর আদায়ের জন্য ব্যবহার করেছিল</v>
      </c>
      <c r="N94" s="10" t="str">
        <f>IFERROR(__xludf.DUMMYFUNCTION("GOOGLETRANSLATE(E94, ""en"", ""bn"")"),"ব্রিটিশরা লাঠি খেলা গ্রহণ করেছিল কারণ এটি লাঠিয়ালদের ভয় দেখিয়ে কর আদায়কে সহজতর করেছিল।")</f>
        <v>ব্রিটিশরা লাঠি খেলা গ্রহণ করেছিল কারণ এটি লাঠিয়ালদের ভয় দেখিয়ে কর আদায়কে সহজতর করেছিল।</v>
      </c>
    </row>
    <row r="95">
      <c r="A95" s="7">
        <v>94.0</v>
      </c>
      <c r="B95" s="7" t="s">
        <v>2391</v>
      </c>
      <c r="C95" s="7" t="s">
        <v>2392</v>
      </c>
      <c r="D95" s="7" t="s">
        <v>2393</v>
      </c>
      <c r="E95" s="7" t="s">
        <v>2394</v>
      </c>
      <c r="J95" s="10" t="str">
        <f>IFERROR(__xludf.DUMMYFUNCTION("GOOGLETRANSLATE(A95, ""en"", ""bn"")"),"৯৪")</f>
        <v>৯৪</v>
      </c>
      <c r="K95" s="10" t="str">
        <f>IFERROR(__xludf.DUMMYFUNCTION("GOOGLETRANSLATE(B95, ""en"", ""bn"")"),"লাঠি খেলা অনুশীলনকারীর জন্য কোন চক্রকে শক্তির কেন্দ্র হিসেবে বিবেচনা করা হয়?")</f>
        <v>লাঠি খেলা অনুশীলনকারীর জন্য কোন চক্রকে শক্তির কেন্দ্র হিসেবে বিবেচনা করা হয়?</v>
      </c>
      <c r="L95" s="10" t="str">
        <f>IFERROR(__xludf.DUMMYFUNCTION("GOOGLETRANSLATE(C95, ""en"", ""bn"")"),"ক) মূল চক্র, খ) ত্রিকাকার চক্র, গ) হৃদয় চক্র, ঘ) গলা চক্র")</f>
        <v>ক) মূল চক্র, খ) ত্রিকাকার চক্র, গ) হৃদয় চক্র, ঘ) গলা চক্র</v>
      </c>
      <c r="M95" s="10" t="str">
        <f>IFERROR(__xludf.DUMMYFUNCTION("GOOGLETRANSLATE(D95, ""en"", ""bn"")"),"গ) হৃদয় চক্র")</f>
        <v>গ) হৃদয় চক্র</v>
      </c>
      <c r="N95" s="10" t="str">
        <f>IFERROR(__xludf.DUMMYFUNCTION("GOOGLETRANSLATE(E95, ""en"", ""bn"")"),"লাঠি খেলায়, শক্তির কেন্দ্রবিন্দু হল হৃদচক্র, এবং অনুশীলনকারীরা আরও সোজা অবস্থানে লড়াই করেন।")</f>
        <v>লাঠি খেলায়, শক্তির কেন্দ্রবিন্দু হল হৃদচক্র, এবং অনুশীলনকারীরা আরও সোজা অবস্থানে লড়াই করেন।</v>
      </c>
    </row>
    <row r="96">
      <c r="A96" s="7">
        <v>95.0</v>
      </c>
      <c r="B96" s="7" t="s">
        <v>2395</v>
      </c>
      <c r="C96" s="7" t="s">
        <v>2396</v>
      </c>
      <c r="D96" s="7" t="s">
        <v>2397</v>
      </c>
      <c r="E96" s="7" t="s">
        <v>2398</v>
      </c>
      <c r="J96" s="10" t="str">
        <f>IFERROR(__xludf.DUMMYFUNCTION("GOOGLETRANSLATE(A96, ""en"", ""bn"")"),"৯৫")</f>
        <v>৯৫</v>
      </c>
      <c r="K96" s="10" t="str">
        <f>IFERROR(__xludf.DUMMYFUNCTION("GOOGLETRANSLATE(B96, ""en"", ""bn"")"),"মধ্যযুগীয় বাংলায়, কোন গোষ্ঠীর জায়গির রক্ষার জন্য প্রায়শই লাঠিয়াল ব্যবহার করা হত?")</f>
        <v>মধ্যযুগীয় বাংলায়, কোন গোষ্ঠীর জায়গির রক্ষার জন্য প্রায়শই লাঠিয়াল ব্যবহার করা হত?</v>
      </c>
      <c r="L96" s="10" t="str">
        <f>IFERROR(__xludf.DUMMYFUNCTION("GOOGLETRANSLATE(C96, ""en"", ""bn"")"),"ক) জমিদার, খ) গ্রামবাসী, গ) বিপ্লবী, ঘ) সৈনিক")</f>
        <v>ক) জমিদার, খ) গ্রামবাসী, গ) বিপ্লবী, ঘ) সৈনিক</v>
      </c>
      <c r="M96" s="10" t="str">
        <f>IFERROR(__xludf.DUMMYFUNCTION("GOOGLETRANSLATE(D96, ""en"", ""bn"")"),"ক) জমিদার")</f>
        <v>ক) জমিদার</v>
      </c>
      <c r="N96" s="10" t="str">
        <f>IFERROR(__xludf.DUMMYFUNCTION("GOOGLETRANSLATE(E96, ""en"", ""bn"")"),"জমিদাররা, বা সামন্ত প্রভুরা, তাদের অঞ্চল রক্ষার জন্য লাঠিয়াল গোষ্ঠী নিয়োগ করত।")</f>
        <v>জমিদাররা, বা সামন্ত প্রভুরা, তাদের অঞ্চল রক্ষার জন্য লাঠিয়াল গোষ্ঠী নিয়োগ করত।</v>
      </c>
    </row>
    <row r="97">
      <c r="A97" s="7">
        <v>96.0</v>
      </c>
      <c r="B97" s="7" t="s">
        <v>2399</v>
      </c>
      <c r="C97" s="7" t="s">
        <v>2400</v>
      </c>
      <c r="D97" s="7" t="s">
        <v>2401</v>
      </c>
      <c r="E97" s="7" t="s">
        <v>2402</v>
      </c>
      <c r="J97" s="10" t="str">
        <f>IFERROR(__xludf.DUMMYFUNCTION("GOOGLETRANSLATE(A97, ""en"", ""bn"")"),"৯৬")</f>
        <v>৯৬</v>
      </c>
      <c r="K97" s="10" t="str">
        <f>IFERROR(__xludf.DUMMYFUNCTION("GOOGLETRANSLATE(B97, ""en"", ""bn"")"),"লাঠি খেলার প্রেক্ষাপটে ""ছুরি নৃত্য"" এর তাৎপর্য কী?")</f>
        <v>লাঠি খেলার প্রেক্ষাপটে "ছুরি নৃত্য" এর তাৎপর্য কী?</v>
      </c>
      <c r="L97" s="10" t="str">
        <f>IFERROR(__xludf.DUMMYFUNCTION("GOOGLETRANSLATE(C97, ""en"", ""bn"")"),"ক) এটি এক ধরণের আনুষ্ঠানিক নৃত্য, খ) এটি ধারালো অস্ত্র দিয়ে তৈরি একটি নকল যুদ্ধ, গ) এটি একটি একক পরিবেশনা, ঘ) এটি এক ধরণের প্রশিক্ষণ অনুশীলন")</f>
        <v>ক) এটি এক ধরণের আনুষ্ঠানিক নৃত্য, খ) এটি ধারালো অস্ত্র দিয়ে তৈরি একটি নকল যুদ্ধ, গ) এটি একটি একক পরিবেশনা, ঘ) এটি এক ধরণের প্রশিক্ষণ অনুশীলন</v>
      </c>
      <c r="M97" s="10" t="str">
        <f>IFERROR(__xludf.DUMMYFUNCTION("GOOGLETRANSLATE(D97, ""en"", ""bn"")"),"খ) এটি ধারালো অস্ত্র দিয়ে তৈরি একটি নকল যুদ্ধ।")</f>
        <v>খ) এটি ধারালো অস্ত্র দিয়ে তৈরি একটি নকল যুদ্ধ।</v>
      </c>
      <c r="N97" s="10" t="str">
        <f>IFERROR(__xludf.DUMMYFUNCTION("GOOGLETRANSLATE(E97, ""en"", ""bn"")"),"""ছুরি নৃত্য"" হল ছুরির মতো ধারালো অস্ত্র ব্যবহার করে নকল লড়াইয়ের একটি পরিবেশনা।")</f>
        <v>"ছুরি নৃত্য" হল ছুরির মতো ধারালো অস্ত্র ব্যবহার করে নকল লড়াইয়ের একটি পরিবেশনা।</v>
      </c>
    </row>
    <row r="98">
      <c r="A98" s="7">
        <v>97.0</v>
      </c>
      <c r="B98" s="7" t="s">
        <v>2403</v>
      </c>
      <c r="C98" s="7" t="s">
        <v>2404</v>
      </c>
      <c r="D98" s="7" t="s">
        <v>2405</v>
      </c>
      <c r="E98" s="7" t="s">
        <v>2406</v>
      </c>
      <c r="J98" s="10" t="str">
        <f>IFERROR(__xludf.DUMMYFUNCTION("GOOGLETRANSLATE(A98, ""en"", ""bn"")"),"৯৭")</f>
        <v>৯৭</v>
      </c>
      <c r="K98" s="10" t="str">
        <f>IFERROR(__xludf.DUMMYFUNCTION("GOOGLETRANSLATE(B98, ""en"", ""bn"")"),"লাঠি খেলায় ""উপহাসের লড়াই"" শব্দটি কী নামে পরিচিত?")</f>
        <v>লাঠি খেলায় "উপহাসের লড়াই" শব্দটি কী নামে পরিচিত?</v>
      </c>
      <c r="L98" s="10" t="str">
        <f>IFERROR(__xludf.DUMMYFUNCTION("GOOGLETRANSLATE(C98, ""en"", ""bn"")"),"A) খেলা, B) নরি বাড়ি, C) লাঠিয়াল, D) সমিতি")</f>
        <v>A) খেলা, B) নরি বাড়ি, C) লাঠিয়াল, D) সমিতি</v>
      </c>
      <c r="M98" s="10" t="str">
        <f>IFERROR(__xludf.DUMMYFUNCTION("GOOGLETRANSLATE(D98, ""en"", ""bn"")"),"খ) নরি বারি")</f>
        <v>খ) নরি বারি</v>
      </c>
      <c r="N98" s="10" t="str">
        <f>IFERROR(__xludf.DUMMYFUNCTION("GOOGLETRANSLATE(E98, ""en"", ""bn"")"),"""নরি বারি"" শব্দটি লাঠিখেলায় লাঠি নিয়ে একটি নকল লড়াইকে বোঝায়।")</f>
        <v>"নরি বারি" শব্দটি লাঠিখেলায় লাঠি নিয়ে একটি নকল লড়াইকে বোঝায়।</v>
      </c>
    </row>
    <row r="99">
      <c r="A99" s="7">
        <v>98.0</v>
      </c>
      <c r="B99" s="7" t="s">
        <v>2407</v>
      </c>
      <c r="C99" s="7" t="s">
        <v>2408</v>
      </c>
      <c r="D99" s="7" t="s">
        <v>2409</v>
      </c>
      <c r="E99" s="7" t="s">
        <v>2410</v>
      </c>
      <c r="J99" s="10" t="str">
        <f>IFERROR(__xludf.DUMMYFUNCTION("GOOGLETRANSLATE(A99, ""en"", ""bn"")"),"৯৮")</f>
        <v>৯৮</v>
      </c>
      <c r="K99" s="10" t="str">
        <f>IFERROR(__xludf.DUMMYFUNCTION("GOOGLETRANSLATE(B99, ""en"", ""bn"")"),"লাঠি খেলা তার ইতিহাস জুড়ে কোন নির্দিষ্ট উপায়ে তার অভিযোজনযোগ্যতা প্রদর্শন করেছে?")</f>
        <v>লাঠি খেলা তার ইতিহাস জুড়ে কোন নির্দিষ্ট উপায়ে তার অভিযোজনযোগ্যতা প্রদর্শন করেছে?</v>
      </c>
      <c r="L99" s="10" t="str">
        <f>IFERROR(__xludf.DUMMYFUNCTION("GOOGLETRANSLATE(C99, ""en"", ""bn"")"),"ক) এটি যুদ্ধক্ষেত্রে এবং খেলাধুলা উভয় ক্ষেত্রেই ব্যবহৃত হত, খ) এটি পুরুষ এবং মহিলা উভয়ই অনুশীলন করত, গ) এটি প্রতিবাদের একটি রূপ হিসাবে ব্যবহৃত হত, ঘ) এটি ধর্মীয় আচার-অনুষ্ঠানের সাথে একীভূত হত")</f>
        <v>ক) এটি যুদ্ধক্ষেত্রে এবং খেলাধুলা উভয় ক্ষেত্রেই ব্যবহৃত হত, খ) এটি পুরুষ এবং মহিলা উভয়ই অনুশীলন করত, গ) এটি প্রতিবাদের একটি রূপ হিসাবে ব্যবহৃত হত, ঘ) এটি ধর্মীয় আচার-অনুষ্ঠানের সাথে একীভূত হত</v>
      </c>
      <c r="M99" s="10" t="str">
        <f>IFERROR(__xludf.DUMMYFUNCTION("GOOGLETRANSLATE(D99, ""en"", ""bn"")"),"ক) এটি যুদ্ধক্ষেত্রে এবং খেলাধুলা উভয় ক্ষেত্রেই ব্যবহৃত হত")</f>
        <v>ক) এটি যুদ্ধক্ষেত্রে এবং খেলাধুলা উভয় ক্ষেত্রেই ব্যবহৃত হত</v>
      </c>
      <c r="N99" s="10" t="str">
        <f>IFERROR(__xludf.DUMMYFUNCTION("GOOGLETRANSLATE(E99, ""en"", ""bn"")"),"ইতিহাস জুড়ে, লাঠি খেলা প্রতিরক্ষার জন্য একটি মার্শাল আর্ট এবং খেলাধুলা বা মার্শাল নৃত্যের একটি রূপ উভয়ই হিসেবে কাজ করেছে।")</f>
        <v>ইতিহাস জুড়ে, লাঠি খেলা প্রতিরক্ষার জন্য একটি মার্শাল আর্ট এবং খেলাধুলা বা মার্শাল নৃত্যের একটি রূপ উভয়ই হিসেবে কাজ করেছে।</v>
      </c>
    </row>
    <row r="100">
      <c r="A100" s="7">
        <v>99.0</v>
      </c>
      <c r="B100" s="7" t="s">
        <v>2411</v>
      </c>
      <c r="C100" s="7" t="s">
        <v>2412</v>
      </c>
      <c r="D100" s="7" t="s">
        <v>2413</v>
      </c>
      <c r="E100" s="7" t="s">
        <v>2414</v>
      </c>
      <c r="J100" s="10" t="str">
        <f>IFERROR(__xludf.DUMMYFUNCTION("GOOGLETRANSLATE(A100, ""en"", ""bn"")"),"৯৯")</f>
        <v>৯৯</v>
      </c>
      <c r="K100" s="10" t="str">
        <f>IFERROR(__xludf.DUMMYFUNCTION("GOOGLETRANSLATE(B100, ""en"", ""bn"")"),"পরিবর্তিত আর্থ-সামাজিক-রাজনৈতিক ও অর্থনৈতিক পরিবেশের কারণে লাঠি খেলার কোন ঐতিহ্যবাহী ভূমিকা উল্লেখযোগ্যভাবে হ্রাস পেয়েছে?")</f>
        <v>পরিবর্তিত আর্থ-সামাজিক-রাজনৈতিক ও অর্থনৈতিক পরিবেশের কারণে লাঠি খেলার কোন ঐতিহ্যবাহী ভূমিকা উল্লেখযোগ্যভাবে হ্রাস পেয়েছে?</v>
      </c>
      <c r="L100" s="10" t="str">
        <f>IFERROR(__xludf.DUMMYFUNCTION("GOOGLETRANSLATE(C100, ""en"", ""bn"")"),"ক) সাংস্কৃতিক পরিবেশনা, খ) সামাজিক উৎসব, গ) আত্মরক্ষা এবং সংঘাত নিরসন, ঘ) শারীরিক অনুশীলন")</f>
        <v>ক) সাংস্কৃতিক পরিবেশনা, খ) সামাজিক উৎসব, গ) আত্মরক্ষা এবং সংঘাত নিরসন, ঘ) শারীরিক অনুশীলন</v>
      </c>
      <c r="M100" s="10" t="str">
        <f>IFERROR(__xludf.DUMMYFUNCTION("GOOGLETRANSLATE(D100, ""en"", ""bn"")"),"গ) আত্মরক্ষা এবং সংঘাত নিরসন")</f>
        <v>গ) আত্মরক্ষা এবং সংঘাত নিরসন</v>
      </c>
      <c r="N100" s="10" t="str">
        <f>IFERROR(__xludf.DUMMYFUNCTION("GOOGLETRANSLATE(E100, ""en"", ""bn"")"),"সামাজিক পটভূমির পরিবর্তনের সাথে সাথে বিরোধ নিষ্পত্তি এবং নিরাপত্তা প্রদানে লাঠি খেলা'র ভূমিকা হ্রাস পেয়েছে।")</f>
        <v>সামাজিক পটভূমির পরিবর্তনের সাথে সাথে বিরোধ নিষ্পত্তি এবং নিরাপত্তা প্রদানে লাঠি খেলা'র ভূমিকা হ্রাস পেয়েছে।</v>
      </c>
    </row>
    <row r="101">
      <c r="A101" s="7">
        <v>100.0</v>
      </c>
      <c r="B101" s="7" t="s">
        <v>2415</v>
      </c>
      <c r="C101" s="7" t="s">
        <v>2416</v>
      </c>
      <c r="D101" s="7" t="s">
        <v>2417</v>
      </c>
      <c r="E101" s="7" t="s">
        <v>2418</v>
      </c>
      <c r="J101" s="10" t="str">
        <f>IFERROR(__xludf.DUMMYFUNCTION("GOOGLETRANSLATE(A101, ""en"", ""bn"")"),"১০০")</f>
        <v>১০০</v>
      </c>
      <c r="K101" s="10" t="str">
        <f>IFERROR(__xludf.DUMMYFUNCTION("GOOGLETRANSLATE(B101, ""en"", ""bn"")"),"আজকাল লাঠি খেলা পরিবেশনার ছন্দবদ্ধ রুটিনের সাধারণ বিষয়বস্তু কী?")</f>
        <v>আজকাল লাঠি খেলা পরিবেশনার ছন্দবদ্ধ রুটিনের সাধারণ বিষয়বস্তু কী?</v>
      </c>
      <c r="L101" s="10" t="str">
        <f>IFERROR(__xludf.DUMMYFUNCTION("GOOGLETRANSLATE(C101, ""en"", ""bn"")"),"ক) গল্প বলা, খ) জটিল কৌশল এবং পায়ের কাজ, গ) একটি ঐতিহাসিক যুদ্ধের চিত্রায়ন, ঘ) পশুদের নকল করা")</f>
        <v>ক) গল্প বলা, খ) জটিল কৌশল এবং পায়ের কাজ, গ) একটি ঐতিহাসিক যুদ্ধের চিত্রায়ন, ঘ) পশুদের নকল করা</v>
      </c>
      <c r="M101" s="10" t="str">
        <f>IFERROR(__xludf.DUMMYFUNCTION("GOOGLETRANSLATE(D101, ""en"", ""bn"")"),"খ) জটিল কৌশল এবং পায়ের কাজ")</f>
        <v>খ) জটিল কৌশল এবং পায়ের কাজ</v>
      </c>
      <c r="N101" s="10" t="str">
        <f>IFERROR(__xludf.DUMMYFUNCTION("GOOGLETRANSLATE(E101, ""en"", ""bn"")"),"আধুনিক পরিবেশনাগুলি ছন্দবদ্ধ রুটিনের মাধ্যমে অনুশীলনকারীর তত্পরতা এবং দক্ষতা প্রদর্শন করে, যার মধ্যে রয়েছে সমন্বিত পায়ের কাজ এবং নড়াচড়া।")</f>
        <v>আধুনিক পরিবেশনাগুলি ছন্দবদ্ধ রুটিনের মাধ্যমে অনুশীলনকারীর তত্পরতা এবং দক্ষতা প্রদর্শন করে, যার মধ্যে রয়েছে সমন্বিত পায়ের কাজ এবং নড়াচড়া।</v>
      </c>
    </row>
    <row r="102">
      <c r="A102" s="7">
        <v>101.0</v>
      </c>
      <c r="B102" s="7" t="s">
        <v>2419</v>
      </c>
      <c r="C102" s="7" t="s">
        <v>2420</v>
      </c>
      <c r="D102" s="7" t="s">
        <v>2421</v>
      </c>
      <c r="E102" s="7" t="s">
        <v>2422</v>
      </c>
      <c r="J102" s="10" t="str">
        <f>IFERROR(__xludf.DUMMYFUNCTION("GOOGLETRANSLATE(A102, ""en"", ""bn"")"),"১০১")</f>
        <v>১০১</v>
      </c>
      <c r="K102" s="10" t="str">
        <f>IFERROR(__xludf.DUMMYFUNCTION("GOOGLETRANSLATE(B102, ""en"", ""bn"")"),"ব্রিটিশ শাসনামলে লাঠি খেলার পতনের অন্যতম কারণ কী?")</f>
        <v>ব্রিটিশ শাসনামলে লাঠি খেলার পতনের অন্যতম কারণ কী?</v>
      </c>
      <c r="L102" s="10" t="str">
        <f>IFERROR(__xludf.DUMMYFUNCTION("GOOGLETRANSLATE(C102, ""en"", ""bn"")"),"ক) শিক্ষকের অভাব, খ) সরকারি দমন, গ) আগ্রহের অভাব, ঘ) দারিদ্র্য")</f>
        <v>ক) শিক্ষকের অভাব, খ) সরকারি দমন, গ) আগ্রহের অভাব, ঘ) দারিদ্র্য</v>
      </c>
      <c r="M102" s="10" t="str">
        <f>IFERROR(__xludf.DUMMYFUNCTION("GOOGLETRANSLATE(D102, ""en"", ""bn"")"),"খ) সরকারি দমন")</f>
        <v>খ) সরকারি দমন</v>
      </c>
      <c r="N102" s="10" t="str">
        <f>IFERROR(__xludf.DUMMYFUNCTION("GOOGLETRANSLATE(E102, ""en"", ""bn"")"),"ব্রিটিশ ঔপনিবেশিক সরকার প্রায়শই ঐতিহ্যবাহী মার্শাল আর্টকে দমন করত, এগুলিকে সম্ভাব্য হুমকি হিসেবে দেখত।")</f>
        <v>ব্রিটিশ ঔপনিবেশিক সরকার প্রায়শই ঐতিহ্যবাহী মার্শাল আর্টকে দমন করত, এগুলিকে সম্ভাব্য হুমকি হিসেবে দেখত।</v>
      </c>
    </row>
    <row r="103">
      <c r="A103" s="7">
        <v>102.0</v>
      </c>
      <c r="B103" s="7" t="s">
        <v>2423</v>
      </c>
      <c r="C103" s="7" t="s">
        <v>2424</v>
      </c>
      <c r="D103" s="7" t="s">
        <v>2425</v>
      </c>
      <c r="E103" s="7" t="s">
        <v>2426</v>
      </c>
      <c r="J103" s="10" t="str">
        <f>IFERROR(__xludf.DUMMYFUNCTION("GOOGLETRANSLATE(A103, ""en"", ""bn"")"),"১০২")</f>
        <v>১০২</v>
      </c>
      <c r="K103" s="10" t="str">
        <f>IFERROR(__xludf.DUMMYFUNCTION("GOOGLETRANSLATE(B103, ""en"", ""bn"")"),"লাঠি খেলার মূল উপাদান কী যা বংশ পরম্পরায় চলে আসছে?")</f>
        <v>লাঠি খেলার মূল উপাদান কী যা বংশ পরম্পরায় চলে আসছে?</v>
      </c>
      <c r="L103" s="10" t="str">
        <f>IFERROR(__xludf.DUMMYFUNCTION("GOOGLETRANSLATE(C103, ""en"", ""bn"")"),"ক) কঠোর নিয়মের একটি সেট, খ) সামরিক দক্ষতা এবং ঐতিহ্য, গ) একটি গোপন ভাষা, ঘ) একটি নির্দিষ্ট পোশাক")</f>
        <v>ক) কঠোর নিয়মের একটি সেট, খ) সামরিক দক্ষতা এবং ঐতিহ্য, গ) একটি গোপন ভাষা, ঘ) একটি নির্দিষ্ট পোশাক</v>
      </c>
      <c r="M103" s="10" t="str">
        <f>IFERROR(__xludf.DUMMYFUNCTION("GOOGLETRANSLATE(D103, ""en"", ""bn"")"),"খ) যুদ্ধ দক্ষতা এবং ঐতিহ্য")</f>
        <v>খ) যুদ্ধ দক্ষতা এবং ঐতিহ্য</v>
      </c>
      <c r="N103" s="10" t="str">
        <f>IFERROR(__xludf.DUMMYFUNCTION("GOOGLETRANSLATE(E103, ""en"", ""bn"")"),"এই অঞ্চলের ঐতিহ্যবাহী যুদ্ধ দক্ষতা কীভাবে বংশ পরম্পরায় বংশ পরম্পরায় চলে আসছে, তার একটি জীবন্ত উদাহরণ হল লাঠি খেলা।")</f>
        <v>এই অঞ্চলের ঐতিহ্যবাহী যুদ্ধ দক্ষতা কীভাবে বংশ পরম্পরায় বংশ পরম্পরায় চলে আসছে, তার একটি জীবন্ত উদাহরণ হল লাঠি খেলা।</v>
      </c>
    </row>
    <row r="104">
      <c r="A104" s="7">
        <v>103.0</v>
      </c>
      <c r="B104" s="7" t="s">
        <v>2427</v>
      </c>
      <c r="C104" s="7" t="s">
        <v>2428</v>
      </c>
      <c r="D104" s="7" t="s">
        <v>2429</v>
      </c>
      <c r="E104" s="7" t="s">
        <v>2430</v>
      </c>
      <c r="J104" s="10" t="str">
        <f>IFERROR(__xludf.DUMMYFUNCTION("GOOGLETRANSLATE(A104, ""en"", ""bn"")"),"১০৩")</f>
        <v>১০৩</v>
      </c>
      <c r="K104" s="10" t="str">
        <f>IFERROR(__xludf.DUMMYFUNCTION("GOOGLETRANSLATE(B104, ""en"", ""bn"")"),"এই মার্শাল আর্টে ব্যবহৃত লাঠি কাঠির একটি উল্লেখযোগ্য বৈশিষ্ট্য কী?")</f>
        <v>এই মার্শাল আর্টে ব্যবহৃত লাঠি কাঠির একটি উল্লেখযোগ্য বৈশিষ্ট্য কী?</v>
      </c>
      <c r="L104" s="10" t="str">
        <f>IFERROR(__xludf.DUMMYFUNCTION("GOOGLETRANSLATE(C104, ""en"", ""bn"")"),"ক) এটি সর্বদা ধাতু-টিপযুক্ত, খ) এটি শক্ত কাঠ দিয়ে তৈরি, গ) এটি সাধারণত ব্যবহারকারীর উচ্চতার চেয়ে লম্বা হয়, ঘ) এর প্রান্তটি বাঁকা থাকে")</f>
        <v>ক) এটি সর্বদা ধাতু-টিপযুক্ত, খ) এটি শক্ত কাঠ দিয়ে তৈরি, গ) এটি সাধারণত ব্যবহারকারীর উচ্চতার চেয়ে লম্বা হয়, ঘ) এর প্রান্তটি বাঁকা থাকে</v>
      </c>
      <c r="M104" s="10" t="str">
        <f>IFERROR(__xludf.DUMMYFUNCTION("GOOGLETRANSLATE(D104, ""en"", ""bn"")"),"গ) এটি সাধারণত ব্যবহারকারীর উচ্চতার চেয়ে লম্বা হয়")</f>
        <v>গ) এটি সাধারণত ব্যবহারকারীর উচ্চতার চেয়ে লম্বা হয়</v>
      </c>
      <c r="N104" s="10" t="str">
        <f>IFERROR(__xludf.DUMMYFUNCTION("GOOGLETRANSLATE(E104, ""en"", ""bn"")"),"লাঠি কাঠির কাঠিগুলি প্রায়শই অনুশীলনকারীর উচ্চতার চেয়ে কিছুটা লম্বা হয় যাতে আরও ভালো নাগাল এবং সুবিধা পাওয়া যায়।")</f>
        <v>লাঠি কাঠির কাঠিগুলি প্রায়শই অনুশীলনকারীর উচ্চতার চেয়ে কিছুটা লম্বা হয় যাতে আরও ভালো নাগাল এবং সুবিধা পাওয়া যায়।</v>
      </c>
    </row>
    <row r="105">
      <c r="A105" s="7">
        <v>104.0</v>
      </c>
      <c r="B105" s="7" t="s">
        <v>2431</v>
      </c>
      <c r="C105" s="7" t="s">
        <v>2432</v>
      </c>
      <c r="D105" s="7" t="s">
        <v>2433</v>
      </c>
      <c r="E105" s="7" t="s">
        <v>2434</v>
      </c>
      <c r="J105" s="10" t="str">
        <f>IFERROR(__xludf.DUMMYFUNCTION("GOOGLETRANSLATE(A105, ""en"", ""bn"")"),"১০৪")</f>
        <v>১০৪</v>
      </c>
      <c r="K105" s="10" t="str">
        <f>IFERROR(__xludf.DUMMYFUNCTION("GOOGLETRANSLATE(B105, ""en"", ""bn"")"),"লাঠি খেলা অনুশীলন কোন শারীরিক দক্ষতা তৈরিতে ব্যবহৃত হয় তা উল্লেখ করা হয়েছে?")</f>
        <v>লাঠি খেলা অনুশীলন কোন শারীরিক দক্ষতা তৈরিতে ব্যবহৃত হয় তা উল্লেখ করা হয়েছে?</v>
      </c>
      <c r="L105" s="10" t="str">
        <f>IFERROR(__xludf.DUMMYFUNCTION("GOOGLETRANSLATE(C105, ""en"", ""bn"")"),"ক) নমনীয়তা এবং সহনশীলতা, খ) মূল শক্তি এবং প্রতিফলন, গ) হাত-চোখের সমন্বয় এবং গতি, ঘ) তত্পরতা এবং লাফানোর ক্ষমতা")</f>
        <v>ক) নমনীয়তা এবং সহনশীলতা, খ) মূল শক্তি এবং প্রতিফলন, গ) হাত-চোখের সমন্বয় এবং গতি, ঘ) তত্পরতা এবং লাফানোর ক্ষমতা</v>
      </c>
      <c r="M105" s="10" t="str">
        <f>IFERROR(__xludf.DUMMYFUNCTION("GOOGLETRANSLATE(D105, ""en"", ""bn"")"),"খ) মূল শক্তি এবং প্রতিচ্ছবি")</f>
        <v>খ) মূল শক্তি এবং প্রতিচ্ছবি</v>
      </c>
      <c r="N105" s="10" t="str">
        <f>IFERROR(__xludf.DUMMYFUNCTION("GOOGLETRANSLATE(E105, ""en"", ""bn"")"),"লাঠি খেলা প্রশিক্ষণের নড়াচড়াগুলি একজন অনুশীলনকারীর মূল শক্তি, প্রতিফলন এবং মানসিক মনোযোগ বৃদ্ধিতে সহায়তা করে।")</f>
        <v>লাঠি খেলা প্রশিক্ষণের নড়াচড়াগুলি একজন অনুশীলনকারীর মূল শক্তি, প্রতিফলন এবং মানসিক মনোযোগ বৃদ্ধিতে সহায়তা করে।</v>
      </c>
    </row>
    <row r="106">
      <c r="A106" s="7">
        <v>105.0</v>
      </c>
      <c r="B106" s="7" t="s">
        <v>2435</v>
      </c>
      <c r="C106" s="7" t="s">
        <v>2436</v>
      </c>
      <c r="D106" s="7" t="s">
        <v>2334</v>
      </c>
      <c r="E106" s="7" t="s">
        <v>2437</v>
      </c>
      <c r="J106" s="10" t="str">
        <f>IFERROR(__xludf.DUMMYFUNCTION("GOOGLETRANSLATE(A106, ""en"", ""bn"")"),"১০৫")</f>
        <v>১০৫</v>
      </c>
      <c r="K106" s="10" t="str">
        <f>IFERROR(__xludf.DUMMYFUNCTION("GOOGLETRANSLATE(B106, ""en"", ""bn"")"),"লাঠি খেলা পরিবেশনার সাথে সাধারণত কোন ধরণের সঙ্গীত ব্যবহার করা হয়?")</f>
        <v>লাঠি খেলা পরিবেশনার সাথে সাধারণত কোন ধরণের সঙ্গীত ব্যবহার করা হয়?</v>
      </c>
      <c r="L106" s="10" t="str">
        <f>IFERROR(__xludf.DUMMYFUNCTION("GOOGLETRANSLATE(C106, ""en"", ""bn"")"),"ক) আধুনিক ইলেকট্রনিক সঙ্গীত, খ) ঐতিহ্যবাহী ঢোলবাদন, গ) বাঁশি সহ লোকসঙ্গীত, ঘ) ধ্রুপদী ভারতীয় সঙ্গীত")</f>
        <v>ক) আধুনিক ইলেকট্রনিক সঙ্গীত, খ) ঐতিহ্যবাহী ঢোলবাদন, গ) বাঁশি সহ লোকসঙ্গীত, ঘ) ধ্রুপদী ভারতীয় সঙ্গীত</v>
      </c>
      <c r="M106" s="10" t="str">
        <f>IFERROR(__xludf.DUMMYFUNCTION("GOOGLETRANSLATE(D106, ""en"", ""bn"")"),"খ) ঐতিহ্যবাহী ঢোলবাদন")</f>
        <v>খ) ঐতিহ্যবাহী ঢোলবাদন</v>
      </c>
      <c r="N106" s="10" t="str">
        <f>IFERROR(__xludf.DUMMYFUNCTION("GOOGLETRANSLATE(E106, ""en"", ""bn"")"),"ছন্দবদ্ধ প্রদর্শনী এবং নকল লড়াই প্রায়শই ঐতিহ্যবাহী ঢোলের শক্তিশালী তালের সাথে থাকে।")</f>
        <v>ছন্দবদ্ধ প্রদর্শনী এবং নকল লড়াই প্রায়শই ঐতিহ্যবাহী ঢোলের শক্তিশালী তালের সাথে থাকে।</v>
      </c>
    </row>
    <row r="107">
      <c r="A107" s="7">
        <v>106.0</v>
      </c>
      <c r="B107" s="7" t="s">
        <v>2438</v>
      </c>
      <c r="C107" s="7" t="s">
        <v>2439</v>
      </c>
      <c r="D107" s="7" t="s">
        <v>2440</v>
      </c>
      <c r="E107" s="7" t="s">
        <v>2441</v>
      </c>
      <c r="J107" s="10" t="str">
        <f>IFERROR(__xludf.DUMMYFUNCTION("GOOGLETRANSLATE(A107, ""en"", ""bn"")"),"১০৬")</f>
        <v>১০৬</v>
      </c>
      <c r="K107" s="10" t="str">
        <f>IFERROR(__xludf.DUMMYFUNCTION("GOOGLETRANSLATE(B107, ""en"", ""bn"")"),"অতীতে, গ্রামীণ এলাকার যুবকদের জন্য লাঠি খেলা কোন আচার-অনুষ্ঠানের জন্য একটি প্রমাণ ক্ষেত্র ছিল?")</f>
        <v>অতীতে, গ্রামীণ এলাকার যুবকদের জন্য লাঠি খেলা কোন আচার-অনুষ্ঠানের জন্য একটি প্রমাণ ক্ষেত্র ছিল?</v>
      </c>
      <c r="L107" s="10" t="str">
        <f>IFERROR(__xludf.DUMMYFUNCTION("GOOGLETRANSLATE(C107, ""en"", ""bn"")"),"ক) একটি গিল্ডে যোগদান, খ) স্বাধীনতা অর্জন, গ) পুরুষত্বের জন্য প্রস্তুতি প্রদর্শন, ঘ) একটি সামরিক বাহিনীতে যোগদান")</f>
        <v>ক) একটি গিল্ডে যোগদান, খ) স্বাধীনতা অর্জন, গ) পুরুষত্বের জন্য প্রস্তুতি প্রদর্শন, ঘ) একটি সামরিক বাহিনীতে যোগদান</v>
      </c>
      <c r="M107" s="10" t="str">
        <f>IFERROR(__xludf.DUMMYFUNCTION("GOOGLETRANSLATE(D107, ""en"", ""bn"")"),"গ) পুরুষত্বের জন্য প্রস্তুতি দেখানো")</f>
        <v>গ) পুরুষত্বের জন্য প্রস্তুতি দেখানো</v>
      </c>
      <c r="N107" s="10" t="str">
        <f>IFERROR(__xludf.DUMMYFUNCTION("GOOGLETRANSLATE(E107, ""en"", ""bn"")"),"ঐতিহাসিকভাবে গ্রামীণ যুবকদের সাহস এবং পুরুষত্বের জন্য প্রস্তুতি পরীক্ষা করার জন্য লাঠি খেলা ব্যবহৃত হত।")</f>
        <v>ঐতিহাসিকভাবে গ্রামীণ যুবকদের সাহস এবং পুরুষত্বের জন্য প্রস্তুতি পরীক্ষা করার জন্য লাঠি খেলা ব্যবহৃত হত।</v>
      </c>
    </row>
    <row r="108">
      <c r="A108" s="7">
        <v>107.0</v>
      </c>
      <c r="B108" s="7" t="s">
        <v>2442</v>
      </c>
      <c r="C108" s="7" t="s">
        <v>2443</v>
      </c>
      <c r="D108" s="7" t="s">
        <v>2444</v>
      </c>
      <c r="E108" s="7" t="s">
        <v>2445</v>
      </c>
      <c r="J108" s="10" t="str">
        <f>IFERROR(__xludf.DUMMYFUNCTION("GOOGLETRANSLATE(A108, ""en"", ""bn"")"),"১০৭")</f>
        <v>১০৭</v>
      </c>
      <c r="K108" s="10" t="str">
        <f>IFERROR(__xludf.DUMMYFUNCTION("GOOGLETRANSLATE(B108, ""en"", ""bn"")"),"""সর্দার খেলা"", যা কিছু অঞ্চলে লাঠি খেলার অপর নাম, তার তাৎপর্য কী?")</f>
        <v>"সর্দার খেলা", যা কিছু অঞ্চলে লাঠি খেলার অপর নাম, তার তাৎপর্য কী?</v>
      </c>
      <c r="L108" s="10" t="str">
        <f>IFERROR(__xludf.DUMMYFUNCTION("GOOGLETRANSLATE(C108, ""en"", ""bn"")"),"ক) এটি নেতাদের মধ্যে একটি প্রতিযোগিতা, খ) এর অর্থ ""প্রধানদের খেলা,"" গ) এটি একটি দল-ভিত্তিক খেলা, ঘ) এটি এক ধরণের নৃত্য")</f>
        <v>ক) এটি নেতাদের মধ্যে একটি প্রতিযোগিতা, খ) এর অর্থ "প্রধানদের খেলা," গ) এটি একটি দল-ভিত্তিক খেলা, ঘ) এটি এক ধরণের নৃত্য</v>
      </c>
      <c r="M108" s="10" t="str">
        <f>IFERROR(__xludf.DUMMYFUNCTION("GOOGLETRANSLATE(D108, ""en"", ""bn"")"),"খ) এর অর্থ ""প্রধানদের খেলা,""")</f>
        <v>খ) এর অর্থ "প্রধানদের খেলা,"</v>
      </c>
      <c r="N108" s="10" t="str">
        <f>IFERROR(__xludf.DUMMYFUNCTION("GOOGLETRANSLATE(E108, ""en"", ""bn"")"),"""সর্দার খেলা"" শব্দটির অর্থ ""প্রধানদের খেলা"", যা শক্তিশালী গ্রাম নেতাদের সাথে এর ঐতিহাসিক যোগসূত্রকে প্রতিফলিত করে।")</f>
        <v>"সর্দার খেলা" শব্দটির অর্থ "প্রধানদের খেলা", যা শক্তিশালী গ্রাম নেতাদের সাথে এর ঐতিহাসিক যোগসূত্রকে প্রতিফলিত করে।</v>
      </c>
    </row>
    <row r="109">
      <c r="A109" s="7">
        <v>108.0</v>
      </c>
      <c r="B109" s="7" t="s">
        <v>2446</v>
      </c>
      <c r="C109" s="7" t="s">
        <v>2447</v>
      </c>
      <c r="D109" s="7" t="s">
        <v>2448</v>
      </c>
      <c r="E109" s="7" t="s">
        <v>2449</v>
      </c>
      <c r="J109" s="10" t="str">
        <f>IFERROR(__xludf.DUMMYFUNCTION("GOOGLETRANSLATE(A109, ""en"", ""bn"")"),"১০৮")</f>
        <v>১০৮</v>
      </c>
      <c r="K109" s="10" t="str">
        <f>IFERROR(__xludf.DUMMYFUNCTION("GOOGLETRANSLATE(B109, ""en"", ""bn"")"),"ব্রিটিশ ঔপনিবেশিক সরকার কেন অন্যান্য ঐতিহ্যবাহী মার্শাল আর্টের তুলনায় লাঠি খেলাকে সহ্য করেছিল?")</f>
        <v>ব্রিটিশ ঔপনিবেশিক সরকার কেন অন্যান্য ঐতিহ্যবাহী মার্শাল আর্টের তুলনায় লাঠি খেলাকে সহ্য করেছিল?</v>
      </c>
      <c r="L109" s="10" t="str">
        <f>IFERROR(__xludf.DUMMYFUNCTION("GOOGLETRANSLATE(C109, ""en"", ""bn"")"),"ক) এটিকে হুমকি হিসেবে দেখা হত না, খ) এটিকে জনসাধারণকে নিয়ন্ত্রণ করার উপায় হিসেবে দেখা হত, গ) এটি তাদের জন্য বিনোদনের উৎস ছিল, ঘ) এটি দমন করা খুব কঠিন ছিল")</f>
        <v>ক) এটিকে হুমকি হিসেবে দেখা হত না, খ) এটিকে জনসাধারণকে নিয়ন্ত্রণ করার উপায় হিসেবে দেখা হত, গ) এটি তাদের জন্য বিনোদনের উৎস ছিল, ঘ) এটি দমন করা খুব কঠিন ছিল</v>
      </c>
      <c r="M109" s="10" t="str">
        <f>IFERROR(__xludf.DUMMYFUNCTION("GOOGLETRANSLATE(D109, ""en"", ""bn"")"),"খ) এটিকে জনসংখ্যা নিয়ন্ত্রণের একটি উপায় হিসেবে দেখা হত")</f>
        <v>খ) এটিকে জনসংখ্যা নিয়ন্ত্রণের একটি উপায় হিসেবে দেখা হত</v>
      </c>
      <c r="N109" s="10" t="str">
        <f>IFERROR(__xludf.DUMMYFUNCTION("GOOGLETRANSLATE(E109, ""en"", ""bn"")"),"ব্রিটিশরা কর আদায়ের জন্য লাঠি খেলাকে উপযোগী বলে মনে করেছিল, যা তাদের শাসনকে সহজতর করেছিল, তাই তারা এটিকে দমন করেনি।")</f>
        <v>ব্রিটিশরা কর আদায়ের জন্য লাঠি খেলাকে উপযোগী বলে মনে করেছিল, যা তাদের শাসনকে সহজতর করেছিল, তাই তারা এটিকে দমন করেনি।</v>
      </c>
    </row>
    <row r="110">
      <c r="A110" s="7">
        <v>109.0</v>
      </c>
      <c r="B110" s="7" t="s">
        <v>2450</v>
      </c>
      <c r="C110" s="7" t="s">
        <v>2451</v>
      </c>
      <c r="D110" s="7" t="s">
        <v>2452</v>
      </c>
      <c r="E110" s="7" t="s">
        <v>2453</v>
      </c>
      <c r="J110" s="10" t="str">
        <f>IFERROR(__xludf.DUMMYFUNCTION("GOOGLETRANSLATE(A110, ""en"", ""bn"")"),"১০৯")</f>
        <v>১০৯</v>
      </c>
      <c r="K110" s="10" t="str">
        <f>IFERROR(__xludf.DUMMYFUNCTION("GOOGLETRANSLATE(B110, ""en"", ""bn"")"),"লাঠি খেলা প্রশিক্ষণ এবং অনুশীলন অনুশীলনকারীদের মধ্যে কোন মূল মূল্যবোধ জাগিয়ে তোলে বলে মনে করা হয়?")</f>
        <v>লাঠি খেলা প্রশিক্ষণ এবং অনুশীলন অনুশীলনকারীদের মধ্যে কোন মূল মূল্যবোধ জাগিয়ে তোলে বলে মনে করা হয়?</v>
      </c>
      <c r="L110" s="10" t="str">
        <f>IFERROR(__xludf.DUMMYFUNCTION("GOOGLETRANSLATE(C110, ""en"", ""bn"")"),"ক) ধৈর্য, ​​খ) সংস্কৃতি এবং প্রতিপক্ষের প্রতি শ্রদ্ধা, গ) নম্রতা, ঘ) উচ্চাকাঙ্ক্ষা")</f>
        <v>ক) ধৈর্য, ​​খ) সংস্কৃতি এবং প্রতিপক্ষের প্রতি শ্রদ্ধা, গ) নম্রতা, ঘ) উচ্চাকাঙ্ক্ষা</v>
      </c>
      <c r="M110" s="10" t="str">
        <f>IFERROR(__xludf.DUMMYFUNCTION("GOOGLETRANSLATE(D110, ""en"", ""bn"")"),"খ) সংস্কৃতি এবং প্রতিপক্ষের প্রতি শ্রদ্ধা")</f>
        <v>খ) সংস্কৃতি এবং প্রতিপক্ষের প্রতি শ্রদ্ধা</v>
      </c>
      <c r="N110" s="10" t="str">
        <f>IFERROR(__xludf.DUMMYFUNCTION("GOOGLETRANSLATE(E110, ""en"", ""bn"")"),"সংস্কৃতি এবং প্রতিপক্ষ উভয়ের প্রতি গভীর শ্রদ্ধা লাঠি খেলা অনুশীলনের অন্তর্নিহিত একটি মূল মূল্যবোধ হিসেবে বিবেচিত হয়।")</f>
        <v>সংস্কৃতি এবং প্রতিপক্ষ উভয়ের প্রতি গভীর শ্রদ্ধা লাঠি খেলা অনুশীলনের অন্তর্নিহিত একটি মূল মূল্যবোধ হিসেবে বিবেচিত হয়।</v>
      </c>
    </row>
    <row r="111">
      <c r="A111" s="7">
        <v>110.0</v>
      </c>
      <c r="B111" s="7" t="s">
        <v>2454</v>
      </c>
      <c r="C111" s="7" t="s">
        <v>2455</v>
      </c>
      <c r="D111" s="7" t="s">
        <v>2456</v>
      </c>
      <c r="E111" s="7" t="s">
        <v>2457</v>
      </c>
      <c r="J111" s="10" t="str">
        <f>IFERROR(__xludf.DUMMYFUNCTION("GOOGLETRANSLATE(A111, ""en"", ""bn"")"),"১১০")</f>
        <v>১১০</v>
      </c>
      <c r="K111" s="10" t="str">
        <f>IFERROR(__xludf.DUMMYFUNCTION("GOOGLETRANSLATE(B111, ""en"", ""bn"")"),"কিছু গবেষক লাঠি খেলার পতনকে কীসের ফলে দেখেন?")</f>
        <v>কিছু গবেষক লাঠি খেলার পতনকে কীসের ফলে দেখেন?</v>
      </c>
      <c r="L111" s="10" t="str">
        <f>IFERROR(__xludf.DUMMYFUNCTION("GOOGLETRANSLATE(C111, ""en"", ""bn"")"),"ক) সরকারি সহায়তার অভাব, খ) সংরক্ষণের জন্য একটি সুশৃঙ্খল পদ্ধতির অনুপস্থিতি, গ) নতুন ধর্মের উত্থান, ঘ) সিনেমার জনপ্রিয়তা")</f>
        <v>ক) সরকারি সহায়তার অভাব, খ) সংরক্ষণের জন্য একটি সুশৃঙ্খল পদ্ধতির অনুপস্থিতি, গ) নতুন ধর্মের উত্থান, ঘ) সিনেমার জনপ্রিয়তা</v>
      </c>
      <c r="M111" s="10" t="str">
        <f>IFERROR(__xludf.DUMMYFUNCTION("GOOGLETRANSLATE(D111, ""en"", ""bn"")"),"খ) সংরক্ষণের জন্য একটি সুশৃঙ্খল পদ্ধতির অনুপস্থিতি")</f>
        <v>খ) সংরক্ষণের জন্য একটি সুশৃঙ্খল পদ্ধতির অনুপস্থিতি</v>
      </c>
      <c r="N111" s="10" t="str">
        <f>IFERROR(__xludf.DUMMYFUNCTION("GOOGLETRANSLATE(E111, ""en"", ""bn"")"),"গবেষকরা যুক্তি দেন যে কাঠামোগত গবেষণা এবং সংরক্ষণ প্রচেষ্টার অভাব শিল্পের অবক্ষয়ের কারণ।")</f>
        <v>গবেষকরা যুক্তি দেন যে কাঠামোগত গবেষণা এবং সংরক্ষণ প্রচেষ্টার অভাব শিল্পের অবক্ষয়ের কারণ।</v>
      </c>
    </row>
    <row r="112">
      <c r="A112" s="7">
        <v>111.0</v>
      </c>
      <c r="B112" s="7" t="s">
        <v>2458</v>
      </c>
      <c r="C112" s="7" t="s">
        <v>2459</v>
      </c>
      <c r="D112" s="7" t="s">
        <v>2460</v>
      </c>
      <c r="E112" s="7" t="s">
        <v>2461</v>
      </c>
      <c r="J112" s="10" t="str">
        <f>IFERROR(__xludf.DUMMYFUNCTION("GOOGLETRANSLATE(A112, ""en"", ""bn"")"),"১১১")</f>
        <v>১১১</v>
      </c>
      <c r="K112" s="10" t="str">
        <f>IFERROR(__xludf.DUMMYFUNCTION("GOOGLETRANSLATE(B112, ""en"", ""bn"")"),"প্রাচীন বাংলায়, আত্মরক্ষার বাইরে লাঠি খেলার প্রাথমিক উদ্দেশ্য কী ছিল?")</f>
        <v>প্রাচীন বাংলায়, আত্মরক্ষার বাইরে লাঠি খেলার প্রাথমিক উদ্দেশ্য কী ছিল?</v>
      </c>
      <c r="L112" s="10" t="str">
        <f>IFERROR(__xludf.DUMMYFUNCTION("GOOGLETRANSLATE(C112, ""en"", ""bn"")"),"ক) সামরিক কৌশল অনুশীলন করা, খ) পশুপাল রক্ষা করা, গ) নারীদের প্রভাবিত করা, ঘ) শক্তি প্রদর্শন করা")</f>
        <v>ক) সামরিক কৌশল অনুশীলন করা, খ) পশুপাল রক্ষা করা, গ) নারীদের প্রভাবিত করা, ঘ) শক্তি প্রদর্শন করা</v>
      </c>
      <c r="M112" s="10" t="str">
        <f>IFERROR(__xludf.DUMMYFUNCTION("GOOGLETRANSLATE(D112, ""en"", ""bn"")"),"ক) সামরিক কৌশল অনুশীলন করা")</f>
        <v>ক) সামরিক কৌশল অনুশীলন করা</v>
      </c>
      <c r="N112" s="10" t="str">
        <f>IFERROR(__xludf.DUMMYFUNCTION("GOOGLETRANSLATE(E112, ""en"", ""bn"")"),"এই শিল্পটি যোদ্ধাদের প্রশিক্ষণ এবং সামরিক কৌশল অনুশীলনের জন্য ব্যবহৃত হত।")</f>
        <v>এই শিল্পটি যোদ্ধাদের প্রশিক্ষণ এবং সামরিক কৌশল অনুশীলনের জন্য ব্যবহৃত হত।</v>
      </c>
    </row>
    <row r="113">
      <c r="A113" s="7">
        <v>112.0</v>
      </c>
      <c r="B113" s="7" t="s">
        <v>2462</v>
      </c>
      <c r="C113" s="7" t="s">
        <v>2463</v>
      </c>
      <c r="D113" s="7" t="s">
        <v>2464</v>
      </c>
      <c r="E113" s="7" t="s">
        <v>2465</v>
      </c>
      <c r="J113" s="10" t="str">
        <f>IFERROR(__xludf.DUMMYFUNCTION("GOOGLETRANSLATE(A113, ""en"", ""bn"")"),"১১২")</f>
        <v>১১২</v>
      </c>
      <c r="K113" s="10" t="str">
        <f>IFERROR(__xludf.DUMMYFUNCTION("GOOGLETRANSLATE(B113, ""en"", ""bn"")"),"লাঠিখেলায় ""হালুয়া"" শব্দটি কোন নির্দিষ্ট কৌশলকে বোঝায়?")</f>
        <v>লাঠিখেলায় "হালুয়া" শব্দটি কোন নির্দিষ্ট কৌশলকে বোঝায়?</v>
      </c>
      <c r="L113" s="10" t="str">
        <f>IFERROR(__xludf.DUMMYFUNCTION("GOOGLETRANSLATE(C113, ""en"", ""bn"")"),"ক) একটি প্রতিরক্ষামূলক ব্লক, খ) একটি লাঠি ঘোরানোর কৌশল, গ) দুই হাতে লড়াইয়ের কৌশল, ঘ) একটি লাফিয়ে আক্রমণ")</f>
        <v>ক) একটি প্রতিরক্ষামূলক ব্লক, খ) একটি লাঠি ঘোরানোর কৌশল, গ) দুই হাতে লড়াইয়ের কৌশল, ঘ) একটি লাফিয়ে আক্রমণ</v>
      </c>
      <c r="M113" s="10" t="str">
        <f>IFERROR(__xludf.DUMMYFUNCTION("GOOGLETRANSLATE(D113, ""en"", ""bn"")"),"গ) দুই হাতে যুদ্ধের কৌশল")</f>
        <v>গ) দুই হাতে যুদ্ধের কৌশল</v>
      </c>
      <c r="N113" s="10" t="str">
        <f>IFERROR(__xludf.DUMMYFUNCTION("GOOGLETRANSLATE(E113, ""en"", ""bn"")"),"""হালুয়া"" হল একটি যুদ্ধ কৌশল যেখানে অনুশীলনকারী উভয় হাতে লাঠির এক প্রান্ত ধরে পূর্ণ শক্তি দিয়ে এটি ব্যবহার করেন।")</f>
        <v>"হালুয়া" হল একটি যুদ্ধ কৌশল যেখানে অনুশীলনকারী উভয় হাতে লাঠির এক প্রান্ত ধরে পূর্ণ শক্তি দিয়ে এটি ব্যবহার করেন।</v>
      </c>
    </row>
    <row r="114">
      <c r="A114" s="7">
        <v>113.0</v>
      </c>
      <c r="B114" s="7" t="s">
        <v>2466</v>
      </c>
      <c r="C114" s="7" t="s">
        <v>2467</v>
      </c>
      <c r="D114" s="7" t="s">
        <v>2468</v>
      </c>
      <c r="E114" s="7" t="s">
        <v>2469</v>
      </c>
      <c r="J114" s="10" t="str">
        <f>IFERROR(__xludf.DUMMYFUNCTION("GOOGLETRANSLATE(A114, ""en"", ""bn"")"),"১১৩")</f>
        <v>১১৩</v>
      </c>
      <c r="K114" s="10" t="str">
        <f>IFERROR(__xludf.DUMMYFUNCTION("GOOGLETRANSLATE(B114, ""en"", ""bn"")"),"বাংলাদেশের কিছু ধর্মীয় মহলে লাঠি খেলা এখনও কোন প্রেক্ষাপটে সংরক্ষিত আছে?")</f>
        <v>বাংলাদেশের কিছু ধর্মীয় মহলে লাঠি খেলা এখনও কোন প্রেক্ষাপটে সংরক্ষিত আছে?</v>
      </c>
      <c r="L114" s="10" t="str">
        <f>IFERROR(__xludf.DUMMYFUNCTION("GOOGLETRANSLATE(C114, ""en"", ""bn"")"),"ক) ধ্যানের একটি রূপ হিসেবে, খ) তরুণ সন্ন্যাসীদের জন্য একটি প্রয়োজনীয় বিষয় হিসেবে, গ) প্রতিদিনের প্রার্থনার অংশ হিসেবে, ঘ) শারীরিক ত্যাগের একটি রূপ হিসেবে")</f>
        <v>ক) ধ্যানের একটি রূপ হিসেবে, খ) তরুণ সন্ন্যাসীদের জন্য একটি প্রয়োজনীয় বিষয় হিসেবে, গ) প্রতিদিনের প্রার্থনার অংশ হিসেবে, ঘ) শারীরিক ত্যাগের একটি রূপ হিসেবে</v>
      </c>
      <c r="M114" s="10" t="str">
        <f>IFERROR(__xludf.DUMMYFUNCTION("GOOGLETRANSLATE(D114, ""en"", ""bn"")"),"খ) তরুণ সন্ন্যাসীদের জন্য একটি প্রয়োজনীয় বিষয় হিসেবে")</f>
        <v>খ) তরুণ সন্ন্যাসীদের জন্য একটি প্রয়োজনীয় বিষয় হিসেবে</v>
      </c>
      <c r="N114" s="10" t="str">
        <f>IFERROR(__xludf.DUMMYFUNCTION("GOOGLETRANSLATE(E114, ""en"", ""bn"")"),"ভারত সেবাশ্রম সংঘের একটি পাঠ্যক্রম রয়েছে যেখানে তরুণ সন্ন্যাসীদের জন্য ধর্মীয় পুণ্য এবং আচার হিসেবে লাঠি খেলা প্রশিক্ষণের ব্যবস্থা রয়েছে।")</f>
        <v>ভারত সেবাশ্রম সংঘের একটি পাঠ্যক্রম রয়েছে যেখানে তরুণ সন্ন্যাসীদের জন্য ধর্মীয় পুণ্য এবং আচার হিসেবে লাঠি খেলা প্রশিক্ষণের ব্যবস্থা রয়েছে।</v>
      </c>
    </row>
    <row r="115">
      <c r="A115" s="7">
        <v>114.0</v>
      </c>
      <c r="B115" s="7" t="s">
        <v>2470</v>
      </c>
      <c r="C115" s="7" t="s">
        <v>2471</v>
      </c>
      <c r="D115" s="7" t="s">
        <v>2472</v>
      </c>
      <c r="E115" s="7" t="s">
        <v>2473</v>
      </c>
      <c r="J115" s="10" t="str">
        <f>IFERROR(__xludf.DUMMYFUNCTION("GOOGLETRANSLATE(A115, ""en"", ""bn"")"),"১১৪")</f>
        <v>১১৪</v>
      </c>
      <c r="K115" s="10" t="str">
        <f>IFERROR(__xludf.DUMMYFUNCTION("GOOGLETRANSLATE(B115, ""en"", ""bn"")"),"লাঠি খেলায় লাঠি ঘোরানোর কৌশলের নাম কী?")</f>
        <v>লাঠি খেলায় লাঠি ঘোরানোর কৌশলের নাম কী?</v>
      </c>
      <c r="L115" s="10" t="str">
        <f>IFERROR(__xludf.DUMMYFUNCTION("GOOGLETRANSLATE(C115, ""en"", ""bn"")"),"ক) হালওয়া, খ) নরি বারি, গ) বনেথি, ঘ) বাওই ঝাক")</f>
        <v>ক) হালওয়া, খ) নরি বারি, গ) বনেথি, ঘ) বাওই ঝাক</v>
      </c>
      <c r="M115" s="10" t="str">
        <f>IFERROR(__xludf.DUMMYFUNCTION("GOOGLETRANSLATE(D115, ""en"", ""bn"")"),"গ) বানেথি")</f>
        <v>গ) বানেথি</v>
      </c>
      <c r="N115" s="10" t="str">
        <f>IFERROR(__xludf.DUMMYFUNCTION("GOOGLETRANSLATE(E115, ""en"", ""bn"")"),"""বানেথি"" হল একটি লাঠি ঘোরানোর কৌশল যেখানে লাঠিটি এক বা দুই হাতে ধরে উচ্চ গতিতে ঘোরানো হয়।")</f>
        <v>"বানেথি" হল একটি লাঠি ঘোরানোর কৌশল যেখানে লাঠিটি এক বা দুই হাতে ধরে উচ্চ গতিতে ঘোরানো হয়।</v>
      </c>
    </row>
    <row r="116">
      <c r="A116" s="7">
        <v>115.0</v>
      </c>
      <c r="B116" s="7" t="s">
        <v>2474</v>
      </c>
      <c r="C116" s="7" t="s">
        <v>2475</v>
      </c>
      <c r="D116" s="7" t="s">
        <v>2476</v>
      </c>
      <c r="E116" s="7" t="s">
        <v>2477</v>
      </c>
      <c r="J116" s="10" t="str">
        <f>IFERROR(__xludf.DUMMYFUNCTION("GOOGLETRANSLATE(A116, ""en"", ""bn"")"),"১১৫")</f>
        <v>১১৫</v>
      </c>
      <c r="K116" s="10" t="str">
        <f>IFERROR(__xludf.DUMMYFUNCTION("GOOGLETRANSLATE(B116, ""en"", ""bn"")"),"লাঠিতে ব্যবহৃত বাঁশের মূল বৈশিষ্ট্য কী যা এটিকে যুদ্ধের জন্য উপযুক্ত করে তোলে?")</f>
        <v>লাঠিতে ব্যবহৃত বাঁশের মূল বৈশিষ্ট্য কী যা এটিকে যুদ্ধের জন্য উপযুক্ত করে তোলে?</v>
      </c>
      <c r="L116" s="10" t="str">
        <f>IFERROR(__xludf.DUMMYFUNCTION("GOOGLETRANSLATE(C116, ""en"", ""bn"")"),"ক) এর ওজন, খ) এর নমনীয়তা এবং শক্তি, গ) এর রঙ, ঘ) এর গঠন")</f>
        <v>ক) এর ওজন, খ) এর নমনীয়তা এবং শক্তি, গ) এর রঙ, ঘ) এর গঠন</v>
      </c>
      <c r="M116" s="10" t="str">
        <f>IFERROR(__xludf.DUMMYFUNCTION("GOOGLETRANSLATE(D116, ""en"", ""bn"")"),"খ) এর নমনীয়তা এবং শক্তি")</f>
        <v>খ) এর নমনীয়তা এবং শক্তি</v>
      </c>
      <c r="N116" s="10" t="str">
        <f>IFERROR(__xludf.DUMMYFUNCTION("GOOGLETRANSLATE(E116, ""en"", ""bn"")"),"লাঠির জন্য ব্যবহৃত পুরুষ বাঁশটি শক্তিশালী কিন্তু নমনীয়, যা মার্শাল আর্টের জন্য আদর্শ।")</f>
        <v>লাঠির জন্য ব্যবহৃত পুরুষ বাঁশটি শক্তিশালী কিন্তু নমনীয়, যা মার্শাল আর্টের জন্য আদর্শ।</v>
      </c>
    </row>
    <row r="117">
      <c r="A117" s="7">
        <v>116.0</v>
      </c>
      <c r="B117" s="7" t="s">
        <v>2478</v>
      </c>
      <c r="C117" s="7" t="s">
        <v>2479</v>
      </c>
      <c r="D117" s="7" t="s">
        <v>2480</v>
      </c>
      <c r="E117" s="7" t="s">
        <v>2481</v>
      </c>
      <c r="J117" s="10" t="str">
        <f>IFERROR(__xludf.DUMMYFUNCTION("GOOGLETRANSLATE(A117, ""en"", ""bn"")"),"১১৬")</f>
        <v>১১৬</v>
      </c>
      <c r="K117" s="10" t="str">
        <f>IFERROR(__xludf.DUMMYFUNCTION("GOOGLETRANSLATE(B117, ""en"", ""bn"")"),"কোন নির্দিষ্ট ঐতিহাসিক প্রমাণ থেকে জানা যায় যে লাঠি খেলা ব্রিটিশ ঔপনিবেশিক সরকার গ্রহণ করেছিল?")</f>
        <v>কোন নির্দিষ্ট ঐতিহাসিক প্রমাণ থেকে জানা যায় যে লাঠি খেলা ব্রিটিশ ঔপনিবেশিক সরকার গ্রহণ করেছিল?</v>
      </c>
      <c r="L117" s="10" t="str">
        <f>IFERROR(__xludf.DUMMYFUNCTION("GOOGLETRANSLATE(C117, ""en"", ""bn"")"),"ক) তারা এটিকে পুলিশ বাহিনীতে অন্তর্ভুক্ত করে, খ) তারা কখনও এটি নিষিদ্ধ করেনি, গ) তারা কর আদায়ের জন্য লাঠিয়াল ব্যবহার করেছিল, ঘ) তারা এর জন্য তহবিল সরবরাহ করেছিল")</f>
        <v>ক) তারা এটিকে পুলিশ বাহিনীতে অন্তর্ভুক্ত করে, খ) তারা কখনও এটি নিষিদ্ধ করেনি, গ) তারা কর আদায়ের জন্য লাঠিয়াল ব্যবহার করেছিল, ঘ) তারা এর জন্য তহবিল সরবরাহ করেছিল</v>
      </c>
      <c r="M117" s="10" t="str">
        <f>IFERROR(__xludf.DUMMYFUNCTION("GOOGLETRANSLATE(D117, ""en"", ""bn"")"),"গ) তারা কর আদায়ের জন্য লাঠিয়াল ব্যবহার করত")</f>
        <v>গ) তারা কর আদায়ের জন্য লাঠিয়াল ব্যবহার করত</v>
      </c>
      <c r="N117" s="10" t="str">
        <f>IFERROR(__xludf.DUMMYFUNCTION("GOOGLETRANSLATE(E117, ""en"", ""bn"")"),"অন্যান্য শিল্পকলার বিপরীতে, ব্রিটিশরা তাদের কর আদায় প্রক্রিয়া কার্যকর করার জন্য লাঠি খেলাকে একটি হাতিয়ার হিসেবে গ্রহণ করেছিল।")</f>
        <v>অন্যান্য শিল্পকলার বিপরীতে, ব্রিটিশরা তাদের কর আদায় প্রক্রিয়া কার্যকর করার জন্য লাঠি খেলাকে একটি হাতিয়ার হিসেবে গ্রহণ করেছিল।</v>
      </c>
    </row>
    <row r="118">
      <c r="A118" s="7">
        <v>117.0</v>
      </c>
      <c r="B118" s="7" t="s">
        <v>2482</v>
      </c>
      <c r="C118" s="7" t="s">
        <v>2483</v>
      </c>
      <c r="D118" s="7" t="s">
        <v>2484</v>
      </c>
      <c r="E118" s="7" t="s">
        <v>2485</v>
      </c>
      <c r="J118" s="10" t="str">
        <f>IFERROR(__xludf.DUMMYFUNCTION("GOOGLETRANSLATE(A118, ""en"", ""bn"")"),"১১৭")</f>
        <v>১১৭</v>
      </c>
      <c r="K118" s="10" t="str">
        <f>IFERROR(__xludf.DUMMYFUNCTION("GOOGLETRANSLATE(B118, ""en"", ""bn"")"),"লাঠি খেলার ইতিহাস বাংলার কোন সামাজিক ও রাজনৈতিক কারণের সাথে গভীরভাবে জড়িত?")</f>
        <v>লাঠি খেলার ইতিহাস বাংলার কোন সামাজিক ও রাজনৈতিক কারণের সাথে গভীরভাবে জড়িত?</v>
      </c>
      <c r="L118" s="10" t="str">
        <f>IFERROR(__xludf.DUMMYFUNCTION("GOOGLETRANSLATE(C118, ""en"", ""bn"")"),"ক) ভূমি বিরোধ এবং কর আদায়, খ) ধর্মীয় দ্বন্দ্ব এবং বাণিজ্য, গ) শিক্ষা এবং নগরায়ণ, ঘ) শিল্পায়ন এবং অর্থনৈতিক প্রবৃদ্ধি")</f>
        <v>ক) ভূমি বিরোধ এবং কর আদায়, খ) ধর্মীয় দ্বন্দ্ব এবং বাণিজ্য, গ) শিক্ষা এবং নগরায়ণ, ঘ) শিল্পায়ন এবং অর্থনৈতিক প্রবৃদ্ধি</v>
      </c>
      <c r="M118" s="10" t="str">
        <f>IFERROR(__xludf.DUMMYFUNCTION("GOOGLETRANSLATE(D118, ""en"", ""bn"")"),"ক) জমি সংক্রান্ত বিরোধ এবং কর আদায়")</f>
        <v>ক) জমি সংক্রান্ত বিরোধ এবং কর আদায়</v>
      </c>
      <c r="N118" s="10" t="str">
        <f>IFERROR(__xludf.DUMMYFUNCTION("GOOGLETRANSLATE(E118, ""en"", ""bn"")"),"জমিদারদের কর আদায় এবং জমি বিরোধের জন্য এই মার্শাল আর্টের ব্যবহার এর ইতিহাসের একটি উল্লেখযোগ্য অংশ।")</f>
        <v>জমিদারদের কর আদায় এবং জমি বিরোধের জন্য এই মার্শাল আর্টের ব্যবহার এর ইতিহাসের একটি উল্লেখযোগ্য অংশ।</v>
      </c>
    </row>
    <row r="119">
      <c r="A119" s="7">
        <v>118.0</v>
      </c>
      <c r="B119" s="7" t="s">
        <v>2486</v>
      </c>
      <c r="C119" s="7" t="s">
        <v>2487</v>
      </c>
      <c r="D119" s="7" t="s">
        <v>2488</v>
      </c>
      <c r="E119" s="7" t="s">
        <v>2489</v>
      </c>
      <c r="J119" s="10" t="str">
        <f>IFERROR(__xludf.DUMMYFUNCTION("GOOGLETRANSLATE(A119, ""en"", ""bn"")"),"১১৮")</f>
        <v>১১৮</v>
      </c>
      <c r="K119" s="10" t="str">
        <f>IFERROR(__xludf.DUMMYFUNCTION("GOOGLETRANSLATE(B119, ""en"", ""bn"")"),"ব্রিটিশ ঔপনিবেশিক যুগে লাঠিখেলার অনুশীলনকারীদের কাদের দ্বারা ভীত বলে মনে করা হত?")</f>
        <v>ব্রিটিশ ঔপনিবেশিক যুগে লাঠিখেলার অনুশীলনকারীদের কাদের দ্বারা ভীত বলে মনে করা হত?</v>
      </c>
      <c r="L119" s="10" t="str">
        <f>IFERROR(__xludf.DUMMYFUNCTION("GOOGLETRANSLATE(C119, ""en"", ""bn"")"),"ক) মুঘলরা, খ) ব্রিটিশ সৈন্যরা, গ) অন্যান্য যুদ্ধ শিল্পীরা, ঘ) গ্রামপ্রধানরা")</f>
        <v>ক) মুঘলরা, খ) ব্রিটিশ সৈন্যরা, গ) অন্যান্য যুদ্ধ শিল্পীরা, ঘ) গ্রামপ্রধানরা</v>
      </c>
      <c r="M119" s="10" t="str">
        <f>IFERROR(__xludf.DUMMYFUNCTION("GOOGLETRANSLATE(D119, ""en"", ""bn"")"),"খ) ব্রিটিশ সৈন্যরা")</f>
        <v>খ) ব্রিটিশ সৈন্যরা</v>
      </c>
      <c r="N119" s="10" t="str">
        <f>IFERROR(__xludf.DUMMYFUNCTION("GOOGLETRANSLATE(E119, ""en"", ""bn"")"),"লাঠিয়ালদের তত্পরতা এবং শক্তি তাদেরকে একটি শক্তিশালী বাহিনীতে পরিণত করেছিল, এমনকি ব্রিটিশরাও তাদের ভয় পেত।")</f>
        <v>লাঠিয়ালদের তত্পরতা এবং শক্তি তাদেরকে একটি শক্তিশালী বাহিনীতে পরিণত করেছিল, এমনকি ব্রিটিশরাও তাদের ভয় পেত।</v>
      </c>
    </row>
    <row r="120">
      <c r="A120" s="7">
        <v>119.0</v>
      </c>
      <c r="B120" s="7" t="s">
        <v>2490</v>
      </c>
      <c r="C120" s="7" t="s">
        <v>2491</v>
      </c>
      <c r="D120" s="7" t="s">
        <v>2492</v>
      </c>
      <c r="E120" s="7" t="s">
        <v>2493</v>
      </c>
      <c r="J120" s="10" t="str">
        <f>IFERROR(__xludf.DUMMYFUNCTION("GOOGLETRANSLATE(A120, ""en"", ""bn"")"),"১১৯")</f>
        <v>১১৯</v>
      </c>
      <c r="K120" s="10" t="str">
        <f>IFERROR(__xludf.DUMMYFUNCTION("GOOGLETRANSLATE(B120, ""en"", ""bn"")"),"গ্রামীণ সম্প্রদায়ের শারীরিক সুস্থতা বৃদ্ধিতে লাঠি খেলা কীভাবে সাহায্য করেছিল?")</f>
        <v>গ্রামীণ সম্প্রদায়ের শারীরিক সুস্থতা বৃদ্ধিতে লাঠি খেলা কীভাবে সাহায্য করেছিল?</v>
      </c>
      <c r="L120" s="10" t="str">
        <f>IFERROR(__xludf.DUMMYFUNCTION("GOOGLETRANSLATE(C120, ""en"", ""bn"")"),"ক) বিনোদন প্রদানের মাধ্যমে, খ) মূল শক্তি এবং তত্পরতা তৈরি করে, গ) কৃষিকাজের প্রশিক্ষণ দিয়ে, ঘ) স্ব-শৃঙ্খলা শেখানোর মাধ্যমে")</f>
        <v>ক) বিনোদন প্রদানের মাধ্যমে, খ) মূল শক্তি এবং তত্পরতা তৈরি করে, গ) কৃষিকাজের প্রশিক্ষণ দিয়ে, ঘ) স্ব-শৃঙ্খলা শেখানোর মাধ্যমে</v>
      </c>
      <c r="M120" s="10" t="str">
        <f>IFERROR(__xludf.DUMMYFUNCTION("GOOGLETRANSLATE(D120, ""en"", ""bn"")"),"খ) মূল শক্তি এবং তত্পরতা তৈরি করে")</f>
        <v>খ) মূল শক্তি এবং তত্পরতা তৈরি করে</v>
      </c>
      <c r="N120" s="10" t="str">
        <f>IFERROR(__xludf.DUMMYFUNCTION("GOOGLETRANSLATE(E120, ""en"", ""bn"")"),"লাঠিখেলায় কঠোর প্রশিক্ষণ শারীরিক সহনশীলতা, প্রতিফলন এবং মানসিক মনোযোগ বৃদ্ধি করেছে।")</f>
        <v>লাঠিখেলায় কঠোর প্রশিক্ষণ শারীরিক সহনশীলতা, প্রতিফলন এবং মানসিক মনোযোগ বৃদ্ধি করেছে।</v>
      </c>
    </row>
    <row r="121">
      <c r="A121" s="7">
        <v>120.0</v>
      </c>
      <c r="B121" s="7" t="s">
        <v>2494</v>
      </c>
      <c r="C121" s="7" t="s">
        <v>2495</v>
      </c>
      <c r="D121" s="7" t="s">
        <v>2496</v>
      </c>
      <c r="E121" s="7" t="s">
        <v>2497</v>
      </c>
      <c r="J121" s="10" t="str">
        <f>IFERROR(__xludf.DUMMYFUNCTION("GOOGLETRANSLATE(A121, ""en"", ""bn"")"),"১২০")</f>
        <v>১২০</v>
      </c>
      <c r="K121" s="10" t="str">
        <f>IFERROR(__xludf.DUMMYFUNCTION("GOOGLETRANSLATE(B121, ""en"", ""bn"")"),"লাঠিয়াল গোষ্ঠীগুলিও যে ধরণের সামরিক শিল্প অনুশীলন করত, তাকে কী বলে?")</f>
        <v>লাঠিয়াল গোষ্ঠীগুলিও যে ধরণের সামরিক শিল্প অনুশীলন করত, তাকে কী বলে?</v>
      </c>
      <c r="L121" s="10" t="str">
        <f>IFERROR(__xludf.DUMMYFUNCTION("GOOGLETRANSLATE(C121, ""en"", ""bn"")"),"ক) ফারা খেলা, খ) দাও খেলা, গ) ছুরি খেলা, ঘ) নরি বাড়ি")</f>
        <v>ক) ফারা খেলা, খ) দাও খেলা, গ) ছুরি খেলা, ঘ) নরি বাড়ি</v>
      </c>
      <c r="M121" s="10" t="str">
        <f>IFERROR(__xludf.DUMMYFUNCTION("GOOGLETRANSLATE(D121, ""en"", ""bn"")"),"খ) দাও খেলা")</f>
        <v>খ) দাও খেলা</v>
      </c>
      <c r="N121" s="10" t="str">
        <f>IFERROR(__xludf.DUMMYFUNCTION("GOOGLETRANSLATE(E121, ""en"", ""bn"")"),"""দাও খেলা"" হল চাপাতি দিয়ে লড়াইয়ের শব্দ, যা লাঠিয়ালদের প্রশিক্ষণেরও অংশ ছিল।")</f>
        <v>"দাও খেলা" হল চাপাতি দিয়ে লড়াইয়ের শব্দ, যা লাঠিয়ালদের প্রশিক্ষণেরও অংশ ছিল।</v>
      </c>
    </row>
    <row r="122">
      <c r="A122" s="7">
        <v>121.0</v>
      </c>
      <c r="B122" s="7" t="s">
        <v>2498</v>
      </c>
      <c r="C122" s="7" t="s">
        <v>2499</v>
      </c>
      <c r="D122" s="7" t="s">
        <v>2500</v>
      </c>
      <c r="E122" s="7" t="s">
        <v>2501</v>
      </c>
      <c r="J122" s="10" t="str">
        <f>IFERROR(__xludf.DUMMYFUNCTION("GOOGLETRANSLATE(A122, ""en"", ""bn"")"),"১২১")</f>
        <v>১২১</v>
      </c>
      <c r="K122" s="10" t="str">
        <f>IFERROR(__xludf.DUMMYFUNCTION("GOOGLETRANSLATE(B122, ""en"", ""bn"")"),"বাংলাদেশের কোন জেলায় মহিলারা সম্প্রতি লাঠি খেলা অনুশীলনে যোগদান শুরু করেছেন?")</f>
        <v>বাংলাদেশের কোন জেলায় মহিলারা সম্প্রতি লাঠি খেলা অনুশীলনে যোগদান শুরু করেছেন?</v>
      </c>
      <c r="L122" s="10" t="str">
        <f>IFERROR(__xludf.DUMMYFUNCTION("GOOGLETRANSLATE(C122, ""en"", ""bn"")"),"A) ঢাকা, B) নড়াইল, C) সিলেট, D) চট্টগ্রাম")</f>
        <v>A) ঢাকা, B) নড়াইল, C) সিলেট, D) চট্টগ্রাম</v>
      </c>
      <c r="M122" s="10" t="str">
        <f>IFERROR(__xludf.DUMMYFUNCTION("GOOGLETRANSLATE(D122, ""en"", ""bn"")"),"খ) নড়াইল")</f>
        <v>খ) নড়াইল</v>
      </c>
      <c r="N122" s="10" t="str">
        <f>IFERROR(__xludf.DUMMYFUNCTION("GOOGLETRANSLATE(E122, ""en"", ""bn"")"),"নড়াইল জেলায়, নারীরা এই প্রথায় যোগ দিতে শুরু করেছেন, যা ঐতিহ্যগতভাবে পুরুষ-শাসিত ছিল।")</f>
        <v>নড়াইল জেলায়, নারীরা এই প্রথায় যোগ দিতে শুরু করেছেন, যা ঐতিহ্যগতভাবে পুরুষ-শাসিত ছিল।</v>
      </c>
    </row>
    <row r="123">
      <c r="A123" s="7">
        <v>122.0</v>
      </c>
      <c r="B123" s="7" t="s">
        <v>2502</v>
      </c>
      <c r="C123" s="7" t="s">
        <v>2503</v>
      </c>
      <c r="D123" s="7" t="s">
        <v>2504</v>
      </c>
      <c r="E123" s="7" t="s">
        <v>2505</v>
      </c>
      <c r="J123" s="10" t="str">
        <f>IFERROR(__xludf.DUMMYFUNCTION("GOOGLETRANSLATE(A123, ""en"", ""bn"")"),"১২২")</f>
        <v>১২২</v>
      </c>
      <c r="K123" s="10" t="str">
        <f>IFERROR(__xludf.DUMMYFUNCTION("GOOGLETRANSLATE(B123, ""en"", ""bn"")"),"লাঠি খেলার প্রধান বৈশিষ্ট্য কী যা এটিকে অন্যান্য সাংস্কৃতিক পরিবেশনা থেকে আলাদা করে?")</f>
        <v>লাঠি খেলার প্রধান বৈশিষ্ট্য কী যা এটিকে অন্যান্য সাংস্কৃতিক পরিবেশনা থেকে আলাদা করে?</v>
      </c>
      <c r="L123" s="10" t="str">
        <f>IFERROR(__xludf.DUMMYFUNCTION("GOOGLETRANSLATE(C123, ""en"", ""bn"")"),"ক) সঙ্গীতের ব্যবহার, খ) দলগত পরিবেশনার উপর এর গুরুত্ব, গ) যুদ্ধ দক্ষতার সাথে এর ঐতিহাসিক যোগসূত্র, ঘ) ঐতিহ্যবাহী পোশাকের ব্যবহার")</f>
        <v>ক) সঙ্গীতের ব্যবহার, খ) দলগত পরিবেশনার উপর এর গুরুত্ব, গ) যুদ্ধ দক্ষতার সাথে এর ঐতিহাসিক যোগসূত্র, ঘ) ঐতিহ্যবাহী পোশাকের ব্যবহার</v>
      </c>
      <c r="M123" s="10" t="str">
        <f>IFERROR(__xludf.DUMMYFUNCTION("GOOGLETRANSLATE(D123, ""en"", ""bn"")"),"গ) সামরিক দক্ষতার সাথে এর ঐতিহাসিক যোগসূত্র")</f>
        <v>গ) সামরিক দক্ষতার সাথে এর ঐতিহাসিক যোগসূত্র</v>
      </c>
      <c r="N123" s="10" t="str">
        <f>IFERROR(__xludf.DUMMYFUNCTION("GOOGLETRANSLATE(E123, ""en"", ""bn"")"),"লাঠি খেলা অনন্য কারণ এটি একটি মার্শাল আর্ট থেকে উদ্ভূত হয়েছে, অন্যান্য অনেক ঐতিহ্যবাহী নৃত্যের মতো নয়।")</f>
        <v>লাঠি খেলা অনন্য কারণ এটি একটি মার্শাল আর্ট থেকে উদ্ভূত হয়েছে, অন্যান্য অনেক ঐতিহ্যবাহী নৃত্যের মতো নয়।</v>
      </c>
    </row>
    <row r="124">
      <c r="A124" s="7">
        <v>123.0</v>
      </c>
      <c r="B124" s="7" t="s">
        <v>2506</v>
      </c>
      <c r="C124" s="7" t="s">
        <v>2507</v>
      </c>
      <c r="D124" s="7" t="s">
        <v>2508</v>
      </c>
      <c r="E124" s="7" t="s">
        <v>2509</v>
      </c>
      <c r="J124" s="10" t="str">
        <f>IFERROR(__xludf.DUMMYFUNCTION("GOOGLETRANSLATE(A124, ""en"", ""bn"")"),"১২৩")</f>
        <v>১২৩</v>
      </c>
      <c r="K124" s="10" t="str">
        <f>IFERROR(__xludf.DUMMYFUNCTION("GOOGLETRANSLATE(B124, ""en"", ""bn"")"),"বিংশ শতাব্দীতে লাঠি খেলার পতন মূলত কীসের উত্থানের কারণে হয়েছিল?")</f>
        <v>বিংশ শতাব্দীতে লাঠি খেলার পতন মূলত কীসের উত্থানের কারণে হয়েছিল?</v>
      </c>
      <c r="L124" s="10" t="str">
        <f>IFERROR(__xludf.DUMMYFUNCTION("GOOGLETRANSLATE(C124, ""en"", ""bn"")"),"ক) আধুনিক খেলাধুলা, খ) রাজনৈতিক অস্থিরতা, গ) আগ্নেয়াস্ত্র এবং আধুনিকীকরণ, ঘ) সামাজিক মাধ্যম")</f>
        <v>ক) আধুনিক খেলাধুলা, খ) রাজনৈতিক অস্থিরতা, গ) আগ্নেয়াস্ত্র এবং আধুনিকীকরণ, ঘ) সামাজিক মাধ্যম</v>
      </c>
      <c r="M124" s="10" t="str">
        <f>IFERROR(__xludf.DUMMYFUNCTION("GOOGLETRANSLATE(D124, ""en"", ""bn"")"),"গ) আগ্নেয়াস্ত্র এবং আধুনিকীকরণ")</f>
        <v>গ) আগ্নেয়াস্ত্র এবং আধুনিকীকরণ</v>
      </c>
      <c r="N124" s="10" t="str">
        <f>IFERROR(__xludf.DUMMYFUNCTION("GOOGLETRANSLATE(E124, ""en"", ""bn"")"),"বন্দুক এবং অন্যান্য আগ্নেয়াস্ত্রের আবির্ভাবের ফলে ঐতিহ্যবাহী লাঠি লড়াই কম ব্যবহারিক হয়ে ওঠে, যার ফলে এর পতন ঘটে।")</f>
        <v>বন্দুক এবং অন্যান্য আগ্নেয়াস্ত্রের আবির্ভাবের ফলে ঐতিহ্যবাহী লাঠি লড়াই কম ব্যবহারিক হয়ে ওঠে, যার ফলে এর পতন ঘটে।</v>
      </c>
    </row>
    <row r="125">
      <c r="A125" s="7">
        <v>124.0</v>
      </c>
      <c r="B125" s="7" t="s">
        <v>2510</v>
      </c>
      <c r="C125" s="7" t="s">
        <v>2511</v>
      </c>
      <c r="D125" s="7" t="s">
        <v>2512</v>
      </c>
      <c r="E125" s="7" t="s">
        <v>2513</v>
      </c>
      <c r="J125" s="10" t="str">
        <f>IFERROR(__xludf.DUMMYFUNCTION("GOOGLETRANSLATE(A125, ""en"", ""bn"")"),"১২৪")</f>
        <v>১২৪</v>
      </c>
      <c r="K125" s="10" t="str">
        <f>IFERROR(__xludf.DUMMYFUNCTION("GOOGLETRANSLATE(B125, ""en"", ""bn"")"),"লাঠি খেলা আজ কীসের প্রমাণ বহন করে?")</f>
        <v>লাঠি খেলা আজ কীসের প্রমাণ বহন করে?</v>
      </c>
      <c r="L125" s="10" t="str">
        <f>IFERROR(__xludf.DUMMYFUNCTION("GOOGLETRANSLATE(C125, ""en"", ""bn"")"),"ক) বাংলার সামরিক ইতিহাস, খ) যুদ্ধশিল্পের শক্তি, গ) বাঙালিদের স্থিতিস্থাপকতা এবং উদ্ভাবনী ক্ষমতা, ঘ) ঐতিহ্যবাহী কৃষিকাজের গুরুত্ব")</f>
        <v>ক) বাংলার সামরিক ইতিহাস, খ) যুদ্ধশিল্পের শক্তি, গ) বাঙালিদের স্থিতিস্থাপকতা এবং উদ্ভাবনী ক্ষমতা, ঘ) ঐতিহ্যবাহী কৃষিকাজের গুরুত্ব</v>
      </c>
      <c r="M125" s="10" t="str">
        <f>IFERROR(__xludf.DUMMYFUNCTION("GOOGLETRANSLATE(D125, ""en"", ""bn"")"),"গ) বাঙালি জনগণের স্থিতিস্থাপকতা এবং উদ্ভাবনী ক্ষমতা")</f>
        <v>গ) বাঙালি জনগণের স্থিতিস্থাপকতা এবং উদ্ভাবনী ক্ষমতা</v>
      </c>
      <c r="N125" s="10" t="str">
        <f>IFERROR(__xludf.DUMMYFUNCTION("GOOGLETRANSLATE(E125, ""en"", ""bn"")"),"লাঠিখেলার অব্যাহত অস্তিত্ব বাঙালি জনগণের স্থিতিস্থাপকতা এবং সৃজনশীলতার প্রমাণ।")</f>
        <v>লাঠিখেলার অব্যাহত অস্তিত্ব বাঙালি জনগণের স্থিতিস্থাপকতা এবং সৃজনশীলতার প্রমাণ।</v>
      </c>
    </row>
    <row r="126">
      <c r="A126" s="7">
        <v>125.0</v>
      </c>
      <c r="B126" s="7" t="s">
        <v>2514</v>
      </c>
      <c r="C126" s="7" t="s">
        <v>2515</v>
      </c>
      <c r="D126" s="7" t="s">
        <v>2516</v>
      </c>
      <c r="E126" s="7" t="s">
        <v>2517</v>
      </c>
      <c r="J126" s="10" t="str">
        <f>IFERROR(__xludf.DUMMYFUNCTION("GOOGLETRANSLATE(A126, ""en"", ""bn"")"),"১২৫")</f>
        <v>১২৫</v>
      </c>
      <c r="K126" s="10" t="str">
        <f>IFERROR(__xludf.DUMMYFUNCTION("GOOGLETRANSLATE(B126, ""en"", ""bn"")"),"লাঠি খেলা কৌশল এবং অন্যান্য লাঠি-লড়াই শিল্পের মধ্যে মূল পার্থক্য কী?")</f>
        <v>লাঠি খেলা কৌশল এবং অন্যান্য লাঠি-লড়াই শিল্পের মধ্যে মূল পার্থক্য কী?</v>
      </c>
      <c r="L126" s="10" t="str">
        <f>IFERROR(__xludf.DUMMYFUNCTION("GOOGLETRANSLATE(C126, ""en"", ""bn"")"),"ক) একসাথে দুটি লাঠির ব্যবহার, খ) সোজা লড়াইয়ের অবস্থান, গ) ঢালের ব্যবহার, ঘ) পায়ের কাজের উপর মনোযোগ")</f>
        <v>ক) একসাথে দুটি লাঠির ব্যবহার, খ) সোজা লড়াইয়ের অবস্থান, গ) ঢালের ব্যবহার, ঘ) পায়ের কাজের উপর মনোযোগ</v>
      </c>
      <c r="M126" s="10" t="str">
        <f>IFERROR(__xludf.DUMMYFUNCTION("GOOGLETRANSLATE(D126, ""en"", ""bn"")"),"খ) সোজা লড়াইয়ের অবস্থান")</f>
        <v>খ) সোজা লড়াইয়ের অবস্থান</v>
      </c>
      <c r="N126" s="10" t="str">
        <f>IFERROR(__xludf.DUMMYFUNCTION("GOOGLETRANSLATE(E126, ""en"", ""bn"")"),"লাঠি খেলা অনুশীলনকারীরা সাধারণত আরও সোজা অবস্থানে লড়াই করেন, যেখানে হৃদপিণ্ড চক্রকে শক্তির কেন্দ্রবিন্দু হিসেবে বিবেচনা করা হয়।")</f>
        <v>লাঠি খেলা অনুশীলনকারীরা সাধারণত আরও সোজা অবস্থানে লড়াই করেন, যেখানে হৃদপিণ্ড চক্রকে শক্তির কেন্দ্রবিন্দু হিসেবে বিবেচনা করা হয়।</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37.63"/>
    <col customWidth="1" min="4" max="4" width="18.88"/>
    <col customWidth="1" min="5" max="5" width="37.63"/>
    <col customWidth="1" min="11" max="12" width="37.63"/>
    <col customWidth="1" min="13" max="13" width="24.5"/>
    <col customWidth="1" min="14" max="14" width="37.63"/>
  </cols>
  <sheetData>
    <row r="1">
      <c r="A1" s="1" t="s">
        <v>0</v>
      </c>
      <c r="B1" s="1" t="s">
        <v>1</v>
      </c>
      <c r="C1" s="1" t="s">
        <v>2</v>
      </c>
      <c r="D1" s="1" t="s">
        <v>3</v>
      </c>
      <c r="E1" s="1" t="s">
        <v>4</v>
      </c>
      <c r="J1" s="9" t="s">
        <v>5</v>
      </c>
      <c r="K1" s="9" t="s">
        <v>6</v>
      </c>
      <c r="L1" s="9" t="s">
        <v>7</v>
      </c>
      <c r="M1" s="9" t="s">
        <v>8</v>
      </c>
      <c r="N1" s="9" t="s">
        <v>9</v>
      </c>
    </row>
    <row r="2">
      <c r="A2" s="4">
        <v>1.0</v>
      </c>
      <c r="B2" s="4" t="s">
        <v>2518</v>
      </c>
      <c r="C2" s="4" t="s">
        <v>2519</v>
      </c>
      <c r="D2" s="4" t="s">
        <v>12</v>
      </c>
      <c r="E2" s="4" t="s">
        <v>2520</v>
      </c>
      <c r="J2" s="10" t="str">
        <f>IFERROR(__xludf.DUMMYFUNCTION("GOOGLETRANSLATE(A2, ""en"", ""bn"")"),"১")</f>
        <v>১</v>
      </c>
      <c r="K2" s="10" t="str">
        <f>IFERROR(__xludf.DUMMYFUNCTION("GOOGLETRANSLATE(B2, ""en"", ""bn"")"),"নৌকা বাইচ খেলার উৎপত্তি কোথায়?")</f>
        <v>নৌকা বাইচ খেলার উৎপত্তি কোথায়?</v>
      </c>
      <c r="L2" s="10" t="str">
        <f>IFERROR(__xludf.DUMMYFUNCTION("GOOGLETRANSLATE(C2, ""en"", ""bn"")"),"ক) ভারত, খ) বাংলাদেশ, গ) শ্রীলঙ্কা, ঘ) মায়ানমার")</f>
        <v>ক) ভারত, খ) বাংলাদেশ, গ) শ্রীলঙ্কা, ঘ) মায়ানমার</v>
      </c>
      <c r="M2" s="10" t="str">
        <f>IFERROR(__xludf.DUMMYFUNCTION("GOOGLETRANSLATE(D2, ""en"", ""bn"")"),"খ) বাংলাদেশ")</f>
        <v>খ) বাংলাদেশ</v>
      </c>
      <c r="N2" s="10" t="str">
        <f>IFERROR(__xludf.DUMMYFUNCTION("GOOGLETRANSLATE(E2, ""en"", ""bn"")"),"নৌকা বাইচের উৎপত্তি বাংলাদেশে, যা দেশের সমৃদ্ধ সামুদ্রিক সংস্কৃতির প্রতিফলন ঘটায়।")</f>
        <v>নৌকা বাইচের উৎপত্তি বাংলাদেশে, যা দেশের সমৃদ্ধ সামুদ্রিক সংস্কৃতির প্রতিফলন ঘটায়।</v>
      </c>
    </row>
    <row r="3">
      <c r="A3" s="4">
        <v>2.0</v>
      </c>
      <c r="B3" s="4" t="s">
        <v>2521</v>
      </c>
      <c r="C3" s="4" t="s">
        <v>2522</v>
      </c>
      <c r="D3" s="4" t="s">
        <v>2523</v>
      </c>
      <c r="E3" s="4" t="s">
        <v>2524</v>
      </c>
      <c r="J3" s="10" t="str">
        <f>IFERROR(__xludf.DUMMYFUNCTION("GOOGLETRANSLATE(A3, ""en"", ""bn"")"),"২")</f>
        <v>২</v>
      </c>
      <c r="K3" s="10" t="str">
        <f>IFERROR(__xludf.DUMMYFUNCTION("GOOGLETRANSLATE(B3, ""en"", ""bn"")"),"বাংলাদেশের কোন নদীর সাথে নৌকা বাইচের সম্পর্ক সবচেয়ে বেশি?")</f>
        <v>বাংলাদেশের কোন নদীর সাথে নৌকা বাইচের সম্পর্ক সবচেয়ে বেশি?</v>
      </c>
      <c r="L3" s="10" t="str">
        <f>IFERROR(__xludf.DUMMYFUNCTION("GOOGLETRANSLATE(C3, ""en"", ""bn"")"),"ক) গঙ্গা, খ) মেঘনা, গ) যমুনা, ঘ) পদ্মা")</f>
        <v>ক) গঙ্গা, খ) মেঘনা, গ) যমুনা, ঘ) পদ্মা</v>
      </c>
      <c r="M3" s="10" t="str">
        <f>IFERROR(__xludf.DUMMYFUNCTION("GOOGLETRANSLATE(D3, ""en"", ""bn"")"),"ঘ) পদ্মা")</f>
        <v>ঘ) পদ্মা</v>
      </c>
      <c r="N3" s="10" t="str">
        <f>IFERROR(__xludf.DUMMYFUNCTION("GOOGLETRANSLATE(E3, ""en"", ""bn"")"),"বাংলাদেশের একটি প্রধান জলপথ পদ্মা নদীতে অসংখ্য নৌকা বাইচ অনুষ্ঠানের আয়োজন করা হয়।")</f>
        <v>বাংলাদেশের একটি প্রধান জলপথ পদ্মা নদীতে অসংখ্য নৌকা বাইচ অনুষ্ঠানের আয়োজন করা হয়।</v>
      </c>
    </row>
    <row r="4">
      <c r="A4" s="4">
        <v>3.0</v>
      </c>
      <c r="B4" s="4" t="s">
        <v>2525</v>
      </c>
      <c r="C4" s="4" t="s">
        <v>2526</v>
      </c>
      <c r="D4" s="4" t="s">
        <v>2527</v>
      </c>
      <c r="E4" s="4" t="s">
        <v>2528</v>
      </c>
      <c r="J4" s="10" t="str">
        <f>IFERROR(__xludf.DUMMYFUNCTION("GOOGLETRANSLATE(A4, ""en"", ""bn"")"),"৩")</f>
        <v>৩</v>
      </c>
      <c r="K4" s="10" t="str">
        <f>IFERROR(__xludf.DUMMYFUNCTION("GOOGLETRANSLATE(B4, ""en"", ""bn"")"),"কোন ঋতুতে নৌকা বাইচ সবচেয়ে বেশি অনুষ্ঠিত হয়?")</f>
        <v>কোন ঋতুতে নৌকা বাইচ সবচেয়ে বেশি অনুষ্ঠিত হয়?</v>
      </c>
      <c r="L4" s="10" t="str">
        <f>IFERROR(__xludf.DUMMYFUNCTION("GOOGLETRANSLATE(C4, ""en"", ""bn"")"),"ক) গ্রীষ্ম, খ) শীত, গ) বর্ষা, ঘ) শরৎ")</f>
        <v>ক) গ্রীষ্ম, খ) শীত, গ) বর্ষা, ঘ) শরৎ</v>
      </c>
      <c r="M4" s="10" t="str">
        <f>IFERROR(__xludf.DUMMYFUNCTION("GOOGLETRANSLATE(D4, ""en"", ""bn"")"),"গ) বর্ষাকাল")</f>
        <v>গ) বর্ষাকাল</v>
      </c>
      <c r="N4" s="10" t="str">
        <f>IFERROR(__xludf.DUMMYFUNCTION("GOOGLETRANSLATE(E4, ""en"", ""bn"")"),"নৌকা বাইচ সাধারণত বর্ষাকালে অনুষ্ঠিত হয় যখন নদীগুলি পূর্ণমাত্রায় থাকে।")</f>
        <v>নৌকা বাইচ সাধারণত বর্ষাকালে অনুষ্ঠিত হয় যখন নদীগুলি পূর্ণমাত্রায় থাকে।</v>
      </c>
    </row>
    <row r="5">
      <c r="A5" s="4">
        <v>4.0</v>
      </c>
      <c r="B5" s="4" t="s">
        <v>2529</v>
      </c>
      <c r="C5" s="4" t="s">
        <v>2530</v>
      </c>
      <c r="D5" s="4" t="s">
        <v>2531</v>
      </c>
      <c r="E5" s="4" t="s">
        <v>2532</v>
      </c>
      <c r="J5" s="10" t="str">
        <f>IFERROR(__xludf.DUMMYFUNCTION("GOOGLETRANSLATE(A5, ""en"", ""bn"")"),"৪")</f>
        <v>৪</v>
      </c>
      <c r="K5" s="10" t="str">
        <f>IFERROR(__xludf.DUMMYFUNCTION("GOOGLETRANSLATE(B5, ""en"", ""bn"")"),"নৌকা বাইচে কোন ধরণের নৌকা ব্যবহার করা হয়?")</f>
        <v>নৌকা বাইচে কোন ধরণের নৌকা ব্যবহার করা হয়?</v>
      </c>
      <c r="L5" s="10" t="str">
        <f>IFERROR(__xludf.DUMMYFUNCTION("GOOGLETRANSLATE(C5, ""en"", ""bn"")"),"ক) কাঠের নৌকা, খ) ধাতব নৌকা, গ) প্লাস্টিকের নৌকা, ঘ) রাবারের নৌকা")</f>
        <v>ক) কাঠের নৌকা, খ) ধাতব নৌকা, গ) প্লাস্টিকের নৌকা, ঘ) রাবারের নৌকা</v>
      </c>
      <c r="M5" s="10" t="str">
        <f>IFERROR(__xludf.DUMMYFUNCTION("GOOGLETRANSLATE(D5, ""en"", ""bn"")"),"ক) কাঠের নৌকা")</f>
        <v>ক) কাঠের নৌকা</v>
      </c>
      <c r="N5" s="10" t="str">
        <f>IFERROR(__xludf.DUMMYFUNCTION("GOOGLETRANSLATE(E5, ""en"", ""bn"")"),"স্থানীয় কারিগরদের দ্বারা তৈরি ঐতিহ্যবাহী কাঠের নৌকাগুলি নৌকা বাইচ দৌড়ে ব্যবহৃত হয়।")</f>
        <v>স্থানীয় কারিগরদের দ্বারা তৈরি ঐতিহ্যবাহী কাঠের নৌকাগুলি নৌকা বাইচ দৌড়ে ব্যবহৃত হয়।</v>
      </c>
    </row>
    <row r="6">
      <c r="A6" s="4">
        <v>5.0</v>
      </c>
      <c r="B6" s="4" t="s">
        <v>2533</v>
      </c>
      <c r="C6" s="4" t="s">
        <v>2534</v>
      </c>
      <c r="D6" s="4" t="s">
        <v>2535</v>
      </c>
      <c r="E6" s="4" t="s">
        <v>2536</v>
      </c>
      <c r="J6" s="10" t="str">
        <f>IFERROR(__xludf.DUMMYFUNCTION("GOOGLETRANSLATE(A6, ""en"", ""bn"")"),"৫")</f>
        <v>৫</v>
      </c>
      <c r="K6" s="10" t="str">
        <f>IFERROR(__xludf.DUMMYFUNCTION("GOOGLETRANSLATE(B6, ""en"", ""bn"")"),"নওকা বাইচের একটি গুরুত্বপূর্ণ সাংস্কৃতিক দিক কোনটি?")</f>
        <v>নওকা বাইচের একটি গুরুত্বপূর্ণ সাংস্কৃতিক দিক কোনটি?</v>
      </c>
      <c r="L6" s="10" t="str">
        <f>IFERROR(__xludf.DUMMYFUNCTION("GOOGLETRANSLATE(C6, ""en"", ""bn"")"),"ক) ফসল কাটার উৎসব, খ) ধর্মীয় আচার-অনুষ্ঠান, গ) নৌকার কারুশিল্প, ঘ) কৃষিকাজ")</f>
        <v>ক) ফসল কাটার উৎসব, খ) ধর্মীয় আচার-অনুষ্ঠান, গ) নৌকার কারুশিল্প, ঘ) কৃষিকাজ</v>
      </c>
      <c r="M6" s="10" t="str">
        <f>IFERROR(__xludf.DUMMYFUNCTION("GOOGLETRANSLATE(D6, ""en"", ""bn"")"),"গ) নৌকার কারুশিল্প")</f>
        <v>গ) নৌকার কারুশিল্প</v>
      </c>
      <c r="N6" s="10" t="str">
        <f>IFERROR(__xludf.DUMMYFUNCTION("GOOGLETRANSLATE(E6, ""en"", ""bn"")"),"নৌকা বাইচ এই অঞ্চলের নৌকা নির্মাতাদের কারুশিল্প এবং দক্ষতা উদযাপন করে।")</f>
        <v>নৌকা বাইচ এই অঞ্চলের নৌকা নির্মাতাদের কারুশিল্প এবং দক্ষতা উদযাপন করে।</v>
      </c>
    </row>
    <row r="7">
      <c r="A7" s="4">
        <v>6.0</v>
      </c>
      <c r="B7" s="4" t="s">
        <v>2537</v>
      </c>
      <c r="C7" s="4" t="s">
        <v>2538</v>
      </c>
      <c r="D7" s="4" t="s">
        <v>2539</v>
      </c>
      <c r="E7" s="4" t="s">
        <v>2540</v>
      </c>
      <c r="J7" s="10" t="str">
        <f>IFERROR(__xludf.DUMMYFUNCTION("GOOGLETRANSLATE(A7, ""en"", ""bn"")"),"৬")</f>
        <v>৬</v>
      </c>
      <c r="K7" s="10" t="str">
        <f>IFERROR(__xludf.DUMMYFUNCTION("GOOGLETRANSLATE(B7, ""en"", ""bn"")"),"নওকা বাইচের প্রাথমিক অংশগ্রহণকারী কারা?")</f>
        <v>নওকা বাইচের প্রাথমিক অংশগ্রহণকারী কারা?</v>
      </c>
      <c r="L7" s="10" t="str">
        <f>IFERROR(__xludf.DUMMYFUNCTION("GOOGLETRANSLATE(C7, ""en"", ""bn"")"),"ক) জেলে, খ) কৃষক, গ) নাবিক, ঘ) ছাত্র")</f>
        <v>ক) জেলে, খ) কৃষক, গ) নাবিক, ঘ) ছাত্র</v>
      </c>
      <c r="M7" s="10" t="str">
        <f>IFERROR(__xludf.DUMMYFUNCTION("GOOGLETRANSLATE(D7, ""en"", ""bn"")"),"ক) জেলেরা")</f>
        <v>ক) জেলেরা</v>
      </c>
      <c r="N7" s="10" t="str">
        <f>IFERROR(__xludf.DUMMYFUNCTION("GOOGLETRANSLATE(E7, ""en"", ""bn"")"),"নদীতে নৌচালনায় দক্ষ জেলেরা হলেন নৌকা বাইচের প্রধান অংশগ্রহণকারী।")</f>
        <v>নদীতে নৌচালনায় দক্ষ জেলেরা হলেন নৌকা বাইচের প্রধান অংশগ্রহণকারী।</v>
      </c>
    </row>
    <row r="8">
      <c r="A8" s="4">
        <v>7.0</v>
      </c>
      <c r="B8" s="4" t="s">
        <v>2541</v>
      </c>
      <c r="C8" s="4" t="s">
        <v>2542</v>
      </c>
      <c r="D8" s="4" t="s">
        <v>2543</v>
      </c>
      <c r="E8" s="4" t="s">
        <v>2544</v>
      </c>
      <c r="J8" s="10" t="str">
        <f>IFERROR(__xludf.DUMMYFUNCTION("GOOGLETRANSLATE(A8, ""en"", ""bn"")"),"৭")</f>
        <v>৭</v>
      </c>
      <c r="K8" s="10" t="str">
        <f>IFERROR(__xludf.DUMMYFUNCTION("GOOGLETRANSLATE(B8, ""en"", ""bn"")"),"বাংলাদেশের কোন অঞ্চলটি নৌকা বাইচের জন্য বিখ্যাত?")</f>
        <v>বাংলাদেশের কোন অঞ্চলটি নৌকা বাইচের জন্য বিখ্যাত?</v>
      </c>
      <c r="L8" s="10" t="str">
        <f>IFERROR(__xludf.DUMMYFUNCTION("GOOGLETRANSLATE(C8, ""en"", ""bn"")"),"ক) সিলেট, খ) চট্টগ্রাম, গ) খুলনা, ঘ) বরিশাল")</f>
        <v>ক) সিলেট, খ) চট্টগ্রাম, গ) খুলনা, ঘ) বরিশাল</v>
      </c>
      <c r="M8" s="10" t="str">
        <f>IFERROR(__xludf.DUMMYFUNCTION("GOOGLETRANSLATE(D8, ""en"", ""bn"")"),"ঘ) বরিশাল")</f>
        <v>ঘ) বরিশাল</v>
      </c>
      <c r="N8" s="10" t="str">
        <f>IFERROR(__xludf.DUMMYFUNCTION("GOOGLETRANSLATE(E8, ""en"", ""bn"")"),"বাংলাদেশের দক্ষিণাঞ্চলে অবস্থিত বরিশাল তার নৌকা বাইচ প্রতিযোগিতার জন্য বিখ্যাত।")</f>
        <v>বাংলাদেশের দক্ষিণাঞ্চলে অবস্থিত বরিশাল তার নৌকা বাইচ প্রতিযোগিতার জন্য বিখ্যাত।</v>
      </c>
    </row>
    <row r="9">
      <c r="A9" s="4">
        <v>8.0</v>
      </c>
      <c r="B9" s="4" t="s">
        <v>2545</v>
      </c>
      <c r="C9" s="4" t="s">
        <v>2546</v>
      </c>
      <c r="D9" s="4" t="s">
        <v>2547</v>
      </c>
      <c r="E9" s="4" t="s">
        <v>2548</v>
      </c>
      <c r="J9" s="10" t="str">
        <f>IFERROR(__xludf.DUMMYFUNCTION("GOOGLETRANSLATE(A9, ""en"", ""bn"")"),"৮")</f>
        <v>৮</v>
      </c>
      <c r="K9" s="10" t="str">
        <f>IFERROR(__xludf.DUMMYFUNCTION("GOOGLETRANSLATE(B9, ""en"", ""bn"")"),"নৌকা বাইচ উৎসবের প্রাথমিক উদ্দেশ্য কী?")</f>
        <v>নৌকা বাইচ উৎসবের প্রাথমিক উদ্দেশ্য কী?</v>
      </c>
      <c r="L9" s="10" t="str">
        <f>IFERROR(__xludf.DUMMYFUNCTION("GOOGLETRANSLATE(C9, ""en"", ""bn"")"),"ক) বিনোদন, খ) কৃষি উৎসব, গ) ধর্মীয় নৈবেদ্য, ঘ) মৌসুমি মাছ ধরা")</f>
        <v>ক) বিনোদন, খ) কৃষি উৎসব, গ) ধর্মীয় নৈবেদ্য, ঘ) মৌসুমি মাছ ধরা</v>
      </c>
      <c r="M9" s="10" t="str">
        <f>IFERROR(__xludf.DUMMYFUNCTION("GOOGLETRANSLATE(D9, ""en"", ""bn"")"),"ক) বিনোদন")</f>
        <v>ক) বিনোদন</v>
      </c>
      <c r="N9" s="10" t="str">
        <f>IFERROR(__xludf.DUMMYFUNCTION("GOOGLETRANSLATE(E9, ""en"", ""bn"")"),"নৌকা বাইচ মূলত একটি বিনোদনমূলক অনুষ্ঠান, যা দক্ষতা এবং গতির এক চমক প্রদান করে।")</f>
        <v>নৌকা বাইচ মূলত একটি বিনোদনমূলক অনুষ্ঠান, যা দক্ষতা এবং গতির এক চমক প্রদান করে।</v>
      </c>
    </row>
    <row r="10">
      <c r="A10" s="4">
        <v>9.0</v>
      </c>
      <c r="B10" s="4" t="s">
        <v>2549</v>
      </c>
      <c r="C10" s="4" t="s">
        <v>2550</v>
      </c>
      <c r="D10" s="4" t="s">
        <v>2551</v>
      </c>
      <c r="E10" s="4" t="s">
        <v>2552</v>
      </c>
      <c r="J10" s="10" t="str">
        <f>IFERROR(__xludf.DUMMYFUNCTION("GOOGLETRANSLATE(A10, ""en"", ""bn"")"),"৯")</f>
        <v>৯</v>
      </c>
      <c r="K10" s="10" t="str">
        <f>IFERROR(__xludf.DUMMYFUNCTION("GOOGLETRANSLATE(B10, ""en"", ""bn"")"),"নৌকা বাইচে কোন ধরণের রেস ফর্ম্যাট ব্যবহার করা হয়?")</f>
        <v>নৌকা বাইচে কোন ধরণের রেস ফর্ম্যাট ব্যবহার করা হয়?</v>
      </c>
      <c r="L10" s="10" t="str">
        <f>IFERROR(__xludf.DUMMYFUNCTION("GOOGLETRANSLATE(C10, ""en"", ""bn"")"),"ক) দূরপাল্লার, খ) স্প্রিন্ট, গ) রিলে, ঘ) দলগত ইভেন্ট")</f>
        <v>ক) দূরপাল্লার, খ) স্প্রিন্ট, গ) রিলে, ঘ) দলগত ইভেন্ট</v>
      </c>
      <c r="M10" s="10" t="str">
        <f>IFERROR(__xludf.DUMMYFUNCTION("GOOGLETRANSLATE(D10, ""en"", ""bn"")"),"খ) স্প্রিন্ট")</f>
        <v>খ) স্প্রিন্ট</v>
      </c>
      <c r="N10" s="10" t="str">
        <f>IFERROR(__xludf.DUMMYFUNCTION("GOOGLETRANSLATE(E10, ""en"", ""bn"")"),"নৌকা বাইচ সাধারণত একটি স্প্রিন্ট দৌড়, যা রোয়ারদের গতি এবং সহনশীলতা পরীক্ষা করে।")</f>
        <v>নৌকা বাইচ সাধারণত একটি স্প্রিন্ট দৌড়, যা রোয়ারদের গতি এবং সহনশীলতা পরীক্ষা করে।</v>
      </c>
    </row>
    <row r="11">
      <c r="A11" s="4">
        <v>10.0</v>
      </c>
      <c r="B11" s="4" t="s">
        <v>2553</v>
      </c>
      <c r="C11" s="4" t="s">
        <v>2554</v>
      </c>
      <c r="D11" s="4" t="s">
        <v>2555</v>
      </c>
      <c r="E11" s="4" t="s">
        <v>2556</v>
      </c>
      <c r="J11" s="10" t="str">
        <f>IFERROR(__xludf.DUMMYFUNCTION("GOOGLETRANSLATE(A11, ""en"", ""bn"")"),"১০")</f>
        <v>১০</v>
      </c>
      <c r="K11" s="10" t="str">
        <f>IFERROR(__xludf.DUMMYFUNCTION("GOOGLETRANSLATE(B11, ""en"", ""bn"")"),"নিচের কোনটি নৌকা বাইচ জাতিগুলির একটি ঐতিহ্যবাহী বৈশিষ্ট্য?")</f>
        <v>নিচের কোনটি নৌকা বাইচ জাতিগুলির একটি ঐতিহ্যবাহী বৈশিষ্ট্য?</v>
      </c>
      <c r="L11" s="10" t="str">
        <f>IFERROR(__xludf.DUMMYFUNCTION("GOOGLETRANSLATE(C11, ""en"", ""bn"")"),"ক) একক দাঁড়কাক দিয়ে নৌকা চালানো, খ) লোকগান গাওয়া, গ) নাচ, ঘ) আতশবাজি প্রদর্শন")</f>
        <v>ক) একক দাঁড়কাক দিয়ে নৌকা চালানো, খ) লোকগান গাওয়া, গ) নাচ, ঘ) আতশবাজি প্রদর্শন</v>
      </c>
      <c r="M11" s="10" t="str">
        <f>IFERROR(__xludf.DUMMYFUNCTION("GOOGLETRANSLATE(D11, ""en"", ""bn"")"),"খ) লোকগান গাওয়া")</f>
        <v>খ) লোকগান গাওয়া</v>
      </c>
      <c r="N11" s="10" t="str">
        <f>IFERROR(__xludf.DUMMYFUNCTION("GOOGLETRANSLATE(E11, ""en"", ""bn"")"),"নৌকা বাইচের সময় অংশগ্রহণকারী এবং দর্শকরা প্রায়শই ঐতিহ্যবাহী লোকসঙ্গীত গেয়ে থাকেন।")</f>
        <v>নৌকা বাইচের সময় অংশগ্রহণকারী এবং দর্শকরা প্রায়শই ঐতিহ্যবাহী লোকসঙ্গীত গেয়ে থাকেন।</v>
      </c>
    </row>
    <row r="12">
      <c r="A12" s="4">
        <v>11.0</v>
      </c>
      <c r="B12" s="4" t="s">
        <v>2557</v>
      </c>
      <c r="C12" s="4" t="s">
        <v>2558</v>
      </c>
      <c r="D12" s="4" t="s">
        <v>2559</v>
      </c>
      <c r="E12" s="4" t="s">
        <v>2560</v>
      </c>
      <c r="J12" s="10" t="str">
        <f>IFERROR(__xludf.DUMMYFUNCTION("GOOGLETRANSLATE(A12, ""en"", ""bn"")"),"১১")</f>
        <v>১১</v>
      </c>
      <c r="K12" s="10" t="str">
        <f>IFERROR(__xludf.DUMMYFUNCTION("GOOGLETRANSLATE(B12, ""en"", ""bn"")"),"নিচের কোনটি নৌকা বাইচের সামাজিক দিকটিকে সবচেয়ে ভালোভাবে বর্ণনা করে?")</f>
        <v>নিচের কোনটি নৌকা বাইচের সামাজিক দিকটিকে সবচেয়ে ভালোভাবে বর্ণনা করে?</v>
      </c>
      <c r="L12" s="10" t="str">
        <f>IFERROR(__xludf.DUMMYFUNCTION("GOOGLETRANSLATE(C12, ""en"", ""bn"")"),"ক) অভিজাত প্রতিযোগিতা, খ) কমিউনিটি ইভেন্ট, গ) রাজনৈতিক সমাবেশ, ঘ) বাণিজ্যিক প্রদর্শনী")</f>
        <v>ক) অভিজাত প্রতিযোগিতা, খ) কমিউনিটি ইভেন্ট, গ) রাজনৈতিক সমাবেশ, ঘ) বাণিজ্যিক প্রদর্শনী</v>
      </c>
      <c r="M12" s="10" t="str">
        <f>IFERROR(__xludf.DUMMYFUNCTION("GOOGLETRANSLATE(D12, ""en"", ""bn"")"),"খ) কমিউনিটি ইভেন্ট")</f>
        <v>খ) কমিউনিটি ইভেন্ট</v>
      </c>
      <c r="N12" s="10" t="str">
        <f>IFERROR(__xludf.DUMMYFUNCTION("GOOGLETRANSLATE(E12, ""en"", ""bn"")"),"নৌকা বাইচ একটি সম্প্রদায়িক অনুষ্ঠান যা মানুষকে একত্রিত করে, স্থানীয় গর্ব এবং ঐক্যকে উৎসাহিত করে।")</f>
        <v>নৌকা বাইচ একটি সম্প্রদায়িক অনুষ্ঠান যা মানুষকে একত্রিত করে, স্থানীয় গর্ব এবং ঐক্যকে উৎসাহিত করে।</v>
      </c>
    </row>
    <row r="13">
      <c r="A13" s="4">
        <v>12.0</v>
      </c>
      <c r="B13" s="4" t="s">
        <v>2561</v>
      </c>
      <c r="C13" s="4" t="s">
        <v>2562</v>
      </c>
      <c r="D13" s="4" t="s">
        <v>2563</v>
      </c>
      <c r="E13" s="4" t="s">
        <v>2564</v>
      </c>
      <c r="J13" s="10" t="str">
        <f>IFERROR(__xludf.DUMMYFUNCTION("GOOGLETRANSLATE(A13, ""en"", ""bn"")"),"১২")</f>
        <v>১২</v>
      </c>
      <c r="K13" s="10" t="str">
        <f>IFERROR(__xludf.DUMMYFUNCTION("GOOGLETRANSLATE(B13, ""en"", ""bn"")"),"বাংলাদেশে কতদিন ধরে নওকা বাইচের চর্চা হচ্ছে?")</f>
        <v>বাংলাদেশে কতদিন ধরে নওকা বাইচের চর্চা হচ্ছে?</v>
      </c>
      <c r="L13" s="10" t="str">
        <f>IFERROR(__xludf.DUMMYFUNCTION("GOOGLETRANSLATE(C13, ""en"", ""bn"")"),"ক) ৫০ বছরেরও বেশি সময় ধরে, খ) ১০০ বছরেরও বেশি সময় ধরে, গ) ৫০০ বছরেরও বেশি সময় ধরে, ঘ) ১০০০ বছরেরও বেশি সময় ধরে")</f>
        <v>ক) ৫০ বছরেরও বেশি সময় ধরে, খ) ১০০ বছরেরও বেশি সময় ধরে, গ) ৫০০ বছরেরও বেশি সময় ধরে, ঘ) ১০০০ বছরেরও বেশি সময় ধরে</v>
      </c>
      <c r="M13" s="10" t="str">
        <f>IFERROR(__xludf.DUMMYFUNCTION("GOOGLETRANSLATE(D13, ""en"", ""bn"")"),"গ) ৫০০ বছরেরও বেশি সময় ধরে")</f>
        <v>গ) ৫০০ বছরেরও বেশি সময় ধরে</v>
      </c>
      <c r="N13" s="10" t="str">
        <f>IFERROR(__xludf.DUMMYFUNCTION("GOOGLETRANSLATE(E13, ""en"", ""bn"")"),"বাংলাদেশের নদীগুলিতে নৌকা বাইচের ৫০০ বছরেরও বেশি ইতিহাস রয়েছে।")</f>
        <v>বাংলাদেশের নদীগুলিতে নৌকা বাইচের ৫০০ বছরেরও বেশি ইতিহাস রয়েছে।</v>
      </c>
    </row>
    <row r="14">
      <c r="A14" s="4">
        <v>13.0</v>
      </c>
      <c r="B14" s="4" t="s">
        <v>2565</v>
      </c>
      <c r="C14" s="4" t="s">
        <v>2566</v>
      </c>
      <c r="D14" s="4" t="s">
        <v>2567</v>
      </c>
      <c r="E14" s="4" t="s">
        <v>2568</v>
      </c>
      <c r="J14" s="10" t="str">
        <f>IFERROR(__xludf.DUMMYFUNCTION("GOOGLETRANSLATE(A14, ""en"", ""bn"")"),"১৩")</f>
        <v>১৩</v>
      </c>
      <c r="K14" s="10" t="str">
        <f>IFERROR(__xludf.DUMMYFUNCTION("GOOGLETRANSLATE(B14, ""en"", ""bn"")"),"নৌকা বাইচের ঐতিহ্যবাহী নৌকার বৈশিষ্ট্য কী?")</f>
        <v>নৌকা বাইচের ঐতিহ্যবাহী নৌকার বৈশিষ্ট্য কী?</v>
      </c>
      <c r="L14" s="10" t="str">
        <f>IFERROR(__xludf.DUMMYFUNCTION("GOOGLETRANSLATE(C14, ""en"", ""bn"")"),"ক) ক্যানোপি, খ) সমতল তল, গ) পাল, ঘ) ইঞ্জিন")</f>
        <v>ক) ক্যানোপি, খ) সমতল তল, গ) পাল, ঘ) ইঞ্জিন</v>
      </c>
      <c r="M14" s="10" t="str">
        <f>IFERROR(__xludf.DUMMYFUNCTION("GOOGLETRANSLATE(D14, ""en"", ""bn"")"),"খ) সমতল তলদেশ")</f>
        <v>খ) সমতল তলদেশ</v>
      </c>
      <c r="N14" s="10" t="str">
        <f>IFERROR(__xludf.DUMMYFUNCTION("GOOGLETRANSLATE(E14, ""en"", ""bn"")"),"নৌকার সমতল তলদেশ অগভীর জলে আরও ভালো চালচলনের সুযোগ করে দেয়।")</f>
        <v>নৌকার সমতল তলদেশ অগভীর জলে আরও ভালো চালচলনের সুযোগ করে দেয়।</v>
      </c>
    </row>
    <row r="15">
      <c r="A15" s="4">
        <v>14.0</v>
      </c>
      <c r="B15" s="4" t="s">
        <v>2569</v>
      </c>
      <c r="C15" s="4" t="s">
        <v>2570</v>
      </c>
      <c r="D15" s="4" t="s">
        <v>2571</v>
      </c>
      <c r="E15" s="4" t="s">
        <v>2572</v>
      </c>
      <c r="J15" s="10" t="str">
        <f>IFERROR(__xludf.DUMMYFUNCTION("GOOGLETRANSLATE(A15, ""en"", ""bn"")"),"১৪")</f>
        <v>১৪</v>
      </c>
      <c r="K15" s="10" t="str">
        <f>IFERROR(__xludf.DUMMYFUNCTION("GOOGLETRANSLATE(B15, ""en"", ""bn"")"),"নওকা বাইচের বিজয়ীদের জন্য একটি সাধারণ পুরষ্কার কী?")</f>
        <v>নওকা বাইচের বিজয়ীদের জন্য একটি সাধারণ পুরষ্কার কী?</v>
      </c>
      <c r="L15" s="10" t="str">
        <f>IFERROR(__xludf.DUMMYFUNCTION("GOOGLETRANSLATE(C15, ""en"", ""bn"")"),"ক) নগদ টাকা, খ) জমি, গ) ঐতিহ্যবাহী পণ্য, ঘ) পশুপালন")</f>
        <v>ক) নগদ টাকা, খ) জমি, গ) ঐতিহ্যবাহী পণ্য, ঘ) পশুপালন</v>
      </c>
      <c r="M15" s="10" t="str">
        <f>IFERROR(__xludf.DUMMYFUNCTION("GOOGLETRANSLATE(D15, ""en"", ""bn"")"),"ক) নগদ")</f>
        <v>ক) নগদ</v>
      </c>
      <c r="N15" s="10" t="str">
        <f>IFERROR(__xludf.DUMMYFUNCTION("GOOGLETRANSLATE(E15, ""en"", ""bn"")"),"নৌকা বাইচ দৌড়ের বিজয়ীরা প্রায়শই নগদ পুরষ্কার বা স্থানীয় প্রশংসা পান।")</f>
        <v>নৌকা বাইচ দৌড়ের বিজয়ীরা প্রায়শই নগদ পুরষ্কার বা স্থানীয় প্রশংসা পান।</v>
      </c>
    </row>
    <row r="16">
      <c r="A16" s="4">
        <v>15.0</v>
      </c>
      <c r="B16" s="4" t="s">
        <v>2573</v>
      </c>
      <c r="C16" s="4" t="s">
        <v>2574</v>
      </c>
      <c r="D16" s="4" t="s">
        <v>2575</v>
      </c>
      <c r="E16" s="4" t="s">
        <v>2576</v>
      </c>
      <c r="J16" s="10" t="str">
        <f>IFERROR(__xludf.DUMMYFUNCTION("GOOGLETRANSLATE(A16, ""en"", ""bn"")"),"১৫")</f>
        <v>১৫</v>
      </c>
      <c r="K16" s="10" t="str">
        <f>IFERROR(__xludf.DUMMYFUNCTION("GOOGLETRANSLATE(B16, ""en"", ""bn"")"),"নিচের কোনটি নৌকা বাইচ এবং স্থানীয় অর্থনীতির মধ্যে সম্পর্ককে সবচেয়ে ভালোভাবে বর্ণনা করে?")</f>
        <v>নিচের কোনটি নৌকা বাইচ এবং স্থানীয় অর্থনীতির মধ্যে সম্পর্ককে সবচেয়ে ভালোভাবে বর্ণনা করে?</v>
      </c>
      <c r="L16" s="10" t="str">
        <f>IFERROR(__xludf.DUMMYFUNCTION("GOOGLETRANSLATE(C16, ""en"", ""bn"")"),"ক) পর্যটন-চালিত, খ) কৃষি-চালিত, গ) শিল্প-চালিত, ঘ) পরিষেবা-চালিত")</f>
        <v>ক) পর্যটন-চালিত, খ) কৃষি-চালিত, গ) শিল্প-চালিত, ঘ) পরিষেবা-চালিত</v>
      </c>
      <c r="M16" s="10" t="str">
        <f>IFERROR(__xludf.DUMMYFUNCTION("GOOGLETRANSLATE(D16, ""en"", ""bn"")"),"ক) পর্যটন-চালিত")</f>
        <v>ক) পর্যটন-চালিত</v>
      </c>
      <c r="N16" s="10" t="str">
        <f>IFERROR(__xludf.DUMMYFUNCTION("GOOGLETRANSLATE(E16, ""en"", ""bn"")"),"নৌকা বাইচ পর্যটকদের আকর্ষণ করে, উৎসবের মরসুমে স্থানীয় অর্থনীতিকে চাঙ্গা করে।")</f>
        <v>নৌকা বাইচ পর্যটকদের আকর্ষণ করে, উৎসবের মরসুমে স্থানীয় অর্থনীতিকে চাঙ্গা করে।</v>
      </c>
    </row>
    <row r="17">
      <c r="A17" s="4">
        <v>16.0</v>
      </c>
      <c r="B17" s="4" t="s">
        <v>2577</v>
      </c>
      <c r="C17" s="4" t="s">
        <v>2578</v>
      </c>
      <c r="D17" s="4" t="s">
        <v>178</v>
      </c>
      <c r="E17" s="4" t="s">
        <v>2579</v>
      </c>
      <c r="J17" s="10" t="str">
        <f>IFERROR(__xludf.DUMMYFUNCTION("GOOGLETRANSLATE(A17, ""en"", ""bn"")"),"১৬")</f>
        <v>১৬</v>
      </c>
      <c r="K17" s="10" t="str">
        <f>IFERROR(__xludf.DUMMYFUNCTION("GOOGLETRANSLATE(B17, ""en"", ""bn"")"),"নওকা বাইচ-এ অংশগ্রহণকারীদের জন্য একটি মূল চ্যালেঞ্জ কী?")</f>
        <v>নওকা বাইচ-এ অংশগ্রহণকারীদের জন্য একটি মূল চ্যালেঞ্জ কী?</v>
      </c>
      <c r="L17" s="10" t="str">
        <f>IFERROR(__xludf.DUMMYFUNCTION("GOOGLETRANSLATE(C17, ""en"", ""bn"")"),"ক) নদীর স্রোত, খ) নৌকার স্থিতিশীলতা, গ) আবহাওয়ার অবস্থা, ঘ) উপরের সবগুলো")</f>
        <v>ক) নদীর স্রোত, খ) নৌকার স্থিতিশীলতা, গ) আবহাওয়ার অবস্থা, ঘ) উপরের সবগুলো</v>
      </c>
      <c r="M17" s="10" t="str">
        <f>IFERROR(__xludf.DUMMYFUNCTION("GOOGLETRANSLATE(D17, ""en"", ""bn"")"),"ঘ) উপরের সবগুলো")</f>
        <v>ঘ) উপরের সবগুলো</v>
      </c>
      <c r="N17" s="10" t="str">
        <f>IFERROR(__xludf.DUMMYFUNCTION("GOOGLETRANSLATE(E17, ""en"", ""bn"")"),"অংশগ্রহণকারীরা নদীর স্রোত, নৌকার স্থিতিশীলতা এবং অপ্রত্যাশিত আবহাওয়ার মতো চ্যালেঞ্জের মুখোমুখি হন।")</f>
        <v>অংশগ্রহণকারীরা নদীর স্রোত, নৌকার স্থিতিশীলতা এবং অপ্রত্যাশিত আবহাওয়ার মতো চ্যালেঞ্জের মুখোমুখি হন।</v>
      </c>
    </row>
    <row r="18">
      <c r="A18" s="4">
        <v>17.0</v>
      </c>
      <c r="B18" s="4" t="s">
        <v>2580</v>
      </c>
      <c r="C18" s="4" t="s">
        <v>2581</v>
      </c>
      <c r="D18" s="4" t="s">
        <v>178</v>
      </c>
      <c r="E18" s="4" t="s">
        <v>2582</v>
      </c>
      <c r="J18" s="10" t="str">
        <f>IFERROR(__xludf.DUMMYFUNCTION("GOOGLETRANSLATE(A18, ""en"", ""bn"")"),"১৭")</f>
        <v>১৭</v>
      </c>
      <c r="K18" s="10" t="str">
        <f>IFERROR(__xludf.DUMMYFUNCTION("GOOGLETRANSLATE(B18, ""en"", ""bn"")"),"নৌকা বাইচের জন্য নৌকাগুলি সাধারণত কীভাবে সাজানো হয়?")</f>
        <v>নৌকা বাইচের জন্য নৌকাগুলি সাধারণত কীভাবে সাজানো হয়?</v>
      </c>
      <c r="L18" s="10" t="str">
        <f>IFERROR(__xludf.DUMMYFUNCTION("GOOGLETRANSLATE(C18, ""en"", ""bn"")"),"ক) পতাকা সহ, খ) ফুল সহ, গ) রঙ সহ, ঘ) উপরের সবগুলি")</f>
        <v>ক) পতাকা সহ, খ) ফুল সহ, গ) রঙ সহ, ঘ) উপরের সবগুলি</v>
      </c>
      <c r="M18" s="10" t="str">
        <f>IFERROR(__xludf.DUMMYFUNCTION("GOOGLETRANSLATE(D18, ""en"", ""bn"")"),"ঘ) উপরের সবগুলো")</f>
        <v>ঘ) উপরের সবগুলো</v>
      </c>
      <c r="N18" s="10" t="str">
        <f>IFERROR(__xludf.DUMMYFUNCTION("GOOGLETRANSLATE(E18, ""en"", ""bn"")"),"দৌড়ের সময় নৌকাগুলিকে প্রায়শই পতাকা, ফুল এবং রঙ দিয়ে সাজানো হয় যাতে তাদের দৃষ্টি আকর্ষণ বৃদ্ধি পায়।")</f>
        <v>দৌড়ের সময় নৌকাগুলিকে প্রায়শই পতাকা, ফুল এবং রঙ দিয়ে সাজানো হয় যাতে তাদের দৃষ্টি আকর্ষণ বৃদ্ধি পায়।</v>
      </c>
    </row>
    <row r="19">
      <c r="A19" s="4">
        <v>18.0</v>
      </c>
      <c r="B19" s="4" t="s">
        <v>2583</v>
      </c>
      <c r="C19" s="4" t="s">
        <v>2584</v>
      </c>
      <c r="D19" s="4" t="s">
        <v>2523</v>
      </c>
      <c r="E19" s="4" t="s">
        <v>2585</v>
      </c>
      <c r="J19" s="10" t="str">
        <f>IFERROR(__xludf.DUMMYFUNCTION("GOOGLETRANSLATE(A19, ""en"", ""bn"")"),"১৮")</f>
        <v>১৮</v>
      </c>
      <c r="K19" s="10" t="str">
        <f>IFERROR(__xludf.DUMMYFUNCTION("GOOGLETRANSLATE(B19, ""en"", ""bn"")"),"কোন নদীকে বৃহৎ আকারের নৌকা বাইচ ঘোড়দৌড়ের জন্য একটি প্রধান স্থান হিসেবে বিবেচনা করা হয়?")</f>
        <v>কোন নদীকে বৃহৎ আকারের নৌকা বাইচ ঘোড়দৌড়ের জন্য একটি প্রধান স্থান হিসেবে বিবেচনা করা হয়?</v>
      </c>
      <c r="L19" s="10" t="str">
        <f>IFERROR(__xludf.DUMMYFUNCTION("GOOGLETRANSLATE(C19, ""en"", ""bn"")"),"ক) গঙ্গা, খ) ব্রহ্মপুত্র, গ) মেঘনা, ঘ) পদ্মা")</f>
        <v>ক) গঙ্গা, খ) ব্রহ্মপুত্র, গ) মেঘনা, ঘ) পদ্মা</v>
      </c>
      <c r="M19" s="10" t="str">
        <f>IFERROR(__xludf.DUMMYFUNCTION("GOOGLETRANSLATE(D19, ""en"", ""bn"")"),"ঘ) পদ্মা")</f>
        <v>ঘ) পদ্মা</v>
      </c>
      <c r="N19" s="10" t="str">
        <f>IFERROR(__xludf.DUMMYFUNCTION("GOOGLETRANSLATE(E19, ""en"", ""bn"")"),"পদ্মা নদীতে কিছু বৃহত্তম এবং সবচেয়ে প্রতিযোগিতামূলক নৌকা বাইচ দৌড় প্রতিযোগিতা অনুষ্ঠিত হয়।")</f>
        <v>পদ্মা নদীতে কিছু বৃহত্তম এবং সবচেয়ে প্রতিযোগিতামূলক নৌকা বাইচ দৌড় প্রতিযোগিতা অনুষ্ঠিত হয়।</v>
      </c>
    </row>
    <row r="20">
      <c r="A20" s="4">
        <v>19.0</v>
      </c>
      <c r="B20" s="4" t="s">
        <v>2586</v>
      </c>
      <c r="C20" s="4" t="s">
        <v>2587</v>
      </c>
      <c r="D20" s="4" t="s">
        <v>20</v>
      </c>
      <c r="E20" s="4" t="s">
        <v>2588</v>
      </c>
      <c r="J20" s="10" t="str">
        <f>IFERROR(__xludf.DUMMYFUNCTION("GOOGLETRANSLATE(A20, ""en"", ""bn"")"),"১৯")</f>
        <v>১৯</v>
      </c>
      <c r="K20" s="10" t="str">
        <f>IFERROR(__xludf.DUMMYFUNCTION("GOOGLETRANSLATE(B20, ""en"", ""bn"")"),"নওকা বাইচ রাখার জন্য সবচেয়ে জনপ্রিয় সময় কোনটি?")</f>
        <v>নওকা বাইচ রাখার জন্য সবচেয়ে জনপ্রিয় সময় কোনটি?</v>
      </c>
      <c r="L20" s="10" t="str">
        <f>IFERROR(__xludf.DUMMYFUNCTION("GOOGLETRANSLATE(C20, ""en"", ""bn"")"),"ক) জাতীয় ছুটির দিনে, খ) ফসল কাটার পরে, গ) উৎসবের সময়, ঘ) গ্রীষ্মের মাসগুলিতে")</f>
        <v>ক) জাতীয় ছুটির দিনে, খ) ফসল কাটার পরে, গ) উৎসবের সময়, ঘ) গ্রীষ্মের মাসগুলিতে</v>
      </c>
      <c r="M20" s="10" t="str">
        <f>IFERROR(__xludf.DUMMYFUNCTION("GOOGLETRANSLATE(D20, ""en"", ""bn"")"),"গ) উৎসবের সময়")</f>
        <v>গ) উৎসবের সময়</v>
      </c>
      <c r="N20" s="10" t="str">
        <f>IFERROR(__xludf.DUMMYFUNCTION("GOOGLETRANSLATE(E20, ""en"", ""bn"")"),"নৌকা বাইচ প্রায়শই উৎসবের সময় অনুষ্ঠিত হয়, যখন সম্প্রদায়গুলি উদযাপন এবং সমবেত হয়।")</f>
        <v>নৌকা বাইচ প্রায়শই উৎসবের সময় অনুষ্ঠিত হয়, যখন সম্প্রদায়গুলি উদযাপন এবং সমবেত হয়।</v>
      </c>
    </row>
    <row r="21">
      <c r="A21" s="4">
        <v>20.0</v>
      </c>
      <c r="B21" s="4" t="s">
        <v>2589</v>
      </c>
      <c r="C21" s="4" t="s">
        <v>2590</v>
      </c>
      <c r="D21" s="4" t="s">
        <v>2591</v>
      </c>
      <c r="E21" s="4" t="s">
        <v>2592</v>
      </c>
      <c r="J21" s="10" t="str">
        <f>IFERROR(__xludf.DUMMYFUNCTION("GOOGLETRANSLATE(A21, ""en"", ""bn"")"),"২০")</f>
        <v>২০</v>
      </c>
      <c r="K21" s="10" t="str">
        <f>IFERROR(__xludf.DUMMYFUNCTION("GOOGLETRANSLATE(B21, ""en"", ""bn"")"),"নওকা বাইচে সাফল্যের জন্য কোন দক্ষতা সবচেয়ে গুরুত্বপূর্ণ?")</f>
        <v>নওকা বাইচে সাফল্যের জন্য কোন দক্ষতা সবচেয়ে গুরুত্বপূর্ণ?</v>
      </c>
      <c r="L21" s="10" t="str">
        <f>IFERROR(__xludf.DUMMYFUNCTION("GOOGLETRANSLATE(C21, ""en"", ""bn"")"),"ক) সাঁতার, খ) নৌকা চালানোর কৌশল, গ) গতি, ঘ) কৌশল")</f>
        <v>ক) সাঁতার, খ) নৌকা চালানোর কৌশল, গ) গতি, ঘ) কৌশল</v>
      </c>
      <c r="M21" s="10" t="str">
        <f>IFERROR(__xludf.DUMMYFUNCTION("GOOGLETRANSLATE(D21, ""en"", ""bn"")"),"খ) রোয়িং কৌশল")</f>
        <v>খ) রোয়িং কৌশল</v>
      </c>
      <c r="N21" s="10" t="str">
        <f>IFERROR(__xludf.DUMMYFUNCTION("GOOGLETRANSLATE(E21, ""en"", ""bn"")"),"নৌকা বাইচে সাফল্যের জন্য দক্ষতার সাথে এবং সতীর্থদের সাথে সুসংগতভাবে সারিবদ্ধ হওয়ার ক্ষমতা অত্যন্ত গুরুত্বপূর্ণ।")</f>
        <v>নৌকা বাইচে সাফল্যের জন্য দক্ষতার সাথে এবং সতীর্থদের সাথে সুসংগতভাবে সারিবদ্ধ হওয়ার ক্ষমতা অত্যন্ত গুরুত্বপূর্ণ।</v>
      </c>
    </row>
    <row r="22">
      <c r="A22" s="4">
        <v>21.0</v>
      </c>
      <c r="B22" s="4" t="s">
        <v>2593</v>
      </c>
      <c r="C22" s="4" t="s">
        <v>2594</v>
      </c>
      <c r="D22" s="4" t="s">
        <v>2595</v>
      </c>
      <c r="E22" s="4" t="s">
        <v>2596</v>
      </c>
      <c r="J22" s="10" t="str">
        <f>IFERROR(__xludf.DUMMYFUNCTION("GOOGLETRANSLATE(A22, ""en"", ""bn"")"),"২১")</f>
        <v>২১</v>
      </c>
      <c r="K22" s="10" t="str">
        <f>IFERROR(__xludf.DUMMYFUNCTION("GOOGLETRANSLATE(B22, ""en"", ""bn"")"),"নৌকা বাইচ ইভেন্টগুলিতে দর্শকরা কী ভূমিকা পালন করে?")</f>
        <v>নৌকা বাইচ ইভেন্টগুলিতে দর্শকরা কী ভূমিকা পালন করে?</v>
      </c>
      <c r="L22" s="10" t="str">
        <f>IFERROR(__xludf.DUMMYFUNCTION("GOOGLETRANSLATE(C22, ""en"", ""bn"")"),"ক) কেউ না, খ) বিচারক, গ) উৎসাহ প্রদান এবং সমর্থন, ঘ) দৌড় আয়োজন")</f>
        <v>ক) কেউ না, খ) বিচারক, গ) উৎসাহ প্রদান এবং সমর্থন, ঘ) দৌড় আয়োজন</v>
      </c>
      <c r="M22" s="10" t="str">
        <f>IFERROR(__xludf.DUMMYFUNCTION("GOOGLETRANSLATE(D22, ""en"", ""bn"")"),"গ) উৎসাহ প্রদান এবং সমর্থন করা")</f>
        <v>গ) উৎসাহ প্রদান এবং সমর্থন করা</v>
      </c>
      <c r="N22" s="10" t="str">
        <f>IFERROR(__xludf.DUMMYFUNCTION("GOOGLETRANSLATE(E22, ""en"", ""bn"")"),"অংশগ্রহণকারীদের উৎসাহিত করতে এবং প্রাণবন্ত পরিবেশ তৈরিতে দর্শকরা গুরুত্বপূর্ণ ভূমিকা পালন করে।")</f>
        <v>অংশগ্রহণকারীদের উৎসাহিত করতে এবং প্রাণবন্ত পরিবেশ তৈরিতে দর্শকরা গুরুত্বপূর্ণ ভূমিকা পালন করে।</v>
      </c>
    </row>
    <row r="23">
      <c r="A23" s="4">
        <v>22.0</v>
      </c>
      <c r="B23" s="4" t="s">
        <v>2597</v>
      </c>
      <c r="C23" s="4" t="s">
        <v>2598</v>
      </c>
      <c r="D23" s="4" t="s">
        <v>535</v>
      </c>
      <c r="E23" s="4" t="s">
        <v>2599</v>
      </c>
      <c r="J23" s="10" t="str">
        <f>IFERROR(__xludf.DUMMYFUNCTION("GOOGLETRANSLATE(A23, ""en"", ""bn"")"),"২২")</f>
        <v>২২</v>
      </c>
      <c r="K23" s="10" t="str">
        <f>IFERROR(__xludf.DUMMYFUNCTION("GOOGLETRANSLATE(B23, ""en"", ""bn"")"),"বাংলাদেশে নৌকা বাইচের সাংস্কৃতিক গুরুত্ব কী?")</f>
        <v>বাংলাদেশে নৌকা বাইচের সাংস্কৃতিক গুরুত্ব কী?</v>
      </c>
      <c r="L23" s="10" t="str">
        <f>IFERROR(__xludf.DUMMYFUNCTION("GOOGLETRANSLATE(C23, ""en"", ""bn"")"),"ক) ঐক্যের প্রতীক, খ) শক্তির প্রতীক, গ) সম্পদের প্রতীক, ঘ) শক্তির প্রতীক")</f>
        <v>ক) ঐক্যের প্রতীক, খ) শক্তির প্রতীক, গ) সম্পদের প্রতীক, ঘ) শক্তির প্রতীক</v>
      </c>
      <c r="M23" s="10" t="str">
        <f>IFERROR(__xludf.DUMMYFUNCTION("GOOGLETRANSLATE(D23, ""en"", ""bn"")"),"ক) ঐক্যের প্রতীক")</f>
        <v>ক) ঐক্যের প্রতীক</v>
      </c>
      <c r="N23" s="10" t="str">
        <f>IFERROR(__xludf.DUMMYFUNCTION("GOOGLETRANSLATE(E23, ""en"", ""bn"")"),"নৌকা বাইচ ঐক্যের প্রতীক, বিভিন্ন পটভূমি এবং সম্প্রদায়ের মানুষকে একত্রিত করে।")</f>
        <v>নৌকা বাইচ ঐক্যের প্রতীক, বিভিন্ন পটভূমি এবং সম্প্রদায়ের মানুষকে একত্রিত করে।</v>
      </c>
    </row>
    <row r="24">
      <c r="A24" s="4">
        <v>23.0</v>
      </c>
      <c r="B24" s="4" t="s">
        <v>2600</v>
      </c>
      <c r="C24" s="4" t="s">
        <v>2601</v>
      </c>
      <c r="D24" s="4" t="s">
        <v>2602</v>
      </c>
      <c r="E24" s="4" t="s">
        <v>2603</v>
      </c>
      <c r="J24" s="10" t="str">
        <f>IFERROR(__xludf.DUMMYFUNCTION("GOOGLETRANSLATE(A24, ""en"", ""bn"")"),"২৩")</f>
        <v>২৩</v>
      </c>
      <c r="K24" s="10" t="str">
        <f>IFERROR(__xludf.DUMMYFUNCTION("GOOGLETRANSLATE(B24, ""en"", ""bn"")"),"বাংলাদেশের কোন অংশকে নওকা বাইচের প্রাণকেন্দ্র হিসেবে বিবেচনা করা হয়?")</f>
        <v>বাংলাদেশের কোন অংশকে নওকা বাইচের প্রাণকেন্দ্র হিসেবে বিবেচনা করা হয়?</v>
      </c>
      <c r="L24" s="10" t="str">
        <f>IFERROR(__xludf.DUMMYFUNCTION("GOOGLETRANSLATE(C24, ""en"", ""bn"")"),"A) ঢাকা, B) বরিশাল, C) সিলেট, D) চট্টগ্রাম")</f>
        <v>A) ঢাকা, B) বরিশাল, C) সিলেট, D) চট্টগ্রাম</v>
      </c>
      <c r="M24" s="10" t="str">
        <f>IFERROR(__xludf.DUMMYFUNCTION("GOOGLETRANSLATE(D24, ""en"", ""bn"")"),"খ) বরিশাল")</f>
        <v>খ) বরিশাল</v>
      </c>
      <c r="N24" s="10" t="str">
        <f>IFERROR(__xludf.DUMMYFUNCTION("GOOGLETRANSLATE(E24, ""en"", ""bn"")"),"বরিশালকে নওকা বাইচের প্রাণকেন্দ্র বলা হয়, যেখানে এর গভীর সাংস্কৃতিক তাৎপর্য রয়েছে।")</f>
        <v>বরিশালকে নওকা বাইচের প্রাণকেন্দ্র বলা হয়, যেখানে এর গভীর সাংস্কৃতিক তাৎপর্য রয়েছে।</v>
      </c>
    </row>
    <row r="25">
      <c r="A25" s="4">
        <v>24.0</v>
      </c>
      <c r="B25" s="4" t="s">
        <v>2604</v>
      </c>
      <c r="C25" s="4" t="s">
        <v>2605</v>
      </c>
      <c r="D25" s="4" t="s">
        <v>2606</v>
      </c>
      <c r="E25" s="4" t="s">
        <v>2607</v>
      </c>
      <c r="J25" s="10" t="str">
        <f>IFERROR(__xludf.DUMMYFUNCTION("GOOGLETRANSLATE(A25, ""en"", ""bn"")"),"২৪")</f>
        <v>২৪</v>
      </c>
      <c r="K25" s="10" t="str">
        <f>IFERROR(__xludf.DUMMYFUNCTION("GOOGLETRANSLATE(B25, ""en"", ""bn"")"),"নৌকা বাইচে নৌকাগুলি সাধারণত কীভাবে চালিত হয়?")</f>
        <v>নৌকা বাইচে নৌকাগুলি সাধারণত কীভাবে চালিত হয়?</v>
      </c>
      <c r="L25" s="10" t="str">
        <f>IFERROR(__xludf.DUMMYFUNCTION("GOOGLETRANSLATE(C25, ""en"", ""bn"")"),"ক) দাঁড়, খ) মোটর, গ) বাতাস, ঘ) প্যাডেল")</f>
        <v>ক) দাঁড়, খ) মোটর, গ) বাতাস, ঘ) প্যাডেল</v>
      </c>
      <c r="M25" s="10" t="str">
        <f>IFERROR(__xludf.DUMMYFUNCTION("GOOGLETRANSLATE(D25, ""en"", ""bn"")"),"ক) দাঁড়")</f>
        <v>ক) দাঁড়</v>
      </c>
      <c r="N25" s="10" t="str">
        <f>IFERROR(__xludf.DUMMYFUNCTION("GOOGLETRANSLATE(E25, ""en"", ""bn"")"),"নৌকা বাইচের নৌকাগুলি ঐতিহ্যগতভাবে দাঁড় দ্বারা চালিত হয়, যার জন্য নৌকা চালকদের কাছ থেকে প্রচুর দক্ষতার প্রয়োজন হয়।")</f>
        <v>নৌকা বাইচের নৌকাগুলি ঐতিহ্যগতভাবে দাঁড় দ্বারা চালিত হয়, যার জন্য নৌকা চালকদের কাছ থেকে প্রচুর দক্ষতার প্রয়োজন হয়।</v>
      </c>
    </row>
    <row r="26">
      <c r="A26" s="4">
        <v>25.0</v>
      </c>
      <c r="B26" s="4" t="s">
        <v>2608</v>
      </c>
      <c r="C26" s="4" t="s">
        <v>2609</v>
      </c>
      <c r="D26" s="4" t="s">
        <v>2610</v>
      </c>
      <c r="E26" s="4" t="s">
        <v>2611</v>
      </c>
      <c r="J26" s="10" t="str">
        <f>IFERROR(__xludf.DUMMYFUNCTION("GOOGLETRANSLATE(A26, ""en"", ""bn"")"),"২৫")</f>
        <v>২৫</v>
      </c>
      <c r="K26" s="10" t="str">
        <f>IFERROR(__xludf.DUMMYFUNCTION("GOOGLETRANSLATE(B26, ""en"", ""bn"")"),"নৌকা বাইচের সময় গাওয়া লোকগানের একটি সাধারণ বিষয়বস্তু কী?")</f>
        <v>নৌকা বাইচের সময় গাওয়া লোকগানের একটি সাধারণ বিষয়বস্তু কী?</v>
      </c>
      <c r="L26" s="10" t="str">
        <f>IFERROR(__xludf.DUMMYFUNCTION("GOOGLETRANSLATE(C26, ""en"", ""bn"")"),"ক) প্রেম, খ) যুদ্ধ, গ) প্রকৃতি, ঘ) নৌকা এবং নদী")</f>
        <v>ক) প্রেম, খ) যুদ্ধ, গ) প্রকৃতি, ঘ) নৌকা এবং নদী</v>
      </c>
      <c r="M26" s="10" t="str">
        <f>IFERROR(__xludf.DUMMYFUNCTION("GOOGLETRANSLATE(D26, ""en"", ""bn"")"),"ঘ) নৌকা এবং নদী")</f>
        <v>ঘ) নৌকা এবং নদী</v>
      </c>
      <c r="N26" s="10" t="str">
        <f>IFERROR(__xludf.DUMMYFUNCTION("GOOGLETRANSLATE(E26, ""en"", ""bn"")"),"লোকগানে প্রায়শই নৌকা বাইচের কেন্দ্রবিন্দুতে অবস্থিত নদী ও নৌকার সৌন্দর্য এবং চ্যালেঞ্জগুলি উদযাপন করা হয়।")</f>
        <v>লোকগানে প্রায়শই নৌকা বাইচের কেন্দ্রবিন্দুতে অবস্থিত নদী ও নৌকার সৌন্দর্য এবং চ্যালেঞ্জগুলি উদযাপন করা হয়।</v>
      </c>
    </row>
    <row r="27">
      <c r="A27" s="4">
        <v>26.0</v>
      </c>
      <c r="B27" s="4" t="s">
        <v>2612</v>
      </c>
      <c r="C27" s="4" t="s">
        <v>2613</v>
      </c>
      <c r="D27" s="4" t="s">
        <v>1490</v>
      </c>
      <c r="E27" s="4" t="s">
        <v>2614</v>
      </c>
      <c r="J27" s="10" t="str">
        <f>IFERROR(__xludf.DUMMYFUNCTION("GOOGLETRANSLATE(A27, ""en"", ""bn"")"),"২৬")</f>
        <v>২৬</v>
      </c>
      <c r="K27" s="10" t="str">
        <f>IFERROR(__xludf.DUMMYFUNCTION("GOOGLETRANSLATE(B27, ""en"", ""bn"")"),"উৎসবের সময় নৌকা বাইচের সাথে অন্য কোন খেলাধুলা প্রায়শই একত্রিত করা হয়?")</f>
        <v>উৎসবের সময় নৌকা বাইচের সাথে অন্য কোন খেলাধুলা প্রায়শই একত্রিত করা হয়?</v>
      </c>
      <c r="L27" s="10" t="str">
        <f>IFERROR(__xludf.DUMMYFUNCTION("GOOGLETRANSLATE(C27, ""en"", ""bn"")"),"ক) কাবাডি, খ) কুস্তি, গ) ক্রিকেট, ঘ) ফুটবল")</f>
        <v>ক) কাবাডি, খ) কুস্তি, গ) ক্রিকেট, ঘ) ফুটবল</v>
      </c>
      <c r="M27" s="10" t="str">
        <f>IFERROR(__xludf.DUMMYFUNCTION("GOOGLETRANSLATE(D27, ""en"", ""bn"")"),"ক) কাবাডি")</f>
        <v>ক) কাবাডি</v>
      </c>
      <c r="N27" s="10" t="str">
        <f>IFERROR(__xludf.DUMMYFUNCTION("GOOGLETRANSLATE(E27, ""en"", ""bn"")"),"কাবাডি প্রায়শই নৌকা বাইচের পাশে অনুষ্ঠিত হয়, যা একটি বহুমুখী সাংস্কৃতিক অনুষ্ঠান তৈরি করে।")</f>
        <v>কাবাডি প্রায়শই নৌকা বাইচের পাশে অনুষ্ঠিত হয়, যা একটি বহুমুখী সাংস্কৃতিক অনুষ্ঠান তৈরি করে।</v>
      </c>
    </row>
    <row r="28">
      <c r="A28" s="4">
        <v>27.0</v>
      </c>
      <c r="B28" s="4" t="s">
        <v>2615</v>
      </c>
      <c r="C28" s="4" t="s">
        <v>2616</v>
      </c>
      <c r="D28" s="4" t="s">
        <v>2617</v>
      </c>
      <c r="E28" s="4" t="s">
        <v>2618</v>
      </c>
      <c r="J28" s="10" t="str">
        <f>IFERROR(__xludf.DUMMYFUNCTION("GOOGLETRANSLATE(A28, ""en"", ""bn"")"),"২৭")</f>
        <v>২৭</v>
      </c>
      <c r="K28" s="10" t="str">
        <f>IFERROR(__xludf.DUMMYFUNCTION("GOOGLETRANSLATE(B28, ""en"", ""bn"")"),"নৌকা বাইচ দৌড়ের জন্য আদর্শ জলের অবস্থা কী?")</f>
        <v>নৌকা বাইচ দৌড়ের জন্য আদর্শ জলের অবস্থা কী?</v>
      </c>
      <c r="L28" s="10" t="str">
        <f>IFERROR(__xludf.DUMMYFUNCTION("GOOGLETRANSLATE(C28, ""en"", ""bn"")"),"ক) শান্ত, খ) রুক্ষ, গ) অগভীর, ঘ) প্লাবিত")</f>
        <v>ক) শান্ত, খ) রুক্ষ, গ) অগভীর, ঘ) প্লাবিত</v>
      </c>
      <c r="M28" s="10" t="str">
        <f>IFERROR(__xludf.DUMMYFUNCTION("GOOGLETRANSLATE(D28, ""en"", ""bn"")"),"ক) শান্ত")</f>
        <v>ক) শান্ত</v>
      </c>
      <c r="N28" s="10" t="str">
        <f>IFERROR(__xludf.DUMMYFUNCTION("GOOGLETRANSLATE(E28, ""en"", ""bn"")"),"নৌকা বাইচের জন্য শান্ত জলরাশি আদর্শ কারণ এটি দ্রুত এবং আরও নিয়ন্ত্রিত দৌড়ের সুযোগ করে দেয়।")</f>
        <v>নৌকা বাইচের জন্য শান্ত জলরাশি আদর্শ কারণ এটি দ্রুত এবং আরও নিয়ন্ত্রিত দৌড়ের সুযোগ করে দেয়।</v>
      </c>
    </row>
    <row r="29">
      <c r="A29" s="4">
        <v>28.0</v>
      </c>
      <c r="B29" s="4" t="s">
        <v>2619</v>
      </c>
      <c r="C29" s="4" t="s">
        <v>2620</v>
      </c>
      <c r="D29" s="4" t="s">
        <v>2621</v>
      </c>
      <c r="E29" s="4" t="s">
        <v>2622</v>
      </c>
      <c r="J29" s="10" t="str">
        <f>IFERROR(__xludf.DUMMYFUNCTION("GOOGLETRANSLATE(A29, ""en"", ""bn"")"),"২৮")</f>
        <v>২৮</v>
      </c>
      <c r="K29" s="10" t="str">
        <f>IFERROR(__xludf.DUMMYFUNCTION("GOOGLETRANSLATE(B29, ""en"", ""bn"")"),"বাংলাদেশে নৌকা বাইচ দৌড়ের ঐতিহ্যবাহী সূচনা কোন বছরকে বলে মনে করা হয়?")</f>
        <v>বাংলাদেশে নৌকা বাইচ দৌড়ের ঐতিহ্যবাহী সূচনা কোন বছরকে বলে মনে করা হয়?</v>
      </c>
      <c r="L29" s="10" t="str">
        <f>IFERROR(__xludf.DUMMYFUNCTION("GOOGLETRANSLATE(C29, ""en"", ""bn"")"),"ক) ১৫০০, খ) ১৬০০, গ) ১৭০০, ঘ) ১৮০০")</f>
        <v>ক) ১৫০০, খ) ১৬০০, গ) ১৭০০, ঘ) ১৮০০</v>
      </c>
      <c r="M29" s="10" t="str">
        <f>IFERROR(__xludf.DUMMYFUNCTION("GOOGLETRANSLATE(D29, ""en"", ""bn"")"),"খ) ১৬০০ এর দশক")</f>
        <v>খ) ১৬০০ এর দশক</v>
      </c>
      <c r="N29" s="10" t="str">
        <f>IFERROR(__xludf.DUMMYFUNCTION("GOOGLETRANSLATE(E29, ""en"", ""bn"")"),"নৌকা বাইচ দৌড় প্রতিযোগিতা ১৬০০ সালের দিকে শুরু হয়েছিল বলে মনে করা হয়, যা সামুদ্রিক ঐতিহ্য থেকে উদ্ভূত।")</f>
        <v>নৌকা বাইচ দৌড় প্রতিযোগিতা ১৬০০ সালের দিকে শুরু হয়েছিল বলে মনে করা হয়, যা সামুদ্রিক ঐতিহ্য থেকে উদ্ভূত।</v>
      </c>
    </row>
    <row r="30">
      <c r="A30" s="4">
        <v>29.0</v>
      </c>
      <c r="B30" s="4" t="s">
        <v>2623</v>
      </c>
      <c r="C30" s="4" t="s">
        <v>2624</v>
      </c>
      <c r="D30" s="4" t="s">
        <v>150</v>
      </c>
      <c r="E30" s="4" t="s">
        <v>2625</v>
      </c>
      <c r="J30" s="10" t="str">
        <f>IFERROR(__xludf.DUMMYFUNCTION("GOOGLETRANSLATE(A30, ""en"", ""bn"")"),"২৯")</f>
        <v>২৯</v>
      </c>
      <c r="K30" s="10" t="str">
        <f>IFERROR(__xludf.DUMMYFUNCTION("GOOGLETRANSLATE(B30, ""en"", ""bn"")"),"নৌকা বাইচ দৌড়ের আগে প্রায়শই কোন ইভেন্টটি অনুষ্ঠিত হয়?")</f>
        <v>নৌকা বাইচ দৌড়ের আগে প্রায়শই কোন ইভেন্টটি অনুষ্ঠিত হয়?</v>
      </c>
      <c r="L30" s="10" t="str">
        <f>IFERROR(__xludf.DUMMYFUNCTION("GOOGLETRANSLATE(C30, ""en"", ""bn"")"),"ক) ফসল কাটার উৎসব, খ) স্বাধীনতা দিবস, গ) ধর্মীয় অনুষ্ঠান, ঘ) মাছ ধরার মৌসুম")</f>
        <v>ক) ফসল কাটার উৎসব, খ) স্বাধীনতা দিবস, গ) ধর্মীয় অনুষ্ঠান, ঘ) মাছ ধরার মৌসুম</v>
      </c>
      <c r="M30" s="10" t="str">
        <f>IFERROR(__xludf.DUMMYFUNCTION("GOOGLETRANSLATE(D30, ""en"", ""bn"")"),"ক) ফসল কাটার উৎসব")</f>
        <v>ক) ফসল কাটার উৎসব</v>
      </c>
      <c r="N30" s="10" t="str">
        <f>IFERROR(__xludf.DUMMYFUNCTION("GOOGLETRANSLATE(E30, ""en"", ""bn"")"),"ফসল কাটার উৎসবের সময় উদযাপনের অংশ হিসেবে প্রায়শই নৌকা বাইচ দৌড় প্রতিযোগিতা অনুষ্ঠিত হয়।")</f>
        <v>ফসল কাটার উৎসবের সময় উদযাপনের অংশ হিসেবে প্রায়শই নৌকা বাইচ দৌড় প্রতিযোগিতা অনুষ্ঠিত হয়।</v>
      </c>
    </row>
    <row r="31">
      <c r="A31" s="4">
        <v>30.0</v>
      </c>
      <c r="B31" s="4" t="s">
        <v>2626</v>
      </c>
      <c r="C31" s="4" t="s">
        <v>2627</v>
      </c>
      <c r="D31" s="4" t="s">
        <v>2628</v>
      </c>
      <c r="E31" s="4" t="s">
        <v>2629</v>
      </c>
      <c r="J31" s="10" t="str">
        <f>IFERROR(__xludf.DUMMYFUNCTION("GOOGLETRANSLATE(A31, ""en"", ""bn"")"),"৩০")</f>
        <v>৩০</v>
      </c>
      <c r="K31" s="10" t="str">
        <f>IFERROR(__xludf.DUMMYFUNCTION("GOOGLETRANSLATE(B31, ""en"", ""bn"")"),"নিচের কোনটি নৌকা বাইচ জাতিগুলির একটি প্রধান ঐতিহ্যবাহী বৈশিষ্ট্য?")</f>
        <v>নিচের কোনটি নৌকা বাইচ জাতিগুলির একটি প্রধান ঐতিহ্যবাহী বৈশিষ্ট্য?</v>
      </c>
      <c r="L31" s="10" t="str">
        <f>IFERROR(__xludf.DUMMYFUNCTION("GOOGLETRANSLATE(C31, ""en"", ""bn"")"),"ক) ধর্মীয় আচার-অনুষ্ঠান, খ) নৌকা সাজসজ্জা, গ) পশুবলি, ঘ) দলগত নৃত্য")</f>
        <v>ক) ধর্মীয় আচার-অনুষ্ঠান, খ) নৌকা সাজসজ্জা, গ) পশুবলি, ঘ) দলগত নৃত্য</v>
      </c>
      <c r="M31" s="10" t="str">
        <f>IFERROR(__xludf.DUMMYFUNCTION("GOOGLETRANSLATE(D31, ""en"", ""bn"")"),"খ) নৌকা সজ্জা")</f>
        <v>খ) নৌকা সজ্জা</v>
      </c>
      <c r="N31" s="10" t="str">
        <f>IFERROR(__xludf.DUMMYFUNCTION("GOOGLETRANSLATE(E31, ""en"", ""bn"")"),"দৌড়ের আগে নৌকাগুলিকে রঙ, পতাকা এবং অন্যান্য সাজসজ্জা দিয়ে সুন্দরভাবে সজ্জিত করা হয়।")</f>
        <v>দৌড়ের আগে নৌকাগুলিকে রঙ, পতাকা এবং অন্যান্য সাজসজ্জা দিয়ে সুন্দরভাবে সজ্জিত করা হয়।</v>
      </c>
    </row>
    <row r="32">
      <c r="A32" s="4">
        <v>31.0</v>
      </c>
      <c r="B32" s="4" t="s">
        <v>2630</v>
      </c>
      <c r="C32" s="4" t="s">
        <v>2631</v>
      </c>
      <c r="D32" s="4" t="s">
        <v>2632</v>
      </c>
      <c r="E32" s="4" t="s">
        <v>2633</v>
      </c>
      <c r="J32" s="10" t="str">
        <f>IFERROR(__xludf.DUMMYFUNCTION("GOOGLETRANSLATE(A32, ""en"", ""bn"")"),"৩১")</f>
        <v>৩১</v>
      </c>
      <c r="K32" s="10" t="str">
        <f>IFERROR(__xludf.DUMMYFUNCTION("GOOGLETRANSLATE(B32, ""en"", ""bn"")"),"নৌকা বাইচে স্থানীয় কারিগররা কী ভূমিকা পালন করে?")</f>
        <v>নৌকা বাইচে স্থানীয় কারিগররা কী ভূমিকা পালন করে?</v>
      </c>
      <c r="L32" s="10" t="str">
        <f>IFERROR(__xludf.DUMMYFUNCTION("GOOGLETRANSLATE(C32, ""en"", ""bn"")"),"ক) দৌড় প্রতিযোগিতার আয়োজন করা, খ) নৌকা তৈরি করা, গ) দর্শকদের পরিচালনা করা, ঘ) ঐতিহ্যবাহী গান গাওয়া")</f>
        <v>ক) দৌড় প্রতিযোগিতার আয়োজন করা, খ) নৌকা তৈরি করা, গ) দর্শকদের পরিচালনা করা, ঘ) ঐতিহ্যবাহী গান গাওয়া</v>
      </c>
      <c r="M32" s="10" t="str">
        <f>IFERROR(__xludf.DUMMYFUNCTION("GOOGLETRANSLATE(D32, ""en"", ""bn"")"),"খ) নৌকা তৈরি করা")</f>
        <v>খ) নৌকা তৈরি করা</v>
      </c>
      <c r="N32" s="10" t="str">
        <f>IFERROR(__xludf.DUMMYFUNCTION("GOOGLETRANSLATE(E32, ""en"", ""bn"")"),"স্থানীয় কারিগররা নৌকা বাইচে ব্যবহৃত ঐতিহ্যবাহী নৌকা তৈরি করে, তাদের কারুশিল্প প্রদর্শন করে।")</f>
        <v>স্থানীয় কারিগররা নৌকা বাইচে ব্যবহৃত ঐতিহ্যবাহী নৌকা তৈরি করে, তাদের কারুশিল্প প্রদর্শন করে।</v>
      </c>
    </row>
    <row r="33">
      <c r="A33" s="4">
        <v>32.0</v>
      </c>
      <c r="B33" s="4" t="s">
        <v>2634</v>
      </c>
      <c r="C33" s="4" t="s">
        <v>2635</v>
      </c>
      <c r="D33" s="4" t="s">
        <v>2636</v>
      </c>
      <c r="E33" s="4" t="s">
        <v>2637</v>
      </c>
      <c r="J33" s="10" t="str">
        <f>IFERROR(__xludf.DUMMYFUNCTION("GOOGLETRANSLATE(A33, ""en"", ""bn"")"),"৩২")</f>
        <v>৩২</v>
      </c>
      <c r="K33" s="10" t="str">
        <f>IFERROR(__xludf.DUMMYFUNCTION("GOOGLETRANSLATE(B33, ""en"", ""bn"")"),"নৌকা বাইচে ব্যবহৃত নৌকাগুলির আকৃতির তাৎপর্য কী?")</f>
        <v>নৌকা বাইচে ব্যবহৃত নৌকাগুলির আকৃতির তাৎপর্য কী?</v>
      </c>
      <c r="L33" s="10" t="str">
        <f>IFERROR(__xludf.DUMMYFUNCTION("GOOGLETRANSLATE(C33, ""en"", ""bn"")"),"ক) এগুলি বায়ুগতিগত, খ) স্থিতিশীলতার জন্য এগুলি সমতল তলদেশযুক্ত, গ) গতির জন্য এগুলি সূঁচালো, ঘ) উচ্ছ্বাসের জন্য এগুলি গোলাকার")</f>
        <v>ক) এগুলি বায়ুগতিগত, খ) স্থিতিশীলতার জন্য এগুলি সমতল তলদেশযুক্ত, গ) গতির জন্য এগুলি সূঁচালো, ঘ) উচ্ছ্বাসের জন্য এগুলি গোলাকার</v>
      </c>
      <c r="M33" s="10" t="str">
        <f>IFERROR(__xludf.DUMMYFUNCTION("GOOGLETRANSLATE(D33, ""en"", ""bn"")"),"খ) স্থিতিশীলতার জন্য এগুলি সমতল-তলযুক্ত")</f>
        <v>খ) স্থিতিশীলতার জন্য এগুলি সমতল-তলযুক্ত</v>
      </c>
      <c r="N33" s="10" t="str">
        <f>IFERROR(__xludf.DUMMYFUNCTION("GOOGLETRANSLATE(E33, ""en"", ""bn"")"),"সমতল তলাবিশিষ্ট নৌকাগুলি অধিক স্থিতিশীলতা প্রদান করে, যা নৌকাচালকদের অগভীর জলে কার্যকরভাবে দৌড়াতে সাহায্য করে।")</f>
        <v>সমতল তলাবিশিষ্ট নৌকাগুলি অধিক স্থিতিশীলতা প্রদান করে, যা নৌকাচালকদের অগভীর জলে কার্যকরভাবে দৌড়াতে সাহায্য করে।</v>
      </c>
    </row>
    <row r="34">
      <c r="A34" s="4">
        <v>33.0</v>
      </c>
      <c r="B34" s="4" t="s">
        <v>2638</v>
      </c>
      <c r="C34" s="4" t="s">
        <v>2639</v>
      </c>
      <c r="D34" s="4" t="s">
        <v>2640</v>
      </c>
      <c r="E34" s="4" t="s">
        <v>2641</v>
      </c>
      <c r="J34" s="10" t="str">
        <f>IFERROR(__xludf.DUMMYFUNCTION("GOOGLETRANSLATE(A34, ""en"", ""bn"")"),"৩৩")</f>
        <v>৩৩</v>
      </c>
      <c r="K34" s="10" t="str">
        <f>IFERROR(__xludf.DUMMYFUNCTION("GOOGLETRANSLATE(B34, ""en"", ""bn"")"),"নৌকা বাইচ দৌড়ে অংশগ্রহণকারীদের জন্য কোনটি একটি বড় চ্যালেঞ্জ?")</f>
        <v>নৌকা বাইচ দৌড়ে অংশগ্রহণকারীদের জন্য কোনটি একটি বড় চ্যালেঞ্জ?</v>
      </c>
      <c r="L34" s="10" t="str">
        <f>IFERROR(__xludf.DUMMYFUNCTION("GOOGLETRANSLATE(C34, ""en"", ""bn"")"),"ক) নদী দূষণ, খ) তীব্র নদীর স্রোত, গ) দর্শকের অভাব, ঘ) উচ্চ তাপমাত্রা")</f>
        <v>ক) নদী দূষণ, খ) তীব্র নদীর স্রোত, গ) দর্শকের অভাব, ঘ) উচ্চ তাপমাত্রা</v>
      </c>
      <c r="M34" s="10" t="str">
        <f>IFERROR(__xludf.DUMMYFUNCTION("GOOGLETRANSLATE(D34, ""en"", ""bn"")"),"খ) তীব্র নদীর স্রোত")</f>
        <v>খ) তীব্র নদীর স্রোত</v>
      </c>
      <c r="N34" s="10" t="str">
        <f>IFERROR(__xludf.DUMMYFUNCTION("GOOGLETRANSLATE(E34, ""en"", ""bn"")"),"তীব্র নদীর স্রোত দৌড় প্রতিযোগিতাকে আরও চ্যালেঞ্জিং করে তুলতে পারে, যার জন্য দক্ষ নৌচলাচলের প্রয়োজন হয়।")</f>
        <v>তীব্র নদীর স্রোত দৌড় প্রতিযোগিতাকে আরও চ্যালেঞ্জিং করে তুলতে পারে, যার জন্য দক্ষ নৌচলাচলের প্রয়োজন হয়।</v>
      </c>
    </row>
    <row r="35">
      <c r="A35" s="4">
        <v>34.0</v>
      </c>
      <c r="B35" s="4" t="s">
        <v>2642</v>
      </c>
      <c r="C35" s="4" t="s">
        <v>2643</v>
      </c>
      <c r="D35" s="4" t="s">
        <v>2644</v>
      </c>
      <c r="E35" s="4" t="s">
        <v>2645</v>
      </c>
      <c r="J35" s="10" t="str">
        <f>IFERROR(__xludf.DUMMYFUNCTION("GOOGLETRANSLATE(A35, ""en"", ""bn"")"),"৩৪")</f>
        <v>৩৪</v>
      </c>
      <c r="K35" s="10" t="str">
        <f>IFERROR(__xludf.DUMMYFUNCTION("GOOGLETRANSLATE(B35, ""en"", ""bn"")"),"নৌকা বাইচের সময় অংশগ্রহণকারীরা কোন ঐতিহ্যবাহী পোশাক পরেন?")</f>
        <v>নৌকা বাইচের সময় অংশগ্রহণকারীরা কোন ঐতিহ্যবাহী পোশাক পরেন?</v>
      </c>
      <c r="L35" s="10" t="str">
        <f>IFERROR(__xludf.DUMMYFUNCTION("GOOGLETRANSLATE(C35, ""en"", ""bn"")"),"ক) টি-শার্ট এবং শর্টস, খ) ঐতিহ্যবাহী লুঙ্গি এবং কুর্তা, গ) আনুষ্ঠানিক পোশাক, ঘ) সামরিক ধাঁচের ইউনিফর্ম")</f>
        <v>ক) টি-শার্ট এবং শর্টস, খ) ঐতিহ্যবাহী লুঙ্গি এবং কুর্তা, গ) আনুষ্ঠানিক পোশাক, ঘ) সামরিক ধাঁচের ইউনিফর্ম</v>
      </c>
      <c r="M35" s="10" t="str">
        <f>IFERROR(__xludf.DUMMYFUNCTION("GOOGLETRANSLATE(D35, ""en"", ""bn"")"),"খ) ঐতিহ্যবাহী লুঙ্গি এবং কুর্তা")</f>
        <v>খ) ঐতিহ্যবাহী লুঙ্গি এবং কুর্তা</v>
      </c>
      <c r="N35" s="10" t="str">
        <f>IFERROR(__xludf.DUMMYFUNCTION("GOOGLETRANSLATE(E35, ""en"", ""bn"")"),"অংশগ্রহণকারীরা সাধারণত ঐতিহ্যবাহী লুঙ্গি এবং কুর্তা পরেন, যা সাংস্কৃতিক ঐতিহ্যের প্রতিফলন ঘটায়।")</f>
        <v>অংশগ্রহণকারীরা সাধারণত ঐতিহ্যবাহী লুঙ্গি এবং কুর্তা পরেন, যা সাংস্কৃতিক ঐতিহ্যের প্রতিফলন ঘটায়।</v>
      </c>
    </row>
    <row r="36">
      <c r="A36" s="4">
        <v>35.0</v>
      </c>
      <c r="B36" s="4" t="s">
        <v>2646</v>
      </c>
      <c r="C36" s="4" t="s">
        <v>2647</v>
      </c>
      <c r="D36" s="4" t="s">
        <v>2648</v>
      </c>
      <c r="E36" s="4" t="s">
        <v>2649</v>
      </c>
      <c r="J36" s="10" t="str">
        <f>IFERROR(__xludf.DUMMYFUNCTION("GOOGLETRANSLATE(A36, ""en"", ""bn"")"),"৩৫")</f>
        <v>৩৫</v>
      </c>
      <c r="K36" s="10" t="str">
        <f>IFERROR(__xludf.DUMMYFUNCTION("GOOGLETRANSLATE(B36, ""en"", ""bn"")"),"নৌকা বাইচ দৌড় সাধারণত কতক্ষণ স্থায়ী হয়?")</f>
        <v>নৌকা বাইচ দৌড় সাধারণত কতক্ষণ স্থায়ী হয়?</v>
      </c>
      <c r="L36" s="10" t="str">
        <f>IFERROR(__xludf.DUMMYFUNCTION("GOOGLETRANSLATE(C36, ""en"", ""bn"")"),"ক) ১০-১৫ মিনিট, খ) ৩০-৪৫ মিনিট, গ) ১-২ ঘন্টা, ঘ) ৫-১০ মিনিট")</f>
        <v>ক) ১০-১৫ মিনিট, খ) ৩০-৪৫ মিনিট, গ) ১-২ ঘন্টা, ঘ) ৫-১০ মিনিট</v>
      </c>
      <c r="M36" s="10" t="str">
        <f>IFERROR(__xludf.DUMMYFUNCTION("GOOGLETRANSLATE(D36, ""en"", ""bn"")"),"ক) ১০-১৫ মিনিট")</f>
        <v>ক) ১০-১৫ মিনিট</v>
      </c>
      <c r="N36" s="10" t="str">
        <f>IFERROR(__xludf.DUMMYFUNCTION("GOOGLETRANSLATE(E36, ""en"", ""bn"")"),"দৌড়গুলি সাধারণত ছোট ছোট দৌড় হয়, নদীর অবস্থার উপর নির্ভর করে ১০-১৫ মিনিট স্থায়ী হয়।")</f>
        <v>দৌড়গুলি সাধারণত ছোট ছোট দৌড় হয়, নদীর অবস্থার উপর নির্ভর করে ১০-১৫ মিনিট স্থায়ী হয়।</v>
      </c>
    </row>
    <row r="37">
      <c r="A37" s="4">
        <v>36.0</v>
      </c>
      <c r="B37" s="4" t="s">
        <v>2650</v>
      </c>
      <c r="C37" s="4" t="s">
        <v>2651</v>
      </c>
      <c r="D37" s="4" t="s">
        <v>2652</v>
      </c>
      <c r="E37" s="4" t="s">
        <v>2653</v>
      </c>
      <c r="J37" s="10" t="str">
        <f>IFERROR(__xludf.DUMMYFUNCTION("GOOGLETRANSLATE(A37, ""en"", ""bn"")"),"৩৬")</f>
        <v>৩৬</v>
      </c>
      <c r="K37" s="10" t="str">
        <f>IFERROR(__xludf.DUMMYFUNCTION("GOOGLETRANSLATE(B37, ""en"", ""bn"")"),"নৌকা বাইচের সময় কোন ঐতিহ্যবাহী সঙ্গীত বাজানো হত?")</f>
        <v>নৌকা বাইচের সময় কোন ঐতিহ্যবাহী সঙ্গীত বাজানো হত?</v>
      </c>
      <c r="L37" s="10" t="str">
        <f>IFERROR(__xludf.DUMMYFUNCTION("GOOGLETRANSLATE(C37, ""en"", ""bn"")"),"ক) ধ্রুপদী বাদ্যযন্ত্র, খ) লোকসঙ্গীত, গ) আধুনিক পপ সঙ্গীত, ঘ) দেশাত্মবোধক সঙ্গীত")</f>
        <v>ক) ধ্রুপদী বাদ্যযন্ত্র, খ) লোকসঙ্গীত, গ) আধুনিক পপ সঙ্গীত, ঘ) দেশাত্মবোধক সঙ্গীত</v>
      </c>
      <c r="M37" s="10" t="str">
        <f>IFERROR(__xludf.DUMMYFUNCTION("GOOGLETRANSLATE(D37, ""en"", ""bn"")"),"খ) লোকসঙ্গীত")</f>
        <v>খ) লোকসঙ্গীত</v>
      </c>
      <c r="N37" s="10" t="str">
        <f>IFERROR(__xludf.DUMMYFUNCTION("GOOGLETRANSLATE(E37, ""en"", ""bn"")"),"দৌড়ের সময় প্রায়শই প্যাডেলের তালের সাথে ঐতিহ্যবাহী লোকগান গাওয়া হয়।")</f>
        <v>দৌড়ের সময় প্রায়শই প্যাডেলের তালের সাথে ঐতিহ্যবাহী লোকগান গাওয়া হয়।</v>
      </c>
    </row>
    <row r="38">
      <c r="A38" s="4">
        <v>37.0</v>
      </c>
      <c r="B38" s="4" t="s">
        <v>2654</v>
      </c>
      <c r="C38" s="4" t="s">
        <v>2655</v>
      </c>
      <c r="D38" s="4" t="s">
        <v>2602</v>
      </c>
      <c r="E38" s="4" t="s">
        <v>2656</v>
      </c>
      <c r="J38" s="10" t="str">
        <f>IFERROR(__xludf.DUMMYFUNCTION("GOOGLETRANSLATE(A38, ""en"", ""bn"")"),"৩৭")</f>
        <v>৩৭</v>
      </c>
      <c r="K38" s="10" t="str">
        <f>IFERROR(__xludf.DUMMYFUNCTION("GOOGLETRANSLATE(B38, ""en"", ""bn"")"),"বাংলাদেশের কোন অঞ্চলটি বৃহত্তম নৌকা বাইচ অনুষ্ঠান আয়োজনের জন্য পরিচিত?")</f>
        <v>বাংলাদেশের কোন অঞ্চলটি বৃহত্তম নৌকা বাইচ অনুষ্ঠান আয়োজনের জন্য পরিচিত?</v>
      </c>
      <c r="L38" s="10" t="str">
        <f>IFERROR(__xludf.DUMMYFUNCTION("GOOGLETRANSLATE(C38, ""en"", ""bn"")"),"A) ঢাকা, B) বরিশাল, C) চট্টগ্রাম, D) খুলনা")</f>
        <v>A) ঢাকা, B) বরিশাল, C) চট্টগ্রাম, D) খুলনা</v>
      </c>
      <c r="M38" s="10" t="str">
        <f>IFERROR(__xludf.DUMMYFUNCTION("GOOGLETRANSLATE(D38, ""en"", ""bn"")"),"খ) বরিশাল")</f>
        <v>খ) বরিশাল</v>
      </c>
      <c r="N38" s="10" t="str">
        <f>IFERROR(__xludf.DUMMYFUNCTION("GOOGLETRANSLATE(E38, ""en"", ""bn"")"),"বরিশাল বৃহৎ পরিসরে নৌকা বাইচ অনুষ্ঠান আয়োজনের জন্য বিখ্যাত, যা হাজার হাজার দর্শককে আকর্ষণ করে।")</f>
        <v>বরিশাল বৃহৎ পরিসরে নৌকা বাইচ অনুষ্ঠান আয়োজনের জন্য বিখ্যাত, যা হাজার হাজার দর্শককে আকর্ষণ করে।</v>
      </c>
    </row>
    <row r="39">
      <c r="A39" s="4">
        <v>38.0</v>
      </c>
      <c r="B39" s="4" t="s">
        <v>2657</v>
      </c>
      <c r="C39" s="4" t="s">
        <v>2658</v>
      </c>
      <c r="D39" s="4" t="s">
        <v>2659</v>
      </c>
      <c r="E39" s="4" t="s">
        <v>2660</v>
      </c>
      <c r="J39" s="10" t="str">
        <f>IFERROR(__xludf.DUMMYFUNCTION("GOOGLETRANSLATE(A39, ""en"", ""bn"")"),"৩৮")</f>
        <v>৩৮</v>
      </c>
      <c r="K39" s="10" t="str">
        <f>IFERROR(__xludf.DUMMYFUNCTION("GOOGLETRANSLATE(B39, ""en"", ""bn"")"),"নিচের কোনটি নৌকা বাইচে ব্যবহৃত জলের সবচেয়ে ভালো বর্ণনা দেয়?")</f>
        <v>নিচের কোনটি নৌকা বাইচে ব্যবহৃত জলের সবচেয়ে ভালো বর্ণনা দেয়?</v>
      </c>
      <c r="L39" s="10" t="str">
        <f>IFERROR(__xludf.DUMMYFUNCTION("GOOGLETRANSLATE(C39, ""en"", ""bn"")"),"ক) লবণাক্ত পানি, খ) স্বাদুপানি, গ) স্থির পানি, ঘ) লবণাক্ত ও স্বাদুপানি উভয়ই")</f>
        <v>ক) লবণাক্ত পানি, খ) স্বাদুপানি, গ) স্থির পানি, ঘ) লবণাক্ত ও স্বাদুপানি উভয়ই</v>
      </c>
      <c r="M39" s="10" t="str">
        <f>IFERROR(__xludf.DUMMYFUNCTION("GOOGLETRANSLATE(D39, ""en"", ""bn"")"),"খ) মিঠা পানি")</f>
        <v>খ) মিঠা পানি</v>
      </c>
      <c r="N39" s="10" t="str">
        <f>IFERROR(__xludf.DUMMYFUNCTION("GOOGLETRANSLATE(E39, ""en"", ""bn"")"),"নৌকা বাইচ মিঠা পানির নদীতে সংঘটিত হয়, যা দৌড়ের জন্য আদর্শ পরিস্থিতি তৈরি করে।")</f>
        <v>নৌকা বাইচ মিঠা পানির নদীতে সংঘটিত হয়, যা দৌড়ের জন্য আদর্শ পরিস্থিতি তৈরি করে।</v>
      </c>
    </row>
    <row r="40">
      <c r="A40" s="4">
        <v>39.0</v>
      </c>
      <c r="B40" s="4" t="s">
        <v>2661</v>
      </c>
      <c r="C40" s="4" t="s">
        <v>2662</v>
      </c>
      <c r="D40" s="4" t="s">
        <v>2663</v>
      </c>
      <c r="E40" s="4" t="s">
        <v>2664</v>
      </c>
      <c r="J40" s="10" t="str">
        <f>IFERROR(__xludf.DUMMYFUNCTION("GOOGLETRANSLATE(A40, ""en"", ""bn"")"),"৩৯")</f>
        <v>৩৯</v>
      </c>
      <c r="K40" s="10" t="str">
        <f>IFERROR(__xludf.DUMMYFUNCTION("GOOGLETRANSLATE(B40, ""en"", ""bn"")"),"নওকা বাইচে দল গঠনের তাৎপর্য কী?")</f>
        <v>নওকা বাইচে দল গঠনের তাৎপর্য কী?</v>
      </c>
      <c r="L40" s="10" t="str">
        <f>IFERROR(__xludf.DUMMYFUNCTION("GOOGLETRANSLATE(C40, ""en"", ""bn"")"),"ক) শুধুমাত্র একজন রোয়ার গুরুত্বপূর্ণ, খ) দলগত কাজ গুরুত্বপূর্ণ, গ) ব্যক্তিগত শক্তি গুরুত্বপূর্ণ, ঘ) কোনও নির্দিষ্ট গঠন নেই")</f>
        <v>ক) শুধুমাত্র একজন রোয়ার গুরুত্বপূর্ণ, খ) দলগত কাজ গুরুত্বপূর্ণ, গ) ব্যক্তিগত শক্তি গুরুত্বপূর্ণ, ঘ) কোনও নির্দিষ্ট গঠন নেই</v>
      </c>
      <c r="M40" s="10" t="str">
        <f>IFERROR(__xludf.DUMMYFUNCTION("GOOGLETRANSLATE(D40, ""en"", ""bn"")"),"খ) দলগত কাজ অত্যন্ত গুরুত্বপূর্ণ")</f>
        <v>খ) দলগত কাজ অত্যন্ত গুরুত্বপূর্ণ</v>
      </c>
      <c r="N40" s="10" t="str">
        <f>IFERROR(__xludf.DUMMYFUNCTION("GOOGLETRANSLATE(E40, ""en"", ""bn"")"),"দলগতভাবে কাজ করা অত্যন্ত গুরুত্বপূর্ণ, কারণ সিঙ্ক্রোনাইজড রোয়িং নৌকার গতি এবং স্থায়িত্বকে ব্যাপকভাবে উন্নত করতে পারে।")</f>
        <v>দলগতভাবে কাজ করা অত্যন্ত গুরুত্বপূর্ণ, কারণ সিঙ্ক্রোনাইজড রোয়িং নৌকার গতি এবং স্থায়িত্বকে ব্যাপকভাবে উন্নত করতে পারে।</v>
      </c>
    </row>
    <row r="41">
      <c r="A41" s="4">
        <v>40.0</v>
      </c>
      <c r="B41" s="4" t="s">
        <v>2665</v>
      </c>
      <c r="C41" s="4" t="s">
        <v>2666</v>
      </c>
      <c r="D41" s="4" t="s">
        <v>2667</v>
      </c>
      <c r="E41" s="4" t="s">
        <v>2668</v>
      </c>
      <c r="J41" s="10" t="str">
        <f>IFERROR(__xludf.DUMMYFUNCTION("GOOGLETRANSLATE(A41, ""en"", ""bn"")"),"৪০")</f>
        <v>৪০</v>
      </c>
      <c r="K41" s="10" t="str">
        <f>IFERROR(__xludf.DUMMYFUNCTION("GOOGLETRANSLATE(B41, ""en"", ""bn"")"),"নওকা বাইচ দলের নেতার প্রাথমিক ভূমিকা কী?")</f>
        <v>নওকা বাইচ দলের নেতার প্রাথমিক ভূমিকা কী?</v>
      </c>
      <c r="L41" s="10" t="str">
        <f>IFERROR(__xludf.DUMMYFUNCTION("GOOGLETRANSLATE(C41, ""en"", ""bn"")"),"ক) লোকগান গাওয়া, খ) নৌকায় চলা, গ) নৌকা চালানোর ছন্দ পরিচালনা করা, ঘ) নৌকা সাজানো")</f>
        <v>ক) লোকগান গাওয়া, খ) নৌকায় চলা, গ) নৌকা চালানোর ছন্দ পরিচালনা করা, ঘ) নৌকা সাজানো</v>
      </c>
      <c r="M41" s="10" t="str">
        <f>IFERROR(__xludf.DUMMYFUNCTION("GOOGLETRANSLATE(D41, ""en"", ""bn"")"),"গ) রোয়িং ছন্দ পরিচালনা করা")</f>
        <v>গ) রোয়িং ছন্দ পরিচালনা করা</v>
      </c>
      <c r="N41" s="10" t="str">
        <f>IFERROR(__xludf.DUMMYFUNCTION("GOOGLETRANSLATE(E41, ""en"", ""bn"")"),"নেতা নিশ্চিত করেন যে রোয়িং ছন্দ সুসংগত, যা একটি সফল দৌড়ের জন্য অপরিহার্য।")</f>
        <v>নেতা নিশ্চিত করেন যে রোয়িং ছন্দ সুসংগত, যা একটি সফল দৌড়ের জন্য অপরিহার্য।</v>
      </c>
    </row>
    <row r="42">
      <c r="A42" s="4">
        <v>41.0</v>
      </c>
      <c r="B42" s="4" t="s">
        <v>2669</v>
      </c>
      <c r="C42" s="4" t="s">
        <v>2670</v>
      </c>
      <c r="D42" s="4" t="s">
        <v>2671</v>
      </c>
      <c r="E42" s="4" t="s">
        <v>2672</v>
      </c>
      <c r="J42" s="10" t="str">
        <f>IFERROR(__xludf.DUMMYFUNCTION("GOOGLETRANSLATE(A42, ""en"", ""bn"")"),"৪১")</f>
        <v>৪১</v>
      </c>
      <c r="K42" s="10" t="str">
        <f>IFERROR(__xludf.DUMMYFUNCTION("GOOGLETRANSLATE(B42, ""en"", ""bn"")"),"নৌকা বাইচের বিজয় উদযাপনের একটি সাধারণ উপায় কী?")</f>
        <v>নৌকা বাইচের বিজয় উদযাপনের একটি সাধারণ উপায় কী?</v>
      </c>
      <c r="L42" s="10" t="str">
        <f>IFERROR(__xludf.DUMMYFUNCTION("GOOGLETRANSLATE(C42, ""en"", ""bn"")"),"ক) আতশবাজি, খ) ভোজের আয়োজন, গ) জনসাধারণের শোভাযাত্রা, ঘ) পশুবলি")</f>
        <v>ক) আতশবাজি, খ) ভোজের আয়োজন, গ) জনসাধারণের শোভাযাত্রা, ঘ) পশুবলি</v>
      </c>
      <c r="M42" s="10" t="str">
        <f>IFERROR(__xludf.DUMMYFUNCTION("GOOGLETRANSLATE(D42, ""en"", ""bn"")"),"খ) ভোজন")</f>
        <v>খ) ভোজন</v>
      </c>
      <c r="N42" s="10" t="str">
        <f>IFERROR(__xludf.DUMMYFUNCTION("GOOGLETRANSLATE(E42, ""en"", ""bn"")"),"নওকা বাইচের বিজয়ীদের প্রায়শই উৎসবের অংশ হিসেবে সাম্প্রদায়িক ভোজের মাধ্যমে উদযাপন করা হয়।")</f>
        <v>নওকা বাইচের বিজয়ীদের প্রায়শই উৎসবের অংশ হিসেবে সাম্প্রদায়িক ভোজের মাধ্যমে উদযাপন করা হয়।</v>
      </c>
    </row>
    <row r="43">
      <c r="A43" s="4">
        <v>42.0</v>
      </c>
      <c r="B43" s="4" t="s">
        <v>2673</v>
      </c>
      <c r="C43" s="4" t="s">
        <v>2674</v>
      </c>
      <c r="D43" s="4" t="s">
        <v>2675</v>
      </c>
      <c r="E43" s="4" t="s">
        <v>2576</v>
      </c>
      <c r="J43" s="10" t="str">
        <f>IFERROR(__xludf.DUMMYFUNCTION("GOOGLETRANSLATE(A43, ""en"", ""bn"")"),"৪২")</f>
        <v>৪২</v>
      </c>
      <c r="K43" s="10" t="str">
        <f>IFERROR(__xludf.DUMMYFUNCTION("GOOGLETRANSLATE(B43, ""en"", ""bn"")"),"স্থানীয় অর্থনীতিতে নৌকা বাইচ কীভাবে অবদান রাখে?")</f>
        <v>স্থানীয় অর্থনীতিতে নৌকা বাইচ কীভাবে অবদান রাখে?</v>
      </c>
      <c r="L43" s="10" t="str">
        <f>IFERROR(__xludf.DUMMYFUNCTION("GOOGLETRANSLATE(C43, ""en"", ""bn"")"),"ক) পর্যটন বৃদ্ধি করে, খ) কৃষি উৎপাদন বৃদ্ধি করে, গ) মাছের ব্যবসাকে উৎসাহিত করে, ঘ) শিল্প প্রবৃদ্ধিকে সমর্থন করে")</f>
        <v>ক) পর্যটন বৃদ্ধি করে, খ) কৃষি উৎপাদন বৃদ্ধি করে, গ) মাছের ব্যবসাকে উৎসাহিত করে, ঘ) শিল্প প্রবৃদ্ধিকে সমর্থন করে</v>
      </c>
      <c r="M43" s="10" t="str">
        <f>IFERROR(__xludf.DUMMYFUNCTION("GOOGLETRANSLATE(D43, ""en"", ""bn"")"),"ক) পর্যটন বৃদ্ধি করে")</f>
        <v>ক) পর্যটন বৃদ্ধি করে</v>
      </c>
      <c r="N43" s="10" t="str">
        <f>IFERROR(__xludf.DUMMYFUNCTION("GOOGLETRANSLATE(E43, ""en"", ""bn"")"),"নৌকা বাইচ পর্যটকদের আকর্ষণ করে, উৎসবের মরসুমে স্থানীয় অর্থনীতিকে চাঙ্গা করে।")</f>
        <v>নৌকা বাইচ পর্যটকদের আকর্ষণ করে, উৎসবের মরসুমে স্থানীয় অর্থনীতিকে চাঙ্গা করে।</v>
      </c>
    </row>
    <row r="44">
      <c r="A44" s="4">
        <v>43.0</v>
      </c>
      <c r="B44" s="4" t="s">
        <v>2676</v>
      </c>
      <c r="C44" s="4" t="s">
        <v>2677</v>
      </c>
      <c r="D44" s="4" t="s">
        <v>2678</v>
      </c>
      <c r="E44" s="4" t="s">
        <v>2679</v>
      </c>
      <c r="J44" s="10" t="str">
        <f>IFERROR(__xludf.DUMMYFUNCTION("GOOGLETRANSLATE(A44, ""en"", ""bn"")"),"৪৩")</f>
        <v>৪৩</v>
      </c>
      <c r="K44" s="10" t="str">
        <f>IFERROR(__xludf.DUMMYFUNCTION("GOOGLETRANSLATE(B44, ""en"", ""bn"")"),"নৌকা বাইচকে ঘিরে কেমন দর্শকসমাগম?")</f>
        <v>নৌকা বাইচকে ঘিরে কেমন দর্শকসমাগম?</v>
      </c>
      <c r="L44" s="10" t="str">
        <f>IFERROR(__xludf.DUMMYFUNCTION("GOOGLETRANSLATE(C44, ""en"", ""bn"")"),"ক) এটি একটি নীরব অনুষ্ঠান, খ) দর্শকরা দৌড়ে সক্রিয়ভাবে জড়িত, গ) এটি হাজার হাজার উল্লাসিত দর্শকদের আকর্ষণ করে, ঘ) এটি টিভিতে সম্প্রচারিত হয়")</f>
        <v>ক) এটি একটি নীরব অনুষ্ঠান, খ) দর্শকরা দৌড়ে সক্রিয়ভাবে জড়িত, গ) এটি হাজার হাজার উল্লাসিত দর্শকদের আকর্ষণ করে, ঘ) এটি টিভিতে সম্প্রচারিত হয়</v>
      </c>
      <c r="M44" s="10" t="str">
        <f>IFERROR(__xludf.DUMMYFUNCTION("GOOGLETRANSLATE(D44, ""en"", ""bn"")"),"গ) এটি হাজার হাজার উল্লাসিত দর্শকদের আকর্ষণ করে")</f>
        <v>গ) এটি হাজার হাজার উল্লাসিত দর্শকদের আকর্ষণ করে</v>
      </c>
      <c r="N44" s="10" t="str">
        <f>IFERROR(__xludf.DUMMYFUNCTION("GOOGLETRANSLATE(E44, ""en"", ""bn"")"),"নৌকা বাইচ হল এমন একটি অনুষ্ঠান যেখানে দর্শকদের উল্লাসধ্বনি থাকে, যা দৌড় প্রতিযোগিতার উত্তেজনা আরও বাড়িয়ে তোলে।")</f>
        <v>নৌকা বাইচ হল এমন একটি অনুষ্ঠান যেখানে দর্শকদের উল্লাসধ্বনি থাকে, যা দৌড় প্রতিযোগিতার উত্তেজনা আরও বাড়িয়ে তোলে।</v>
      </c>
    </row>
    <row r="45">
      <c r="A45" s="4">
        <v>44.0</v>
      </c>
      <c r="B45" s="4" t="s">
        <v>2680</v>
      </c>
      <c r="C45" s="4" t="s">
        <v>2681</v>
      </c>
      <c r="D45" s="4" t="s">
        <v>2682</v>
      </c>
      <c r="E45" s="4" t="s">
        <v>2683</v>
      </c>
      <c r="J45" s="10" t="str">
        <f>IFERROR(__xludf.DUMMYFUNCTION("GOOGLETRANSLATE(A45, ""en"", ""bn"")"),"৪৪")</f>
        <v>৪৪</v>
      </c>
      <c r="K45" s="10" t="str">
        <f>IFERROR(__xludf.DUMMYFUNCTION("GOOGLETRANSLATE(B45, ""en"", ""bn"")"),"নিচের কোনটি নৌকা বাইচের নৌকাগুলির প্রকৃতি সবচেয়ে ভালোভাবে বর্ণনা করে?")</f>
        <v>নিচের কোনটি নৌকা বাইচের নৌকাগুলির প্রকৃতি সবচেয়ে ভালোভাবে বর্ণনা করে?</v>
      </c>
      <c r="L45" s="10" t="str">
        <f>IFERROR(__xludf.DUMMYFUNCTION("GOOGLETRANSLATE(C45, ""en"", ""bn"")"),"ক) উচ্চ প্রযুক্তির স্পিডবোট, খ) ঐতিহ্যবাহী কাঠের নৌকা, গ) ফুলে ওঠা নৌকা, ঘ) ক্যানো")</f>
        <v>ক) উচ্চ প্রযুক্তির স্পিডবোট, খ) ঐতিহ্যবাহী কাঠের নৌকা, গ) ফুলে ওঠা নৌকা, ঘ) ক্যানো</v>
      </c>
      <c r="M45" s="10" t="str">
        <f>IFERROR(__xludf.DUMMYFUNCTION("GOOGLETRANSLATE(D45, ""en"", ""bn"")"),"খ) ঐতিহ্যবাহী কাঠের নৌকা")</f>
        <v>খ) ঐতিহ্যবাহী কাঠের নৌকা</v>
      </c>
      <c r="N45" s="10" t="str">
        <f>IFERROR(__xludf.DUMMYFUNCTION("GOOGLETRANSLATE(E45, ""en"", ""bn"")"),"নৌকা বাইচ ঐতিহ্যবাহী কাঠের নৌকা ব্যবহার করে, যা জাতিগত চাহিদার সাথে সামঞ্জস্যপূর্ণ হস্তনির্মিত।")</f>
        <v>নৌকা বাইচ ঐতিহ্যবাহী কাঠের নৌকা ব্যবহার করে, যা জাতিগত চাহিদার সাথে সামঞ্জস্যপূর্ণ হস্তনির্মিত।</v>
      </c>
    </row>
    <row r="46">
      <c r="A46" s="4">
        <v>45.0</v>
      </c>
      <c r="B46" s="4" t="s">
        <v>2684</v>
      </c>
      <c r="C46" s="4" t="s">
        <v>2685</v>
      </c>
      <c r="D46" s="4" t="s">
        <v>2686</v>
      </c>
      <c r="E46" s="4" t="s">
        <v>2687</v>
      </c>
      <c r="J46" s="10" t="str">
        <f>IFERROR(__xludf.DUMMYFUNCTION("GOOGLETRANSLATE(A46, ""en"", ""bn"")"),"৪৫")</f>
        <v>৪৫</v>
      </c>
      <c r="K46" s="10" t="str">
        <f>IFERROR(__xludf.DUMMYFUNCTION("GOOGLETRANSLATE(B46, ""en"", ""bn"")"),"নৌকা বাইচ ঘটনায় নদীর তীরের ভূমিকা কী?")</f>
        <v>নৌকা বাইচ ঘটনায় নদীর তীরের ভূমিকা কী?</v>
      </c>
      <c r="L46" s="10" t="str">
        <f>IFERROR(__xludf.DUMMYFUNCTION("GOOGLETRANSLATE(C46, ""en"", ""bn"")"),"ক) এগুলি বিশ্রামের জন্য ব্যবহৃত হয়, খ) এগুলি দর্শকদের জন্য জায়গা প্রদান করে, গ) এগুলি নিজেই রেস কোর্স, ঘ) এগুলি বাণিজ্যিক কার্যকলাপের জন্য ব্যবহৃত হয়")</f>
        <v>ক) এগুলি বিশ্রামের জন্য ব্যবহৃত হয়, খ) এগুলি দর্শকদের জন্য জায়গা প্রদান করে, গ) এগুলি নিজেই রেস কোর্স, ঘ) এগুলি বাণিজ্যিক কার্যকলাপের জন্য ব্যবহৃত হয়</v>
      </c>
      <c r="M46" s="10" t="str">
        <f>IFERROR(__xludf.DUMMYFUNCTION("GOOGLETRANSLATE(D46, ""en"", ""bn"")"),"খ) তারা দর্শকদের জন্য জায়গা প্রদান করে")</f>
        <v>খ) তারা দর্শকদের জন্য জায়গা প্রদান করে</v>
      </c>
      <c r="N46" s="10" t="str">
        <f>IFERROR(__xludf.DUMMYFUNCTION("GOOGLETRANSLATE(E46, ""en"", ""bn"")"),"নদীর তীরে দর্শকদের ভিড় জমে আছে যারা তাদের প্রিয় দলগুলোর খেলা দেখতে এবং তাদের উল্লাস করতে আসে।")</f>
        <v>নদীর তীরে দর্শকদের ভিড় জমে আছে যারা তাদের প্রিয় দলগুলোর খেলা দেখতে এবং তাদের উল্লাস করতে আসে।</v>
      </c>
    </row>
    <row r="47">
      <c r="A47" s="4">
        <v>46.0</v>
      </c>
      <c r="B47" s="4" t="s">
        <v>2688</v>
      </c>
      <c r="C47" s="4" t="s">
        <v>2689</v>
      </c>
      <c r="D47" s="4" t="s">
        <v>2690</v>
      </c>
      <c r="E47" s="4" t="s">
        <v>2691</v>
      </c>
      <c r="J47" s="10" t="str">
        <f>IFERROR(__xludf.DUMMYFUNCTION("GOOGLETRANSLATE(A47, ""en"", ""bn"")"),"৪৬")</f>
        <v>৪৬</v>
      </c>
      <c r="K47" s="10" t="str">
        <f>IFERROR(__xludf.DUMMYFUNCTION("GOOGLETRANSLATE(B47, ""en"", ""bn"")"),"নওকা বাইচ কীভাবে বাংলাদেশের সাংস্কৃতিক ঐতিহ্যকে প্রতিফলিত করে?")</f>
        <v>নওকা বাইচ কীভাবে বাংলাদেশের সাংস্কৃতিক ঐতিহ্যকে প্রতিফলিত করে?</v>
      </c>
      <c r="L47" s="10" t="str">
        <f>IFERROR(__xludf.DUMMYFUNCTION("GOOGLETRANSLATE(C47, ""en"", ""bn"")"),"ক) এটি একটি আধুনিক খেলা, খ) এটি ঐতিহ্যবাহী নৌকা তৈরির কৌশল প্রদর্শন করে, গ) এটি বিদেশী প্রভাব উদযাপন করে, ঘ) এর কোন সাংস্কৃতিক তাৎপর্য নেই")</f>
        <v>ক) এটি একটি আধুনিক খেলা, খ) এটি ঐতিহ্যবাহী নৌকা তৈরির কৌশল প্রদর্শন করে, গ) এটি বিদেশী প্রভাব উদযাপন করে, ঘ) এর কোন সাংস্কৃতিক তাৎপর্য নেই</v>
      </c>
      <c r="M47" s="10" t="str">
        <f>IFERROR(__xludf.DUMMYFUNCTION("GOOGLETRANSLATE(D47, ""en"", ""bn"")"),"খ) এটি ঐতিহ্যবাহী নৌকা তৈরির কৌশল প্রদর্শন করে")</f>
        <v>খ) এটি ঐতিহ্যবাহী নৌকা তৈরির কৌশল প্রদর্শন করে</v>
      </c>
      <c r="N47" s="10" t="str">
        <f>IFERROR(__xludf.DUMMYFUNCTION("GOOGLETRANSLATE(E47, ""en"", ""bn"")"),"নৌকা বাইচ বাংলাদেশের নৌকা তৈরির সমৃদ্ধ ঐতিহ্য তুলে ধরে, যা এর সামুদ্রিক ইতিহাসের একটি গুরুত্বপূর্ণ অংশ।")</f>
        <v>নৌকা বাইচ বাংলাদেশের নৌকা তৈরির সমৃদ্ধ ঐতিহ্য তুলে ধরে, যা এর সামুদ্রিক ইতিহাসের একটি গুরুত্বপূর্ণ অংশ।</v>
      </c>
    </row>
    <row r="48">
      <c r="A48" s="4">
        <v>47.0</v>
      </c>
      <c r="B48" s="4" t="s">
        <v>2692</v>
      </c>
      <c r="C48" s="4" t="s">
        <v>2693</v>
      </c>
      <c r="D48" s="4" t="s">
        <v>2694</v>
      </c>
      <c r="E48" s="4" t="s">
        <v>2695</v>
      </c>
      <c r="J48" s="10" t="str">
        <f>IFERROR(__xludf.DUMMYFUNCTION("GOOGLETRANSLATE(A48, ""en"", ""bn"")"),"৪৭")</f>
        <v>৪৭</v>
      </c>
      <c r="K48" s="10" t="str">
        <f>IFERROR(__xludf.DUMMYFUNCTION("GOOGLETRANSLATE(B48, ""en"", ""bn"")"),"নৌকা বাইচে নৌকা বাইচের আসল উদ্দেশ্য কী ছিল?")</f>
        <v>নৌকা বাইচে নৌকা বাইচের আসল উদ্দেশ্য কী ছিল?</v>
      </c>
      <c r="L48" s="10" t="str">
        <f>IFERROR(__xludf.DUMMYFUNCTION("GOOGLETRANSLATE(C48, ""en"", ""bn"")"),"ক) সামরিক প্রশিক্ষণ, খ) মৌসুমি মাছ ধরা, গ) নদী দেবতাদের উদযাপন, ঘ) বিনোদন")</f>
        <v>ক) সামরিক প্রশিক্ষণ, খ) মৌসুমি মাছ ধরা, গ) নদী দেবতাদের উদযাপন, ঘ) বিনোদন</v>
      </c>
      <c r="M48" s="10" t="str">
        <f>IFERROR(__xludf.DUMMYFUNCTION("GOOGLETRANSLATE(D48, ""en"", ""bn"")"),"খ) মৌসুমি মাছ ধরা")</f>
        <v>খ) মৌসুমি মাছ ধরা</v>
      </c>
      <c r="N48" s="10" t="str">
        <f>IFERROR(__xludf.DUMMYFUNCTION("GOOGLETRANSLATE(E48, ""en"", ""bn"")"),"মূলত, নৌকা বাইচের মতো নৌকা প্রতিযোগিতাগুলি মাছ ধরা এবং মৌসুমের প্রস্তুতির জন্য নৌকার গতি পরীক্ষার সাথে যুক্ত ছিল।")</f>
        <v>মূলত, নৌকা বাইচের মতো নৌকা প্রতিযোগিতাগুলি মাছ ধরা এবং মৌসুমের প্রস্তুতির জন্য নৌকার গতি পরীক্ষার সাথে যুক্ত ছিল।</v>
      </c>
    </row>
    <row r="49">
      <c r="A49" s="4">
        <v>48.0</v>
      </c>
      <c r="B49" s="4" t="s">
        <v>2696</v>
      </c>
      <c r="C49" s="4" t="s">
        <v>2697</v>
      </c>
      <c r="D49" s="4" t="s">
        <v>2698</v>
      </c>
      <c r="E49" s="4" t="s">
        <v>2699</v>
      </c>
      <c r="J49" s="10" t="str">
        <f>IFERROR(__xludf.DUMMYFUNCTION("GOOGLETRANSLATE(A49, ""en"", ""bn"")"),"৪৮")</f>
        <v>৪৮</v>
      </c>
      <c r="K49" s="10" t="str">
        <f>IFERROR(__xludf.DUMMYFUNCTION("GOOGLETRANSLATE(B49, ""en"", ""bn"")"),"বিশ্বব্যাপী অন্যান্য নৌকা বাইচ থেকে নৌকা বাইচকে আলাদা করার প্রধান বৈশিষ্ট্য কী?")</f>
        <v>বিশ্বব্যাপী অন্যান্য নৌকা বাইচ থেকে নৌকা বাইচকে আলাদা করার প্রধান বৈশিষ্ট্য কী?</v>
      </c>
      <c r="L49" s="10" t="str">
        <f>IFERROR(__xludf.DUMMYFUNCTION("GOOGLETRANSLATE(C49, ""en"", ""bn"")"),"ক) এটি দীর্ঘতম দৌড় প্রতিযোগিতা, খ) এতে ঐতিহ্যবাহী নৌকা জড়িত, গ) এটি শুধুমাত্র রাতে অনুষ্ঠিত হয়, ঘ) এটি একটি আন্তর্জাতিক প্রতিযোগিতা")</f>
        <v>ক) এটি দীর্ঘতম দৌড় প্রতিযোগিতা, খ) এতে ঐতিহ্যবাহী নৌকা জড়িত, গ) এটি শুধুমাত্র রাতে অনুষ্ঠিত হয়, ঘ) এটি একটি আন্তর্জাতিক প্রতিযোগিতা</v>
      </c>
      <c r="M49" s="10" t="str">
        <f>IFERROR(__xludf.DUMMYFUNCTION("GOOGLETRANSLATE(D49, ""en"", ""bn"")"),"খ) এতে ঐতিহ্যবাহী নৌকা জড়িত")</f>
        <v>খ) এতে ঐতিহ্যবাহী নৌকা জড়িত</v>
      </c>
      <c r="N49" s="10" t="str">
        <f>IFERROR(__xludf.DUMMYFUNCTION("GOOGLETRANSLATE(E49, ""en"", ""bn"")"),"নৌকা বাইচ ঐতিহ্যবাহী নৌকা ব্যবহারের জন্য আলাদা, যা হস্তনির্মিত এবং এই অঞ্চলের জন্য অনন্য।")</f>
        <v>নৌকা বাইচ ঐতিহ্যবাহী নৌকা ব্যবহারের জন্য আলাদা, যা হস্তনির্মিত এবং এই অঞ্চলের জন্য অনন্য।</v>
      </c>
    </row>
    <row r="50">
      <c r="A50" s="4">
        <v>49.0</v>
      </c>
      <c r="B50" s="4" t="s">
        <v>2700</v>
      </c>
      <c r="C50" s="4" t="s">
        <v>2701</v>
      </c>
      <c r="D50" s="4" t="s">
        <v>2702</v>
      </c>
      <c r="E50" s="4" t="s">
        <v>2703</v>
      </c>
      <c r="J50" s="10" t="str">
        <f>IFERROR(__xludf.DUMMYFUNCTION("GOOGLETRANSLATE(A50, ""en"", ""bn"")"),"৪৯")</f>
        <v>৪৯</v>
      </c>
      <c r="K50" s="10" t="str">
        <f>IFERROR(__xludf.DUMMYFUNCTION("GOOGLETRANSLATE(B50, ""en"", ""bn"")"),"কোন ঐতিহাসিক ব্যক্তিত্ব নৌকা বাইচকে জনপ্রিয় করার সাথে জড়িত?")</f>
        <v>কোন ঐতিহাসিক ব্যক্তিত্ব নৌকা বাইচকে জনপ্রিয় করার সাথে জড়িত?</v>
      </c>
      <c r="L50" s="10" t="str">
        <f>IFERROR(__xludf.DUMMYFUNCTION("GOOGLETRANSLATE(C50, ""en"", ""bn"")"),"A) শের আলী খান, B) ফকির লালন শাহ, C) রবীন্দ্রনাথ ঠাকুর, D) শেখ মুজিবুর রহমান")</f>
        <v>A) শের আলী খান, B) ফকির লালন শাহ, C) রবীন্দ্রনাথ ঠাকুর, D) শেখ মুজিবুর রহমান</v>
      </c>
      <c r="M50" s="10" t="str">
        <f>IFERROR(__xludf.DUMMYFUNCTION("GOOGLETRANSLATE(D50, ""en"", ""bn"")"),"খ) ফকির লালন শাহ")</f>
        <v>খ) ফকির লালন শাহ</v>
      </c>
      <c r="N50" s="10" t="str">
        <f>IFERROR(__xludf.DUMMYFUNCTION("GOOGLETRANSLATE(E50, ""en"", ""bn"")"),"বাঙালি সংস্কৃতির একজন বিশিষ্ট ব্যক্তিত্ব ফকির লালন শাহকে কখনও কখনও নৌকা বাইচকে জনপ্রিয় করার কৃতিত্ব দেওয়া হয়।")</f>
        <v>বাঙালি সংস্কৃতির একজন বিশিষ্ট ব্যক্তিত্ব ফকির লালন শাহকে কখনও কখনও নৌকা বাইচকে জনপ্রিয় করার কৃতিত্ব দেওয়া হয়।</v>
      </c>
    </row>
    <row r="51">
      <c r="A51" s="4">
        <v>50.0</v>
      </c>
      <c r="B51" s="4" t="s">
        <v>2704</v>
      </c>
      <c r="C51" s="4" t="s">
        <v>2705</v>
      </c>
      <c r="D51" s="4" t="s">
        <v>2652</v>
      </c>
      <c r="E51" s="4" t="s">
        <v>2706</v>
      </c>
      <c r="J51" s="10" t="str">
        <f>IFERROR(__xludf.DUMMYFUNCTION("GOOGLETRANSLATE(A51, ""en"", ""bn"")"),"৫০")</f>
        <v>৫০</v>
      </c>
      <c r="K51" s="10" t="str">
        <f>IFERROR(__xludf.DUMMYFUNCTION("GOOGLETRANSLATE(B51, ""en"", ""bn"")"),"নৌকা বাইচের সময় কোন ধরণের সঙ্গীত পরিবেশ তৈরিতে গুরুত্বপূর্ণ ভূমিকা পালন করে?")</f>
        <v>নৌকা বাইচের সময় কোন ধরণের সঙ্গীত পরিবেশ তৈরিতে গুরুত্বপূর্ণ ভূমিকা পালন করে?</v>
      </c>
      <c r="L51" s="10" t="str">
        <f>IFERROR(__xludf.DUMMYFUNCTION("GOOGLETRANSLATE(C51, ""en"", ""bn"")"),"ক) ধ্রুপদী সঙ্গীত, খ) লোকসঙ্গীত, গ) বলিউডের সুর, ঘ) হিপ-হপ")</f>
        <v>ক) ধ্রুপদী সঙ্গীত, খ) লোকসঙ্গীত, গ) বলিউডের সুর, ঘ) হিপ-হপ</v>
      </c>
      <c r="M51" s="10" t="str">
        <f>IFERROR(__xludf.DUMMYFUNCTION("GOOGLETRANSLATE(D51, ""en"", ""bn"")"),"খ) লোকসঙ্গীত")</f>
        <v>খ) লোকসঙ্গীত</v>
      </c>
      <c r="N51" s="10" t="str">
        <f>IFERROR(__xludf.DUMMYFUNCTION("GOOGLETRANSLATE(E51, ""en"", ""bn"")"),"লোকসঙ্গীত পরিবেশের অবিচ্ছেদ্য অংশ, যা দৌড় প্রতিযোগিতার সময় সাংস্কৃতিক পরিবেশকে আরও বাড়িয়ে তোলে।")</f>
        <v>লোকসঙ্গীত পরিবেশের অবিচ্ছেদ্য অংশ, যা দৌড় প্রতিযোগিতার সময় সাংস্কৃতিক পরিবেশকে আরও বাড়িয়ে তোলে।</v>
      </c>
    </row>
    <row r="52">
      <c r="A52" s="4">
        <v>51.0</v>
      </c>
      <c r="B52" s="4" t="s">
        <v>2707</v>
      </c>
      <c r="C52" s="4" t="s">
        <v>2708</v>
      </c>
      <c r="D52" s="4" t="s">
        <v>2709</v>
      </c>
      <c r="E52" s="4" t="s">
        <v>2710</v>
      </c>
      <c r="J52" s="10" t="str">
        <f>IFERROR(__xludf.DUMMYFUNCTION("GOOGLETRANSLATE(A52, ""en"", ""bn"")"),"৫১")</f>
        <v>৫১</v>
      </c>
      <c r="K52" s="10" t="str">
        <f>IFERROR(__xludf.DUMMYFUNCTION("GOOGLETRANSLATE(B52, ""en"", ""bn"")"),"নওকা বাইচের বিজয়ীদের সাধারণত কী ধরণের পুরষ্কার দেওয়া হয়?")</f>
        <v>নওকা বাইচের বিজয়ীদের সাধারণত কী ধরণের পুরষ্কার দেওয়া হয়?</v>
      </c>
      <c r="L52" s="10" t="str">
        <f>IFERROR(__xludf.DUMMYFUNCTION("GOOGLETRANSLATE(C52, ""en"", ""bn"")"),"ক) আর্থিক পুরস্কার, খ) ট্রফি, গ) জমি বা সম্পত্তি, ঘ) স্বীকৃতি এবং ভোজ")</f>
        <v>ক) আর্থিক পুরস্কার, খ) ট্রফি, গ) জমি বা সম্পত্তি, ঘ) স্বীকৃতি এবং ভোজ</v>
      </c>
      <c r="M52" s="10" t="str">
        <f>IFERROR(__xludf.DUMMYFUNCTION("GOOGLETRANSLATE(D52, ""en"", ""bn"")"),"ঘ) স্বীকৃতি এবং উৎসব")</f>
        <v>ঘ) স্বীকৃতি এবং উৎসব</v>
      </c>
      <c r="N52" s="10" t="str">
        <f>IFERROR(__xludf.DUMMYFUNCTION("GOOGLETRANSLATE(E52, ""en"", ""bn"")"),"বিজয়ীদের প্রায়শই আর্থিক পুরষ্কারের পরিবর্তে জনসাধারণের স্বীকৃতি এবং সম্প্রদায়ের ভোজের মাধ্যমে উদযাপন করা হয়।")</f>
        <v>বিজয়ীদের প্রায়শই আর্থিক পুরষ্কারের পরিবর্তে জনসাধারণের স্বীকৃতি এবং সম্প্রদায়ের ভোজের মাধ্যমে উদযাপন করা হয়।</v>
      </c>
    </row>
    <row r="53">
      <c r="A53" s="4">
        <v>52.0</v>
      </c>
      <c r="B53" s="4" t="s">
        <v>2711</v>
      </c>
      <c r="C53" s="4" t="s">
        <v>2712</v>
      </c>
      <c r="D53" s="4" t="s">
        <v>2713</v>
      </c>
      <c r="E53" s="4" t="s">
        <v>2714</v>
      </c>
      <c r="J53" s="10" t="str">
        <f>IFERROR(__xludf.DUMMYFUNCTION("GOOGLETRANSLATE(A53, ""en"", ""bn"")"),"৫২")</f>
        <v>৫২</v>
      </c>
      <c r="K53" s="10" t="str">
        <f>IFERROR(__xludf.DUMMYFUNCTION("GOOGLETRANSLATE(B53, ""en"", ""bn"")"),"নৌকা বাইচে স্টিয়ারিং রোয়ারের ভূমিকা কী?")</f>
        <v>নৌকা বাইচে স্টিয়ারিং রোয়ারের ভূমিকা কী?</v>
      </c>
      <c r="L53" s="10" t="str">
        <f>IFERROR(__xludf.DUMMYFUNCTION("GOOGLETRANSLATE(C53, ""en"", ""bn"")"),"ক) তারা নৌকার দিক নিয়ন্ত্রণ করে, খ) তারা গতি বাড়ায়, গ) তারা গান গায়, ঘ) তারা ভারসাম্য বজায় রাখে")</f>
        <v>ক) তারা নৌকার দিক নিয়ন্ত্রণ করে, খ) তারা গতি বাড়ায়, গ) তারা গান গায়, ঘ) তারা ভারসাম্য বজায় রাখে</v>
      </c>
      <c r="M53" s="10" t="str">
        <f>IFERROR(__xludf.DUMMYFUNCTION("GOOGLETRANSLATE(D53, ""en"", ""bn"")"),"ক) তারা নৌকার দিক নিয়ন্ত্রণ করে")</f>
        <v>ক) তারা নৌকার দিক নিয়ন্ত্রণ করে</v>
      </c>
      <c r="N53" s="10" t="str">
        <f>IFERROR(__xludf.DUMMYFUNCTION("GOOGLETRANSLATE(E53, ""en"", ""bn"")"),"স্টিয়ারিং রোয়ার নৌকাটিকে পরিচালনা করার জন্য দায়ী, যাতে দৌড়ের সময় এটি সঠিক পথে থাকে।")</f>
        <v>স্টিয়ারিং রোয়ার নৌকাটিকে পরিচালনা করার জন্য দায়ী, যাতে দৌড়ের সময় এটি সঠিক পথে থাকে।</v>
      </c>
    </row>
    <row r="54">
      <c r="A54" s="4">
        <v>53.0</v>
      </c>
      <c r="B54" s="4" t="s">
        <v>2715</v>
      </c>
      <c r="C54" s="4" t="s">
        <v>2716</v>
      </c>
      <c r="D54" s="4" t="s">
        <v>652</v>
      </c>
      <c r="E54" s="4" t="s">
        <v>2717</v>
      </c>
      <c r="J54" s="10" t="str">
        <f>IFERROR(__xludf.DUMMYFUNCTION("GOOGLETRANSLATE(A54, ""en"", ""bn"")"),"৫৩")</f>
        <v>৫৩</v>
      </c>
      <c r="K54" s="10" t="str">
        <f>IFERROR(__xludf.DUMMYFUNCTION("GOOGLETRANSLATE(B54, ""en"", ""bn"")"),"বাংলাদেশে ঐতিহ্যগতভাবে কোন ঋতুতে নৌকা বাইচ অনুষ্ঠিত হয়ে আসছে?")</f>
        <v>বাংলাদেশে ঐতিহ্যগতভাবে কোন ঋতুতে নৌকা বাইচ অনুষ্ঠিত হয়ে আসছে?</v>
      </c>
      <c r="L54" s="10" t="str">
        <f>IFERROR(__xludf.DUMMYFUNCTION("GOOGLETRANSLATE(C54, ""en"", ""bn"")"),"ক) শীতকাল, খ) বর্ষাকাল, গ) গ্রীষ্মকাল, ঘ) বসন্তকাল")</f>
        <v>ক) শীতকাল, খ) বর্ষাকাল, গ) গ্রীষ্মকাল, ঘ) বসন্তকাল</v>
      </c>
      <c r="M54" s="10" t="str">
        <f>IFERROR(__xludf.DUMMYFUNCTION("GOOGLETRANSLATE(D54, ""en"", ""bn"")"),"খ) বর্ষাকাল")</f>
        <v>খ) বর্ষাকাল</v>
      </c>
      <c r="N54" s="10" t="str">
        <f>IFERROR(__xludf.DUMMYFUNCTION("GOOGLETRANSLATE(E54, ""en"", ""bn"")"),"নৌকা বাইচ দৌড় প্রায়শই বর্ষাকালে অনুষ্ঠিত হয় যখন নদীগুলি পূর্ণ থাকে, যা নৌকা বাইচ দৌড়ের জন্য আদর্শ করে তোলে।")</f>
        <v>নৌকা বাইচ দৌড় প্রায়শই বর্ষাকালে অনুষ্ঠিত হয় যখন নদীগুলি পূর্ণ থাকে, যা নৌকা বাইচ দৌড়ের জন্য আদর্শ করে তোলে।</v>
      </c>
    </row>
    <row r="55">
      <c r="A55" s="4">
        <v>54.0</v>
      </c>
      <c r="B55" s="4" t="s">
        <v>2718</v>
      </c>
      <c r="C55" s="4" t="s">
        <v>2719</v>
      </c>
      <c r="D55" s="4" t="s">
        <v>2720</v>
      </c>
      <c r="E55" s="4" t="s">
        <v>2721</v>
      </c>
      <c r="J55" s="10" t="str">
        <f>IFERROR(__xludf.DUMMYFUNCTION("GOOGLETRANSLATE(A55, ""en"", ""bn"")"),"৫৪")</f>
        <v>৫৪</v>
      </c>
      <c r="K55" s="10" t="str">
        <f>IFERROR(__xludf.DUMMYFUNCTION("GOOGLETRANSLATE(B55, ""en"", ""bn"")"),"নৌকা বাইচে কোন ধরণের নৌকা সবচেয়ে বেশি ব্যবহৃত হয়?")</f>
        <v>নৌকা বাইচে কোন ধরণের নৌকা সবচেয়ে বেশি ব্যবহৃত হয়?</v>
      </c>
      <c r="L55" s="10" t="str">
        <f>IFERROR(__xludf.DUMMYFUNCTION("GOOGLETRANSLATE(C55, ""en"", ""bn"")"),"ক) ডিঙ্গি, খ) সাম্পান, গ) লংবোট, ঘ) ক্যানো")</f>
        <v>ক) ডিঙ্গি, খ) সাম্পান, গ) লংবোট, ঘ) ক্যানো</v>
      </c>
      <c r="M55" s="10" t="str">
        <f>IFERROR(__xludf.DUMMYFUNCTION("GOOGLETRANSLATE(D55, ""en"", ""bn"")"),"গ) লংবোট")</f>
        <v>গ) লংবোট</v>
      </c>
      <c r="N55" s="10" t="str">
        <f>IFERROR(__xludf.DUMMYFUNCTION("GOOGLETRANSLATE(E55, ""en"", ""bn"")"),"নৌকা বাইচে লংবোটগুলি সাধারণত ব্যবহৃত হয় কারণ তাদের গতি এবং বড় দল ধরে রাখার ক্ষমতা রয়েছে।")</f>
        <v>নৌকা বাইচে লংবোটগুলি সাধারণত ব্যবহৃত হয় কারণ তাদের গতি এবং বড় দল ধরে রাখার ক্ষমতা রয়েছে।</v>
      </c>
    </row>
    <row r="56">
      <c r="A56" s="4">
        <v>55.0</v>
      </c>
      <c r="B56" s="4" t="s">
        <v>2722</v>
      </c>
      <c r="C56" s="4" t="s">
        <v>2723</v>
      </c>
      <c r="D56" s="4" t="s">
        <v>2724</v>
      </c>
      <c r="E56" s="4" t="s">
        <v>2725</v>
      </c>
      <c r="J56" s="10" t="str">
        <f>IFERROR(__xludf.DUMMYFUNCTION("GOOGLETRANSLATE(A56, ""en"", ""bn"")"),"৫৫")</f>
        <v>৫৫</v>
      </c>
      <c r="K56" s="10" t="str">
        <f>IFERROR(__xludf.DUMMYFUNCTION("GOOGLETRANSLATE(B56, ""en"", ""bn"")"),"বাংলাদেশের কোন বিভাগে নৌকা বাইচ বিশেষভাবে জনপ্রিয়?")</f>
        <v>বাংলাদেশের কোন বিভাগে নৌকা বাইচ বিশেষভাবে জনপ্রিয়?</v>
      </c>
      <c r="L56" s="10" t="str">
        <f>IFERROR(__xludf.DUMMYFUNCTION("GOOGLETRANSLATE(C56, ""en"", ""bn"")"),"A) ঢাকা, B) সিলেট, C) বরিশাল, D) রংপুর")</f>
        <v>A) ঢাকা, B) সিলেট, C) বরিশাল, D) রংপুর</v>
      </c>
      <c r="M56" s="10" t="str">
        <f>IFERROR(__xludf.DUMMYFUNCTION("GOOGLETRANSLATE(D56, ""en"", ""bn"")"),"গ) বরিশাল")</f>
        <v>গ) বরিশাল</v>
      </c>
      <c r="N56" s="10" t="str">
        <f>IFERROR(__xludf.DUMMYFUNCTION("GOOGLETRANSLATE(E56, ""en"", ""bn"")"),"বরিশাল বিশেষ করে তার প্রাণবন্ত নৌকা বাইচ অনুষ্ঠানের জন্য পরিচিত, যেখানে প্রচুর জনসমাগম হয়।")</f>
        <v>বরিশাল বিশেষ করে তার প্রাণবন্ত নৌকা বাইচ অনুষ্ঠানের জন্য পরিচিত, যেখানে প্রচুর জনসমাগম হয়।</v>
      </c>
    </row>
    <row r="57">
      <c r="A57" s="4">
        <v>56.0</v>
      </c>
      <c r="B57" s="4" t="s">
        <v>2726</v>
      </c>
      <c r="C57" s="4" t="s">
        <v>2727</v>
      </c>
      <c r="D57" s="4" t="s">
        <v>2728</v>
      </c>
      <c r="E57" s="4" t="s">
        <v>2729</v>
      </c>
      <c r="J57" s="10" t="str">
        <f>IFERROR(__xludf.DUMMYFUNCTION("GOOGLETRANSLATE(A57, ""en"", ""bn"")"),"৫৬")</f>
        <v>৫৬</v>
      </c>
      <c r="K57" s="10" t="str">
        <f>IFERROR(__xludf.DUMMYFUNCTION("GOOGLETRANSLATE(B57, ""en"", ""bn"")"),"নোকা বাইচ দলে সাধারণত কতজন রোয়ার অংশগ্রহণ করে?")</f>
        <v>নোকা বাইচ দলে সাধারণত কতজন রোয়ার অংশগ্রহণ করে?</v>
      </c>
      <c r="L57" s="10" t="str">
        <f>IFERROR(__xludf.DUMMYFUNCTION("GOOGLETRANSLATE(C57, ""en"", ""bn"")"),"ক) ১০-২০, খ) ২৫-৫০, গ) ৫০-১০০, ঘ) ১০০-২০০")</f>
        <v>ক) ১০-২০, খ) ২৫-৫০, গ) ৫০-১০০, ঘ) ১০০-২০০</v>
      </c>
      <c r="M57" s="10" t="str">
        <f>IFERROR(__xludf.DUMMYFUNCTION("GOOGLETRANSLATE(D57, ""en"", ""bn"")"),"খ) ২৫-৫০")</f>
        <v>খ) ২৫-৫০</v>
      </c>
      <c r="N57" s="10" t="str">
        <f>IFERROR(__xludf.DUMMYFUNCTION("GOOGLETRANSLATE(E57, ""en"", ""bn"")"),"নৌকা বাইচ নৌকাগুলিতে প্রায়শই ২৫ থেকে ৫০ জন নৌকাচালক একসাথে কাজ করে।")</f>
        <v>নৌকা বাইচ নৌকাগুলিতে প্রায়শই ২৫ থেকে ৫০ জন নৌকাচালক একসাথে কাজ করে।</v>
      </c>
    </row>
    <row r="58">
      <c r="A58" s="4">
        <v>57.0</v>
      </c>
      <c r="B58" s="4" t="s">
        <v>2730</v>
      </c>
      <c r="C58" s="4" t="s">
        <v>2731</v>
      </c>
      <c r="D58" s="4" t="s">
        <v>2732</v>
      </c>
      <c r="E58" s="4" t="s">
        <v>2733</v>
      </c>
      <c r="J58" s="10" t="str">
        <f>IFERROR(__xludf.DUMMYFUNCTION("GOOGLETRANSLATE(A58, ""en"", ""bn"")"),"৫৭")</f>
        <v>৫৭</v>
      </c>
      <c r="K58" s="10" t="str">
        <f>IFERROR(__xludf.DUMMYFUNCTION("GOOGLETRANSLATE(B58, ""en"", ""bn"")"),"অতীতে, কোন ধরণের ইভেন্টের অংশ হিসেবে নৌকা বাইচ দৌড় আয়োজন করা হত?")</f>
        <v>অতীতে, কোন ধরণের ইভেন্টের অংশ হিসেবে নৌকা বাইচ দৌড় আয়োজন করা হত?</v>
      </c>
      <c r="L58" s="10" t="str">
        <f>IFERROR(__xludf.DUMMYFUNCTION("GOOGLETRANSLATE(C58, ""en"", ""bn"")"),"ক) কৃষি মেলা, খ) ধর্মীয় অনুষ্ঠান, গ) রাজকীয় উৎসব, ঘ) রাজনৈতিক সমাবেশ")</f>
        <v>ক) কৃষি মেলা, খ) ধর্মীয় অনুষ্ঠান, গ) রাজকীয় উৎসব, ঘ) রাজনৈতিক সমাবেশ</v>
      </c>
      <c r="M58" s="10" t="str">
        <f>IFERROR(__xludf.DUMMYFUNCTION("GOOGLETRANSLATE(D58, ""en"", ""bn"")"),"ক) কৃষি মেলা")</f>
        <v>ক) কৃষি মেলা</v>
      </c>
      <c r="N58" s="10" t="str">
        <f>IFERROR(__xludf.DUMMYFUNCTION("GOOGLETRANSLATE(E58, ""en"", ""bn"")"),"নৌকা বাইচ দৌড় ঐতিহ্যগতভাবে কৃষি মেলার সময় অনুষ্ঠিত হত, ফসল কাটার মৌসুম উদযাপনের সময়।")</f>
        <v>নৌকা বাইচ দৌড় ঐতিহ্যগতভাবে কৃষি মেলার সময় অনুষ্ঠিত হত, ফসল কাটার মৌসুম উদযাপনের সময়।</v>
      </c>
    </row>
    <row r="59">
      <c r="A59" s="4">
        <v>58.0</v>
      </c>
      <c r="B59" s="4" t="s">
        <v>2734</v>
      </c>
      <c r="C59" s="4" t="s">
        <v>2735</v>
      </c>
      <c r="D59" s="4" t="s">
        <v>2736</v>
      </c>
      <c r="E59" s="4" t="s">
        <v>2737</v>
      </c>
      <c r="J59" s="10" t="str">
        <f>IFERROR(__xludf.DUMMYFUNCTION("GOOGLETRANSLATE(A59, ""en"", ""bn"")"),"৫৮")</f>
        <v>৫৮</v>
      </c>
      <c r="K59" s="10" t="str">
        <f>IFERROR(__xludf.DUMMYFUNCTION("GOOGLETRANSLATE(B59, ""en"", ""bn"")"),"বাংলাদেশের কোন বিখ্যাত নদীতে প্রায়শই নৌকা বাইচ অনুষ্ঠানের আয়োজন করা হয়?")</f>
        <v>বাংলাদেশের কোন বিখ্যাত নদীতে প্রায়শই নৌকা বাইচ অনুষ্ঠানের আয়োজন করা হয়?</v>
      </c>
      <c r="L59" s="10" t="str">
        <f>IFERROR(__xludf.DUMMYFUNCTION("GOOGLETRANSLATE(C59, ""en"", ""bn"")"),"A) মেঘনা, B) পদ্মা, C) যমুনা, D) সুরমা")</f>
        <v>A) মেঘনা, B) পদ্মা, C) যমুনা, D) সুরমা</v>
      </c>
      <c r="M59" s="10" t="str">
        <f>IFERROR(__xludf.DUMMYFUNCTION("GOOGLETRANSLATE(D59, ""en"", ""bn"")"),"খ) পদ্মা")</f>
        <v>খ) পদ্মা</v>
      </c>
      <c r="N59" s="10" t="str">
        <f>IFERROR(__xludf.DUMMYFUNCTION("GOOGLETRANSLATE(E59, ""en"", ""bn"")"),"পদ্মা নদী বাংলাদেশের নৌকা বাইচ ঘোড়দৌড়ের জন্য অন্যতম প্রধান স্থান।")</f>
        <v>পদ্মা নদী বাংলাদেশের নৌকা বাইচ ঘোড়দৌড়ের জন্য অন্যতম প্রধান স্থান।</v>
      </c>
    </row>
    <row r="60">
      <c r="A60" s="4">
        <v>59.0</v>
      </c>
      <c r="B60" s="4" t="s">
        <v>2738</v>
      </c>
      <c r="C60" s="4" t="s">
        <v>2739</v>
      </c>
      <c r="D60" s="4" t="s">
        <v>2740</v>
      </c>
      <c r="E60" s="4" t="s">
        <v>2741</v>
      </c>
      <c r="J60" s="10" t="str">
        <f>IFERROR(__xludf.DUMMYFUNCTION("GOOGLETRANSLATE(A60, ""en"", ""bn"")"),"৫৯")</f>
        <v>৫৯</v>
      </c>
      <c r="K60" s="10" t="str">
        <f>IFERROR(__xludf.DUMMYFUNCTION("GOOGLETRANSLATE(B60, ""en"", ""bn"")"),"নৌকা বাইচ বাংলা ইতিহাসের কোন যুগে প্রতিষ্ঠিত?")</f>
        <v>নৌকা বাইচ বাংলা ইতিহাসের কোন যুগে প্রতিষ্ঠিত?</v>
      </c>
      <c r="L60" s="10" t="str">
        <f>IFERROR(__xludf.DUMMYFUNCTION("GOOGLETRANSLATE(C60, ""en"", ""bn"")"),"ক) প্রাক-ঔপনিবেশিক, খ) ঔপনিবেশিক, গ) স্বাধীনতা-পরবর্তী, ঘ) আধুনিক")</f>
        <v>ক) প্রাক-ঔপনিবেশিক, খ) ঔপনিবেশিক, গ) স্বাধীনতা-পরবর্তী, ঘ) আধুনিক</v>
      </c>
      <c r="M60" s="10" t="str">
        <f>IFERROR(__xludf.DUMMYFUNCTION("GOOGLETRANSLATE(D60, ""en"", ""bn"")"),"ক) প্রাক-ঔপনিবেশিক")</f>
        <v>ক) প্রাক-ঔপনিবেশিক</v>
      </c>
      <c r="N60" s="10" t="str">
        <f>IFERROR(__xludf.DUMMYFUNCTION("GOOGLETRANSLATE(E60, ""en"", ""bn"")"),"নৌকা বাইচের উৎপত্তি ঔপনিবেশিক-পূর্ব সময়ে, বাঙালি ঐতিহ্যের গভীরে প্রোথিত।")</f>
        <v>নৌকা বাইচের উৎপত্তি ঔপনিবেশিক-পূর্ব সময়ে, বাঙালি ঐতিহ্যের গভীরে প্রোথিত।</v>
      </c>
    </row>
    <row r="61">
      <c r="A61" s="4">
        <v>60.0</v>
      </c>
      <c r="B61" s="4" t="s">
        <v>2742</v>
      </c>
      <c r="C61" s="4" t="s">
        <v>2743</v>
      </c>
      <c r="D61" s="4" t="s">
        <v>2744</v>
      </c>
      <c r="E61" s="4" t="s">
        <v>2745</v>
      </c>
      <c r="J61" s="10" t="str">
        <f>IFERROR(__xludf.DUMMYFUNCTION("GOOGLETRANSLATE(A61, ""en"", ""bn"")"),"৬০")</f>
        <v>৬০</v>
      </c>
      <c r="K61" s="10" t="str">
        <f>IFERROR(__xludf.DUMMYFUNCTION("GOOGLETRANSLATE(B61, ""en"", ""bn"")"),"কোন সাংস্কৃতিক গোষ্ঠীর ঐতিহ্য উদযাপনের জন্য নৌকা বাইচ আয়োজন করা হয়?")</f>
        <v>কোন সাংস্কৃতিক গোষ্ঠীর ঐতিহ্য উদযাপনের জন্য নৌকা বাইচ আয়োজন করা হয়?</v>
      </c>
      <c r="L61" s="10" t="str">
        <f>IFERROR(__xludf.DUMMYFUNCTION("GOOGLETRANSLATE(C61, ""en"", ""bn"")"),"A) বিহারী, B) চাকমা, C) বাঙালি, D) গারো")</f>
        <v>A) বিহারী, B) চাকমা, C) বাঙালি, D) গারো</v>
      </c>
      <c r="M61" s="10" t="str">
        <f>IFERROR(__xludf.DUMMYFUNCTION("GOOGLETRANSLATE(D61, ""en"", ""bn"")"),"গ) বাংলা")</f>
        <v>গ) বাংলা</v>
      </c>
      <c r="N61" s="10" t="str">
        <f>IFERROR(__xludf.DUMMYFUNCTION("GOOGLETRANSLATE(E61, ""en"", ""bn"")"),"নৌকা বাইচ বাংলাদেশের নদী তীরে বাঙালি সাংস্কৃতিক ঐতিহ্য এবং ঐতিহ্য উদযাপন করে।")</f>
        <v>নৌকা বাইচ বাংলাদেশের নদী তীরে বাঙালি সাংস্কৃতিক ঐতিহ্য এবং ঐতিহ্য উদযাপন করে।</v>
      </c>
    </row>
    <row r="62">
      <c r="A62" s="7">
        <v>61.0</v>
      </c>
      <c r="B62" s="7" t="s">
        <v>2746</v>
      </c>
      <c r="C62" s="7" t="s">
        <v>2747</v>
      </c>
      <c r="D62" s="7" t="s">
        <v>2748</v>
      </c>
      <c r="E62" s="7" t="s">
        <v>2749</v>
      </c>
      <c r="J62" s="10" t="str">
        <f>IFERROR(__xludf.DUMMYFUNCTION("GOOGLETRANSLATE(A62, ""en"", ""bn"")"),"৬১")</f>
        <v>৬১</v>
      </c>
      <c r="K62" s="10" t="str">
        <f>IFERROR(__xludf.DUMMYFUNCTION("GOOGLETRANSLATE(B62, ""en"", ""bn"")"),"কোন মুঘল সম্রাট ঐতিহাসিকভাবে বাংলায় নৌকা বাইচের পৃষ্ঠপোষকতার সাথে জড়িত?")</f>
        <v>কোন মুঘল সম্রাট ঐতিহাসিকভাবে বাংলায় নৌকা বাইচের পৃষ্ঠপোষকতার সাথে জড়িত?</v>
      </c>
      <c r="L62" s="10" t="str">
        <f>IFERROR(__xludf.DUMMYFUNCTION("GOOGLETRANSLATE(C62, ""en"", ""bn"")"),"A) আকবর, B) হুমায়ুন, C) জাহাঙ্গীর, D) শাহজাহান")</f>
        <v>A) আকবর, B) হুমায়ুন, C) জাহাঙ্গীর, D) শাহজাহান</v>
      </c>
      <c r="M62" s="10" t="str">
        <f>IFERROR(__xludf.DUMMYFUNCTION("GOOGLETRANSLATE(D62, ""en"", ""bn"")"),"গ) জাহাঙ্গীর")</f>
        <v>গ) জাহাঙ্গীর</v>
      </c>
      <c r="N62" s="10" t="str">
        <f>IFERROR(__xludf.DUMMYFUNCTION("GOOGLETRANSLATE(E62, ""en"", ""bn"")"),"সম্রাট জাহাঙ্গীরের রাজত্বকালে, রাজকীয় বিনোদন হিসেবে নৌকা বাইচের আয়োজন করা হত, যা তাদের মর্যাদাকে আরও দৃঢ় করে তোলে।")</f>
        <v>সম্রাট জাহাঙ্গীরের রাজত্বকালে, রাজকীয় বিনোদন হিসেবে নৌকা বাইচের আয়োজন করা হত, যা তাদের মর্যাদাকে আরও দৃঢ় করে তোলে।</v>
      </c>
    </row>
    <row r="63">
      <c r="A63" s="7">
        <v>62.0</v>
      </c>
      <c r="B63" s="7" t="s">
        <v>2750</v>
      </c>
      <c r="C63" s="7" t="s">
        <v>2751</v>
      </c>
      <c r="D63" s="7" t="s">
        <v>2752</v>
      </c>
      <c r="E63" s="7" t="s">
        <v>2753</v>
      </c>
      <c r="J63" s="10" t="str">
        <f>IFERROR(__xludf.DUMMYFUNCTION("GOOGLETRANSLATE(A63, ""en"", ""bn"")"),"৬২")</f>
        <v>৬২</v>
      </c>
      <c r="K63" s="10" t="str">
        <f>IFERROR(__xludf.DUMMYFUNCTION("GOOGLETRANSLATE(B63, ""en"", ""bn"")"),"'নৌকা বাইচ' শব্দটির ইংরেজিতে আক্ষরিক অর্থ কী?")</f>
        <v>'নৌকা বাইচ' শব্দটির ইংরেজিতে আক্ষরিক অর্থ কী?</v>
      </c>
      <c r="L63" s="10" t="str">
        <f>IFERROR(__xludf.DUMMYFUNCTION("GOOGLETRANSLATE(C63, ""en"", ""bn"")"),"ক) নদী দৌড়, খ) নৌকা দৌড়, গ) জল উৎসব, ঘ) নদী প্রতিযোগিতা")</f>
        <v>ক) নদী দৌড়, খ) নৌকা দৌড়, গ) জল উৎসব, ঘ) নদী প্রতিযোগিতা</v>
      </c>
      <c r="M63" s="10" t="str">
        <f>IFERROR(__xludf.DUMMYFUNCTION("GOOGLETRANSLATE(D63, ""en"", ""bn"")"),"খ) নৌকা বাইচ")</f>
        <v>খ) নৌকা বাইচ</v>
      </c>
      <c r="N63" s="10" t="str">
        <f>IFERROR(__xludf.DUMMYFUNCTION("GOOGLETRANSLATE(E63, ""en"", ""bn"")"),"'নৌকা' (নৌকা) এবং 'বাইচ' (দৌড়) এই বাংলা শব্দগুলোর সরাসরি অনুবাদ ""নৌকা প্রতিযোগিতা""।")</f>
        <v>'নৌকা' (নৌকা) এবং 'বাইচ' (দৌড়) এই বাংলা শব্দগুলোর সরাসরি অনুবাদ "নৌকা প্রতিযোগিতা"।</v>
      </c>
    </row>
    <row r="64">
      <c r="A64" s="7">
        <v>63.0</v>
      </c>
      <c r="B64" s="7" t="s">
        <v>2754</v>
      </c>
      <c r="C64" s="7" t="s">
        <v>2755</v>
      </c>
      <c r="D64" s="7" t="s">
        <v>2756</v>
      </c>
      <c r="E64" s="7" t="s">
        <v>2757</v>
      </c>
      <c r="J64" s="10" t="str">
        <f>IFERROR(__xludf.DUMMYFUNCTION("GOOGLETRANSLATE(A64, ""en"", ""bn"")"),"৬৩")</f>
        <v>৬৩</v>
      </c>
      <c r="K64" s="10" t="str">
        <f>IFERROR(__xludf.DUMMYFUNCTION("GOOGLETRANSLATE(B64, ""en"", ""bn"")"),"বাংলাদেশের কোন অঞ্চলে ঐতিহাসিকভাবে যোগাযোগ বা পরিবহনের মাধ্যম হিসেবে নৌকা বাইচ ব্যবহৃত হত?")</f>
        <v>বাংলাদেশের কোন অঞ্চলে ঐতিহাসিকভাবে যোগাযোগ বা পরিবহনের মাধ্যম হিসেবে নৌকা বাইচ ব্যবহৃত হত?</v>
      </c>
      <c r="L64" s="10" t="str">
        <f>IFERROR(__xludf.DUMMYFUNCTION("GOOGLETRANSLATE(C64, ""en"", ""bn"")"),"ক) ঢাকার সমভূমি, খ) চট্টগ্রামের পাহাড়ি এলাকা, গ) বরিশালের বদ্বীপ অঞ্চল, ঘ) রংপুরের উত্তরাঞ্চল")</f>
        <v>ক) ঢাকার সমভূমি, খ) চট্টগ্রামের পাহাড়ি এলাকা, গ) বরিশালের বদ্বীপ অঞ্চল, ঘ) রংপুরের উত্তরাঞ্চল</v>
      </c>
      <c r="M64" s="10" t="str">
        <f>IFERROR(__xludf.DUMMYFUNCTION("GOOGLETRANSLATE(D64, ""en"", ""bn"")"),"গ) বরিশালের বদ্বীপ অঞ্চল")</f>
        <v>গ) বরিশালের বদ্বীপ অঞ্চল</v>
      </c>
      <c r="N64" s="10" t="str">
        <f>IFERROR(__xludf.DUMMYFUNCTION("GOOGLETRANSLATE(E64, ""en"", ""bn"")"),"বরিশালের ঘন নদীর জাল যোগাযোগ এবং উৎসব উভয়ের জন্যই নৌকা ভ্রমণ এবং দৌড়কে অপরিহার্য করে তুলেছিল।")</f>
        <v>বরিশালের ঘন নদীর জাল যোগাযোগ এবং উৎসব উভয়ের জন্যই নৌকা ভ্রমণ এবং দৌড়কে অপরিহার্য করে তুলেছিল।</v>
      </c>
    </row>
    <row r="65">
      <c r="A65" s="7">
        <v>64.0</v>
      </c>
      <c r="B65" s="7" t="s">
        <v>2758</v>
      </c>
      <c r="C65" s="7" t="s">
        <v>2759</v>
      </c>
      <c r="D65" s="7" t="s">
        <v>2760</v>
      </c>
      <c r="E65" s="7" t="s">
        <v>2761</v>
      </c>
      <c r="J65" s="10" t="str">
        <f>IFERROR(__xludf.DUMMYFUNCTION("GOOGLETRANSLATE(A65, ""en"", ""bn"")"),"৬৪")</f>
        <v>৬৪</v>
      </c>
      <c r="K65" s="10" t="str">
        <f>IFERROR(__xludf.DUMMYFUNCTION("GOOGLETRANSLATE(B65, ""en"", ""bn"")"),"নৌকা বাইচের সময় গাওয়া লোকগানের ঐতিহ্যবাহী নাম কী?")</f>
        <v>নৌকা বাইচের সময় গাওয়া লোকগানের ঐতিহ্যবাহী নাম কী?</v>
      </c>
      <c r="L65" s="10" t="str">
        <f>IFERROR(__xludf.DUMMYFUNCTION("GOOGLETRANSLATE(C65, ""en"", ""bn"")"),"A) বাউল গান, B) ভাটিয়ালী, C) সারি গান, D) জারি গান")</f>
        <v>A) বাউল গান, B) ভাটিয়ালী, C) সারি গান, D) জারি গান</v>
      </c>
      <c r="M65" s="10" t="str">
        <f>IFERROR(__xludf.DUMMYFUNCTION("GOOGLETRANSLATE(D65, ""en"", ""bn"")"),"গ) শাড়ি গান")</f>
        <v>গ) শাড়ি গান</v>
      </c>
      <c r="N65" s="10" t="str">
        <f>IFERROR(__xludf.DUMMYFUNCTION("GOOGLETRANSLATE(E65, ""en"", ""bn"")"),"সারি গান হল ছন্দবদ্ধ, ডাক-এবং-প্রতিক্রিয়াশীল লোকসঙ্গীত যা বিশেষভাবে নৌকাচালকরা তাদের স্ট্রোকগুলিকে সুসংগত করার জন্য এবং মনোবল বৃদ্ধির জন্য গায়।")</f>
        <v>সারি গান হল ছন্দবদ্ধ, ডাক-এবং-প্রতিক্রিয়াশীল লোকসঙ্গীত যা বিশেষভাবে নৌকাচালকরা তাদের স্ট্রোকগুলিকে সুসংগত করার জন্য এবং মনোবল বৃদ্ধির জন্য গায়।</v>
      </c>
    </row>
    <row r="66">
      <c r="A66" s="7">
        <v>65.0</v>
      </c>
      <c r="B66" s="7" t="s">
        <v>2762</v>
      </c>
      <c r="C66" s="7" t="s">
        <v>2763</v>
      </c>
      <c r="D66" s="7" t="s">
        <v>2764</v>
      </c>
      <c r="E66" s="7" t="s">
        <v>2765</v>
      </c>
      <c r="J66" s="10" t="str">
        <f>IFERROR(__xludf.DUMMYFUNCTION("GOOGLETRANSLATE(A66, ""en"", ""bn"")"),"৬৫")</f>
        <v>৬৫</v>
      </c>
      <c r="K66" s="10" t="str">
        <f>IFERROR(__xludf.DUMMYFUNCTION("GOOGLETRANSLATE(B66, ""en"", ""bn"")"),"রেসিং বোটের নকশা কোন ধরণের ঐতিহ্যবাহী বাঙালি জাহাজ দ্বারা প্রভাবিত?")</f>
        <v>রেসিং বোটের নকশা কোন ধরণের ঐতিহ্যবাহী বাঙালি জাহাজ দ্বারা প্রভাবিত?</v>
      </c>
      <c r="L66" s="10" t="str">
        <f>IFERROR(__xludf.DUMMYFUNCTION("GOOGLETRANSLATE(C66, ""en"", ""bn"")"),"ক) সাম্পান, খ) কোশারী, গ) ডিঙ্গি, ঘ) বালাম")</f>
        <v>ক) সাম্পান, খ) কোশারী, গ) ডিঙ্গি, ঘ) বালাম</v>
      </c>
      <c r="M66" s="10" t="str">
        <f>IFERROR(__xludf.DUMMYFUNCTION("GOOGLETRANSLATE(D66, ""en"", ""bn"")"),"খ) কোশারি")</f>
        <v>খ) কোশারি</v>
      </c>
      <c r="N66" s="10" t="str">
        <f>IFERROR(__xludf.DUMMYFUNCTION("GOOGLETRANSLATE(E66, ""en"", ""bn"")"),"রেসিং বোটগুলির লম্বা, মসৃণ নকশা ঐতিহ্যবাহী 'কোশারি' বা 'কয়রা' মাছ ধরার নৌকার একটি পরিশীলিত সংস্করণ।")</f>
        <v>রেসিং বোটগুলির লম্বা, মসৃণ নকশা ঐতিহ্যবাহী 'কোশারি' বা 'কয়রা' মাছ ধরার নৌকার একটি পরিশীলিত সংস্করণ।</v>
      </c>
    </row>
    <row r="67">
      <c r="A67" s="7">
        <v>66.0</v>
      </c>
      <c r="B67" s="7" t="s">
        <v>2766</v>
      </c>
      <c r="C67" s="7" t="s">
        <v>2767</v>
      </c>
      <c r="D67" s="7" t="s">
        <v>2768</v>
      </c>
      <c r="E67" s="7" t="s">
        <v>2769</v>
      </c>
      <c r="J67" s="10" t="str">
        <f>IFERROR(__xludf.DUMMYFUNCTION("GOOGLETRANSLATE(A67, ""en"", ""bn"")"),"৬৬")</f>
        <v>৬৬</v>
      </c>
      <c r="K67" s="10" t="str">
        <f>IFERROR(__xludf.DUMMYFUNCTION("GOOGLETRANSLATE(B67, ""en"", ""bn"")"),"ঐতিহাসিকভাবে, 'বোজরা' নৌকাগুলির প্রাথমিক উদ্দেশ্য কী ছিল, যা আধুনিক রেসিং নৌকার অগ্রদূত ছিল?")</f>
        <v>ঐতিহাসিকভাবে, 'বোজরা' নৌকাগুলির প্রাথমিক উদ্দেশ্য কী ছিল, যা আধুনিক রেসিং নৌকার অগ্রদূত ছিল?</v>
      </c>
      <c r="L67" s="10" t="str">
        <f>IFERROR(__xludf.DUMMYFUNCTION("GOOGLETRANSLATE(C67, ""en"", ""bn"")"),"ক) পণ্য পরিবহন, খ) রাজকীয় আনন্দ নৌকা, গ) সামরিক ব্যবহার, ঘ) মাছ ধরা")</f>
        <v>ক) পণ্য পরিবহন, খ) রাজকীয় আনন্দ নৌকা, গ) সামরিক ব্যবহার, ঘ) মাছ ধরা</v>
      </c>
      <c r="M67" s="10" t="str">
        <f>IFERROR(__xludf.DUMMYFUNCTION("GOOGLETRANSLATE(D67, ""en"", ""bn"")"),"খ) রাজকীয় আনন্দ নৌকা")</f>
        <v>খ) রাজকীয় আনন্দ নৌকা</v>
      </c>
      <c r="N67" s="10" t="str">
        <f>IFERROR(__xludf.DUMMYFUNCTION("GOOGLETRANSLATE(E67, ""en"", ""bn"")"),"বোজরা ছিল অত্যন্ত সুসজ্জিত রাজকীয় আনন্দ নৌকা যা প্রায়শই অভিজাতদের দ্বারা অবসর ভ্রমণ এবং দৌড়ের জন্য ব্যবহৃত হত।")</f>
        <v>বোজরা ছিল অত্যন্ত সুসজ্জিত রাজকীয় আনন্দ নৌকা যা প্রায়শই অভিজাতদের দ্বারা অবসর ভ্রমণ এবং দৌড়ের জন্য ব্যবহৃত হত।</v>
      </c>
    </row>
    <row r="68">
      <c r="A68" s="7">
        <v>67.0</v>
      </c>
      <c r="B68" s="7" t="s">
        <v>2770</v>
      </c>
      <c r="C68" s="7" t="s">
        <v>2771</v>
      </c>
      <c r="D68" s="7" t="s">
        <v>2772</v>
      </c>
      <c r="E68" s="7" t="s">
        <v>2773</v>
      </c>
      <c r="J68" s="10" t="str">
        <f>IFERROR(__xludf.DUMMYFUNCTION("GOOGLETRANSLATE(A68, ""en"", ""bn"")"),"৬৭")</f>
        <v>৬৭</v>
      </c>
      <c r="K68" s="10" t="str">
        <f>IFERROR(__xludf.DUMMYFUNCTION("GOOGLETRANSLATE(B68, ""en"", ""bn"")"),"প্রাচীন বাংলায় নৌকা বাইচ ধারণের প্রতীকী তাৎপর্য কী ছিল?")</f>
        <v>প্রাচীন বাংলায় নৌকা বাইচ ধারণের প্রতীকী তাৎপর্য কী ছিল?</v>
      </c>
      <c r="L68" s="10" t="str">
        <f>IFERROR(__xludf.DUMMYFUNCTION("GOOGLETRANSLATE(C68, ""en"", ""bn"")"),"ক) সামরিক শক্তি প্রদর্শন, খ) ভালো ফসলের জন্য একটি অনুষ্ঠান, গ) আঞ্চলিক সমৃদ্ধির প্রদর্শন, ঘ) নদী দেবতাদের প্রতি শ্রদ্ধাঞ্জলি")</f>
        <v>ক) সামরিক শক্তি প্রদর্শন, খ) ভালো ফসলের জন্য একটি অনুষ্ঠান, গ) আঞ্চলিক সমৃদ্ধির প্রদর্শন, ঘ) নদী দেবতাদের প্রতি শ্রদ্ধাঞ্জলি</v>
      </c>
      <c r="M68" s="10" t="str">
        <f>IFERROR(__xludf.DUMMYFUNCTION("GOOGLETRANSLATE(D68, ""en"", ""bn"")"),"ঘ) নদী দেবতাদের প্রতি শ্রদ্ধাঞ্জলি")</f>
        <v>ঘ) নদী দেবতাদের প্রতি শ্রদ্ধাঞ্জলি</v>
      </c>
      <c r="N68" s="10" t="str">
        <f>IFERROR(__xludf.DUMMYFUNCTION("GOOGLETRANSLATE(E68, ""en"", ""bn"")"),"ঐতিহাসিকভাবে, নিরাপদ যাতায়াত এবং প্রচুর মাছের জন্য নদী দেবতাদের সন্তুষ্ট করার জন্য কখনও কখনও এই দৌড় প্রতিযোগিতাগুলি আচার-অনুষ্ঠান হিসেবে অনুষ্ঠিত হত।")</f>
        <v>ঐতিহাসিকভাবে, নিরাপদ যাতায়াত এবং প্রচুর মাছের জন্য নদী দেবতাদের সন্তুষ্ট করার জন্য কখনও কখনও এই দৌড় প্রতিযোগিতাগুলি আচার-অনুষ্ঠান হিসেবে অনুষ্ঠিত হত।</v>
      </c>
    </row>
    <row r="69">
      <c r="A69" s="7">
        <v>68.0</v>
      </c>
      <c r="B69" s="7" t="s">
        <v>2774</v>
      </c>
      <c r="C69" s="7" t="s">
        <v>2775</v>
      </c>
      <c r="D69" s="7" t="s">
        <v>2776</v>
      </c>
      <c r="E69" s="7" t="s">
        <v>2777</v>
      </c>
      <c r="J69" s="10" t="str">
        <f>IFERROR(__xludf.DUMMYFUNCTION("GOOGLETRANSLATE(A69, ""en"", ""bn"")"),"৬৮")</f>
        <v>৬৮</v>
      </c>
      <c r="K69" s="10" t="str">
        <f>IFERROR(__xludf.DUMMYFUNCTION("GOOGLETRANSLATE(B69, ""en"", ""bn"")"),"নৌকা বাইচ প্রতিযোগিতার সময় 'মাঝি' বা নৌকার ক্যাপ্টেনের ঐতিহাসিক ভূমিকা কী?")</f>
        <v>নৌকা বাইচ প্রতিযোগিতার সময় 'মাঝি' বা নৌকার ক্যাপ্টেনের ঐতিহাসিক ভূমিকা কী?</v>
      </c>
      <c r="L69" s="10" t="str">
        <f>IFERROR(__xludf.DUMMYFUNCTION("GOOGLETRANSLATE(C69, ""en"", ""bn"")"),"ক) আর্থিক ব্যবস্থাপনা করা, খ) ছন্দ এবং দিকনির্দেশনা নির্ধারণ করা, গ) গান গাওয়া, ঘ) নৌকাচালকদের প্রশিক্ষণ দেওয়া")</f>
        <v>ক) আর্থিক ব্যবস্থাপনা করা, খ) ছন্দ এবং দিকনির্দেশনা নির্ধারণ করা, গ) গান গাওয়া, ঘ) নৌকাচালকদের প্রশিক্ষণ দেওয়া</v>
      </c>
      <c r="M69" s="10" t="str">
        <f>IFERROR(__xludf.DUMMYFUNCTION("GOOGLETRANSLATE(D69, ""en"", ""bn"")"),"খ) ছন্দ এবং দিক নির্ধারণ করা")</f>
        <v>খ) ছন্দ এবং দিক নির্ধারণ করা</v>
      </c>
      <c r="N69" s="10" t="str">
        <f>IFERROR(__xludf.DUMMYFUNCTION("GOOGLETRANSLATE(E69, ""en"", ""bn"")"),"মাঝি বা 'সর্দার' দলনেতা হিসেবে কাজ করে, তারা উচ্চস্বরে বা লাঠি ব্যবহার করে একটি সুসংগত রোয়িং ছন্দ বজায় রাখে।")</f>
        <v>মাঝি বা 'সর্দার' দলনেতা হিসেবে কাজ করে, তারা উচ্চস্বরে বা লাঠি ব্যবহার করে একটি সুসংগত রোয়িং ছন্দ বজায় রাখে।</v>
      </c>
    </row>
    <row r="70">
      <c r="A70" s="7">
        <v>69.0</v>
      </c>
      <c r="B70" s="7" t="s">
        <v>2778</v>
      </c>
      <c r="C70" s="7" t="s">
        <v>2779</v>
      </c>
      <c r="D70" s="7" t="s">
        <v>2780</v>
      </c>
      <c r="E70" s="7" t="s">
        <v>2781</v>
      </c>
      <c r="J70" s="10" t="str">
        <f>IFERROR(__xludf.DUMMYFUNCTION("GOOGLETRANSLATE(A70, ""en"", ""bn"")"),"৬৯")</f>
        <v>৬৯</v>
      </c>
      <c r="K70" s="10" t="str">
        <f>IFERROR(__xludf.DUMMYFUNCTION("GOOGLETRANSLATE(B70, ""en"", ""bn"")"),"বাংলার কিছু অঞ্চলে বিরোধ নিষ্পত্তির জন্য নৌকা বাইচ ব্যবহারের ঐতিহাসিক প্রেক্ষাপট কী?")</f>
        <v>বাংলার কিছু অঞ্চলে বিরোধ নিষ্পত্তির জন্য নৌকা বাইচ ব্যবহারের ঐতিহাসিক প্রেক্ষাপট কী?</v>
      </c>
      <c r="L70" s="10" t="str">
        <f>IFERROR(__xludf.DUMMYFUNCTION("GOOGLETRANSLATE(C70, ""en"", ""bn"")"),"ক) একটি আনুষ্ঠানিক আইনি প্রক্রিয়া, খ) সংঘাত এড়াতে একটি বন্ধুত্বপূর্ণ প্রতিযোগিতা, গ) বিনোদনের একটি রূপ, ঘ) একটি সামরিক কৌশল")</f>
        <v>ক) একটি আনুষ্ঠানিক আইনি প্রক্রিয়া, খ) সংঘাত এড়াতে একটি বন্ধুত্বপূর্ণ প্রতিযোগিতা, গ) বিনোদনের একটি রূপ, ঘ) একটি সামরিক কৌশল</v>
      </c>
      <c r="M70" s="10" t="str">
        <f>IFERROR(__xludf.DUMMYFUNCTION("GOOGLETRANSLATE(D70, ""en"", ""bn"")"),"খ) সংঘাত এড়াতে একটি বন্ধুত্বপূর্ণ প্রতিযোগিতা")</f>
        <v>খ) সংঘাত এড়াতে একটি বন্ধুত্বপূর্ণ প্রতিযোগিতা</v>
      </c>
      <c r="N70" s="10" t="str">
        <f>IFERROR(__xludf.DUMMYFUNCTION("GOOGLETRANSLATE(E70, ""en"", ""bn"")"),"কিছু ঐতিহাসিক ক্ষেত্রে, গ্রামগুলি নৌকা বাইচের মাধ্যমে ছোটখাটো বিরোধ নিষ্পত্তি করত, যা সম্ভাব্য সংঘাতকে সাম্প্রদায়িক ঘটনায় পরিণত করত।")</f>
        <v>কিছু ঐতিহাসিক ক্ষেত্রে, গ্রামগুলি নৌকা বাইচের মাধ্যমে ছোটখাটো বিরোধ নিষ্পত্তি করত, যা সম্ভাব্য সংঘাতকে সাম্প্রদায়িক ঘটনায় পরিণত করত।</v>
      </c>
    </row>
    <row r="71">
      <c r="A71" s="7">
        <v>70.0</v>
      </c>
      <c r="B71" s="7" t="s">
        <v>2782</v>
      </c>
      <c r="C71" s="7" t="s">
        <v>2783</v>
      </c>
      <c r="D71" s="7" t="s">
        <v>2784</v>
      </c>
      <c r="E71" s="7" t="s">
        <v>2785</v>
      </c>
      <c r="J71" s="10" t="str">
        <f>IFERROR(__xludf.DUMMYFUNCTION("GOOGLETRANSLATE(A71, ""en"", ""bn"")"),"৭০")</f>
        <v>৭০</v>
      </c>
      <c r="K71" s="10" t="str">
        <f>IFERROR(__xludf.DUMMYFUNCTION("GOOGLETRANSLATE(B71, ""en"", ""bn"")"),"সিলেট অঞ্চলে নৌকা বাইচ প্রতিযোগিতা আয়োজনের জন্য কোন উৎসবটি একটি প্রধান অনুঘটক?")</f>
        <v>সিলেট অঞ্চলে নৌকা বাইচ প্রতিযোগিতা আয়োজনের জন্য কোন উৎসবটি একটি প্রধান অনুঘটক?</v>
      </c>
      <c r="L71" s="10" t="str">
        <f>IFERROR(__xludf.DUMMYFUNCTION("GOOGLETRANSLATE(C71, ""en"", ""bn"")"),"A) পহেলা বৈশাখ, B) দুর্গাপূজা, C) ঈদুল ফিতর, D) নবান্ন")</f>
        <v>A) পহেলা বৈশাখ, B) দুর্গাপূজা, C) ঈদুল ফিতর, D) নবান্ন</v>
      </c>
      <c r="M71" s="10" t="str">
        <f>IFERROR(__xludf.DUMMYFUNCTION("GOOGLETRANSLATE(D71, ""en"", ""bn"")"),"ঘ) নবান্ন")</f>
        <v>ঘ) নবান্ন</v>
      </c>
      <c r="N71" s="10" t="str">
        <f>IFERROR(__xludf.DUMMYFUNCTION("GOOGLETRANSLATE(E71, ""en"", ""bn"")"),"সিলেটের মতো অঞ্চলে নবান্ন (নতুন ধান) উৎসব, ফসল কাটার উৎসব উদযাপনের জন্য একটি ঐতিহ্যবাহী সময়।")</f>
        <v>সিলেটের মতো অঞ্চলে নবান্ন (নতুন ধান) উৎসব, ফসল কাটার উৎসব উদযাপনের জন্য একটি ঐতিহ্যবাহী সময়।</v>
      </c>
    </row>
    <row r="72">
      <c r="A72" s="7">
        <v>71.0</v>
      </c>
      <c r="B72" s="7" t="s">
        <v>2786</v>
      </c>
      <c r="C72" s="7" t="s">
        <v>2787</v>
      </c>
      <c r="D72" s="7" t="s">
        <v>2788</v>
      </c>
      <c r="E72" s="7" t="s">
        <v>2789</v>
      </c>
      <c r="J72" s="10" t="str">
        <f>IFERROR(__xludf.DUMMYFUNCTION("GOOGLETRANSLATE(A72, ""en"", ""bn"")"),"৭১")</f>
        <v>৭১</v>
      </c>
      <c r="K72" s="10" t="str">
        <f>IFERROR(__xludf.DUMMYFUNCTION("GOOGLETRANSLATE(B72, ""en"", ""bn"")"),"দৌড়ের জন্য কাঠের নৌকাগুলিকে জলরোধী এবং সংরক্ষণের জন্য ঐতিহ্যগতভাবে কোন উপাদান ব্যবহার করা হত?")</f>
        <v>দৌড়ের জন্য কাঠের নৌকাগুলিকে জলরোধী এবং সংরক্ষণের জন্য ঐতিহ্যগতভাবে কোন উপাদান ব্যবহার করা হত?</v>
      </c>
      <c r="L72" s="10" t="str">
        <f>IFERROR(__xludf.DUMMYFUNCTION("GOOGLETRANSLATE(C72, ""en"", ""bn"")"),"ক) বার্নিশ, খ) আলকাতরা, গ) পশুর চর্বি, ঘ) রজন")</f>
        <v>ক) বার্নিশ, খ) আলকাতরা, গ) পশুর চর্বি, ঘ) রজন</v>
      </c>
      <c r="M72" s="10" t="str">
        <f>IFERROR(__xludf.DUMMYFUNCTION("GOOGLETRANSLATE(D72, ""en"", ""bn"")"),"খ) আলকাতরা")</f>
        <v>খ) আলকাতরা</v>
      </c>
      <c r="N72" s="10" t="str">
        <f>IFERROR(__xludf.DUMMYFUNCTION("GOOGLETRANSLATE(E72, ""en"", ""bn"")"),"নৌকা নির্মাতারা ঐতিহ্যগতভাবে আলকাতরা এবং অন্যান্য প্রাকৃতিক পদার্থের মিশ্রণ ব্যবহার করত যাতে জাহাজের হাল জলরোধী থাকে এবং নৌকার দীর্ঘায়ু নিশ্চিত করা যায়।")</f>
        <v>নৌকা নির্মাতারা ঐতিহ্যগতভাবে আলকাতরা এবং অন্যান্য প্রাকৃতিক পদার্থের মিশ্রণ ব্যবহার করত যাতে জাহাজের হাল জলরোধী থাকে এবং নৌকার দীর্ঘায়ু নিশ্চিত করা যায়।</v>
      </c>
    </row>
    <row r="73">
      <c r="A73" s="7">
        <v>72.0</v>
      </c>
      <c r="B73" s="7" t="s">
        <v>2790</v>
      </c>
      <c r="C73" s="7" t="s">
        <v>2791</v>
      </c>
      <c r="D73" s="7" t="s">
        <v>2792</v>
      </c>
      <c r="E73" s="7" t="s">
        <v>2793</v>
      </c>
      <c r="J73" s="10" t="str">
        <f>IFERROR(__xludf.DUMMYFUNCTION("GOOGLETRANSLATE(A73, ""en"", ""bn"")"),"৭২")</f>
        <v>৭২</v>
      </c>
      <c r="K73" s="10" t="str">
        <f>IFERROR(__xludf.DUMMYFUNCTION("GOOGLETRANSLATE(B73, ""en"", ""bn"")"),"বিজয়ী দলকে দেওয়া পুরষ্কারের একটি উল্লেখযোগ্য ঐতিহাসিক বৈশিষ্ট্য কী?")</f>
        <v>বিজয়ী দলকে দেওয়া পুরষ্কারের একটি উল্লেখযোগ্য ঐতিহাসিক বৈশিষ্ট্য কী?</v>
      </c>
      <c r="L73" s="10" t="str">
        <f>IFERROR(__xludf.DUMMYFUNCTION("GOOGLETRANSLATE(C73, ""en"", ""bn"")"),"ক) একটি রাজকীয় উপাধি, খ) একটি আনুষ্ঠানিক ভোজ, গ) সোনার মতো একটি মূল্যবান পণ্য, ঘ) এক বছরের মাছের সরবরাহ")</f>
        <v>ক) একটি রাজকীয় উপাধি, খ) একটি আনুষ্ঠানিক ভোজ, গ) সোনার মতো একটি মূল্যবান পণ্য, ঘ) এক বছরের মাছের সরবরাহ</v>
      </c>
      <c r="M73" s="10" t="str">
        <f>IFERROR(__xludf.DUMMYFUNCTION("GOOGLETRANSLATE(D73, ""en"", ""bn"")"),"খ) একটি আনুষ্ঠানিক ভোজ")</f>
        <v>খ) একটি আনুষ্ঠানিক ভোজ</v>
      </c>
      <c r="N73" s="10" t="str">
        <f>IFERROR(__xludf.DUMMYFUNCTION("GOOGLETRANSLATE(E73, ""en"", ""bn"")"),"ঐতিহাসিক সময়ে, সবচেয়ে গুরুত্বপূর্ণ পুরস্কারটি প্রায়শই বিজয়ী গ্রাম বা দলের নেতার দ্বারা আয়োজিত একটি বৃহৎ, উদযাপনীয় ভোজ ছিল।")</f>
        <v>ঐতিহাসিক সময়ে, সবচেয়ে গুরুত্বপূর্ণ পুরস্কারটি প্রায়শই বিজয়ী গ্রাম বা দলের নেতার দ্বারা আয়োজিত একটি বৃহৎ, উদযাপনীয় ভোজ ছিল।</v>
      </c>
    </row>
    <row r="74">
      <c r="A74" s="7">
        <v>73.0</v>
      </c>
      <c r="B74" s="7" t="s">
        <v>2794</v>
      </c>
      <c r="C74" s="7" t="s">
        <v>2795</v>
      </c>
      <c r="D74" s="7" t="s">
        <v>2796</v>
      </c>
      <c r="E74" s="7" t="s">
        <v>2797</v>
      </c>
      <c r="J74" s="10" t="str">
        <f>IFERROR(__xludf.DUMMYFUNCTION("GOOGLETRANSLATE(A74, ""en"", ""bn"")"),"৭৩")</f>
        <v>৭৩</v>
      </c>
      <c r="K74" s="10" t="str">
        <f>IFERROR(__xludf.DUMMYFUNCTION("GOOGLETRANSLATE(B74, ""en"", ""bn"")"),"উনিশ শতকের কোন ঐতিহাসিক ঘটনার কারণে নৌকা বাইচের জনপ্রিয়তা কিছুটা কমে যায়?")</f>
        <v>উনিশ শতকের কোন ঐতিহাসিক ঘটনার কারণে নৌকা বাইচের জনপ্রিয়তা কিছুটা কমে যায়?</v>
      </c>
      <c r="L74" s="10" t="str">
        <f>IFERROR(__xludf.DUMMYFUNCTION("GOOGLETRANSLATE(C74, ""en"", ""bn"")"),"ক) মহাদুর্ভিক্ষ, খ) বঙ্গভঙ্গ, গ) সিপাহী বিদ্রোহ, ঘ) ব্যাপক বন্যা")</f>
        <v>ক) মহাদুর্ভিক্ষ, খ) বঙ্গভঙ্গ, গ) সিপাহী বিদ্রোহ, ঘ) ব্যাপক বন্যা</v>
      </c>
      <c r="M74" s="10" t="str">
        <f>IFERROR(__xludf.DUMMYFUNCTION("GOOGLETRANSLATE(D74, ""en"", ""bn"")"),"ক) মহাদুর্ভিক্ষ")</f>
        <v>ক) মহাদুর্ভিক্ষ</v>
      </c>
      <c r="N74" s="10" t="str">
        <f>IFERROR(__xludf.DUMMYFUNCTION("GOOGLETRANSLATE(E74, ""en"", ""bn"")"),"১৮৭৬-১৮৭৯ সালের ভয়াবহ বাংলার দুর্ভিক্ষ বিনোদনমূলক অনুষ্ঠান থেকে মনোযোগ সরিয়ে বেঁচে থাকা এবং জীবিকা নির্বাহের দিকে নিয়ে যায়।")</f>
        <v>১৮৭৬-১৮৭৯ সালের ভয়াবহ বাংলার দুর্ভিক্ষ বিনোদনমূলক অনুষ্ঠান থেকে মনোযোগ সরিয়ে বেঁচে থাকা এবং জীবিকা নির্বাহের দিকে নিয়ে যায়।</v>
      </c>
    </row>
    <row r="75">
      <c r="A75" s="7">
        <v>74.0</v>
      </c>
      <c r="B75" s="7" t="s">
        <v>2798</v>
      </c>
      <c r="C75" s="7" t="s">
        <v>2799</v>
      </c>
      <c r="D75" s="7" t="s">
        <v>2800</v>
      </c>
      <c r="E75" s="7" t="s">
        <v>2801</v>
      </c>
      <c r="J75" s="10" t="str">
        <f>IFERROR(__xludf.DUMMYFUNCTION("GOOGLETRANSLATE(A75, ""en"", ""bn"")"),"৭৪")</f>
        <v>৭৪</v>
      </c>
      <c r="K75" s="10" t="str">
        <f>IFERROR(__xludf.DUMMYFUNCTION("GOOGLETRANSLATE(B75, ""en"", ""bn"")"),"পৌরাণিক চিত্র বা নিদর্শন দিয়ে দৌড় নৌকা আঁকা এবং সাজানোর ঐতিহ্য কোন ঐতিহাসিক প্রভাবের অবশিষ্টাংশ?")</f>
        <v>পৌরাণিক চিত্র বা নিদর্শন দিয়ে দৌড় নৌকা আঁকা এবং সাজানোর ঐতিহ্য কোন ঐতিহাসিক প্রভাবের অবশিষ্টাংশ?</v>
      </c>
      <c r="L75" s="10" t="str">
        <f>IFERROR(__xludf.DUMMYFUNCTION("GOOGLETRANSLATE(C75, ""en"", ""bn"")"),"ক) উপজাতীয় শিল্প, খ) লোকশিল্প, গ) মুঘল শিল্প, ঘ) ব্রিটিশ শিল্প")</f>
        <v>ক) উপজাতীয় শিল্প, খ) লোকশিল্প, গ) মুঘল শিল্প, ঘ) ব্রিটিশ শিল্প</v>
      </c>
      <c r="M75" s="10" t="str">
        <f>IFERROR(__xludf.DUMMYFUNCTION("GOOGLETRANSLATE(D75, ""en"", ""bn"")"),"খ) লোকশিল্প")</f>
        <v>খ) লোকশিল্প</v>
      </c>
      <c r="N75" s="10" t="str">
        <f>IFERROR(__xludf.DUMMYFUNCTION("GOOGLETRANSLATE(E75, ""en"", ""bn"")"),"রঙিন সাজসজ্জাগুলি ঐতিহ্যবাহী বাঙালি লোকশিল্পের ধারাবাহিকতা, যা প্রায়শই স্থানীয় গল্প এবং মোটিফগুলিকে চিত্রিত করে।")</f>
        <v>রঙিন সাজসজ্জাগুলি ঐতিহ্যবাহী বাঙালি লোকশিল্পের ধারাবাহিকতা, যা প্রায়শই স্থানীয় গল্প এবং মোটিফগুলিকে চিত্রিত করে।</v>
      </c>
    </row>
    <row r="76">
      <c r="A76" s="7">
        <v>75.0</v>
      </c>
      <c r="B76" s="7" t="s">
        <v>2802</v>
      </c>
      <c r="C76" s="7" t="s">
        <v>2803</v>
      </c>
      <c r="D76" s="7" t="s">
        <v>2804</v>
      </c>
      <c r="E76" s="7" t="s">
        <v>2805</v>
      </c>
      <c r="J76" s="10" t="str">
        <f>IFERROR(__xludf.DUMMYFUNCTION("GOOGLETRANSLATE(A76, ""en"", ""bn"")"),"৭৫")</f>
        <v>৭৫</v>
      </c>
      <c r="K76" s="10" t="str">
        <f>IFERROR(__xludf.DUMMYFUNCTION("GOOGLETRANSLATE(B76, ""en"", ""bn"")"),"ব্রিটিশ ঔপনিবেশিক আমল নৌকা বাইচের অনুশীলনের উপর কীভাবে প্রভাব ফেলেছিল?")</f>
        <v>ব্রিটিশ ঔপনিবেশিক আমল নৌকা বাইচের অনুশীলনের উপর কীভাবে প্রভাব ফেলেছিল?</v>
      </c>
      <c r="L76" s="10" t="str">
        <f>IFERROR(__xludf.DUMMYFUNCTION("GOOGLETRANSLATE(C76, ""en"", ""bn"")"),"ক) এটি নিষিদ্ধ করা হয়েছিল, খ) এটিকে আনুষ্ঠানিকভাবে পৃষ্ঠপোষকতা দেওয়া হয়েছিল, গ) এটিকে বাণিজ্যিকীকরণ করা হয়েছিল, ঘ) এটিকে উপেক্ষা করা হয়েছিল")</f>
        <v>ক) এটি নিষিদ্ধ করা হয়েছিল, খ) এটিকে আনুষ্ঠানিকভাবে পৃষ্ঠপোষকতা দেওয়া হয়েছিল, গ) এটিকে বাণিজ্যিকীকরণ করা হয়েছিল, ঘ) এটিকে উপেক্ষা করা হয়েছিল</v>
      </c>
      <c r="M76" s="10" t="str">
        <f>IFERROR(__xludf.DUMMYFUNCTION("GOOGLETRANSLATE(D76, ""en"", ""bn"")"),"ঘ) এটি উপেক্ষা করা হয়েছিল")</f>
        <v>ঘ) এটি উপেক্ষা করা হয়েছিল</v>
      </c>
      <c r="N76" s="10" t="str">
        <f>IFERROR(__xludf.DUMMYFUNCTION("GOOGLETRANSLATE(E76, ""en"", ""bn"")"),"ব্রিটিশ প্রশাসন এই ঐতিহ্যবাহী খেলাটিকে মূলত উপেক্ষা করেছিল অথবা এর সাথে খুব কম যোগাযোগ করেছিল, যার ফলে এটি স্থানীয় রীতি হিসেবে অব্যাহত ছিল।")</f>
        <v>ব্রিটিশ প্রশাসন এই ঐতিহ্যবাহী খেলাটিকে মূলত উপেক্ষা করেছিল অথবা এর সাথে খুব কম যোগাযোগ করেছিল, যার ফলে এটি স্থানীয় রীতি হিসেবে অব্যাহত ছিল।</v>
      </c>
    </row>
    <row r="77">
      <c r="A77" s="7">
        <v>76.0</v>
      </c>
      <c r="B77" s="7" t="s">
        <v>2806</v>
      </c>
      <c r="C77" s="7" t="s">
        <v>2807</v>
      </c>
      <c r="D77" s="7" t="s">
        <v>2808</v>
      </c>
      <c r="E77" s="7" t="s">
        <v>2809</v>
      </c>
      <c r="J77" s="10" t="str">
        <f>IFERROR(__xludf.DUMMYFUNCTION("GOOGLETRANSLATE(A77, ""en"", ""bn"")"),"৭৬")</f>
        <v>৭৬</v>
      </c>
      <c r="K77" s="10" t="str">
        <f>IFERROR(__xludf.DUMMYFUNCTION("GOOGLETRANSLATE(B77, ""en"", ""bn"")"),"বাংলার নদী ব্যবস্থার কোন ঐতিহাসিক পরিবর্তন আধুনিক নৌকা বাইচ জাতির অবস্থানকে প্রভাবিত করেছে?")</f>
        <v>বাংলার নদী ব্যবস্থার কোন ঐতিহাসিক পরিবর্তন আধুনিক নৌকা বাইচ জাতির অবস্থানকে প্রভাবিত করেছে?</v>
      </c>
      <c r="L77" s="10" t="str">
        <f>IFERROR(__xludf.DUMMYFUNCTION("GOOGLETRANSLATE(C77, ""en"", ""bn"")"),"ক) কিছু নদীর শুকিয়ে যাওয়া, খ) নদীর প্রশস্তকরণ, গ) নদীর তলদেশে পলি জমে যাওয়া, ঘ) নদীর দিকের পরিবর্তন")</f>
        <v>ক) কিছু নদীর শুকিয়ে যাওয়া, খ) নদীর প্রশস্তকরণ, গ) নদীর তলদেশে পলি জমে যাওয়া, ঘ) নদীর দিকের পরিবর্তন</v>
      </c>
      <c r="M77" s="10" t="str">
        <f>IFERROR(__xludf.DUMMYFUNCTION("GOOGLETRANSLATE(D77, ""en"", ""bn"")"),"গ) নদীর তলদেশে পলি জমা")</f>
        <v>গ) নদীর তলদেশে পলি জমা</v>
      </c>
      <c r="N77" s="10" t="str">
        <f>IFERROR(__xludf.DUMMYFUNCTION("GOOGLETRANSLATE(E77, ""en"", ""bn"")"),"ঐতিহাসিক নদীপথের পলি জমে যাওয়ার ফলে অনেক ঘটনাকে আরও গভীর, আরও নৌযান চলাচলের উপযোগী খালে স্থানান্তরিত করতে বাধ্য করা হয়েছে।")</f>
        <v>ঐতিহাসিক নদীপথের পলি জমে যাওয়ার ফলে অনেক ঘটনাকে আরও গভীর, আরও নৌযান চলাচলের উপযোগী খালে স্থানান্তরিত করতে বাধ্য করা হয়েছে।</v>
      </c>
    </row>
    <row r="78">
      <c r="A78" s="7">
        <v>77.0</v>
      </c>
      <c r="B78" s="7" t="s">
        <v>2810</v>
      </c>
      <c r="C78" s="7" t="s">
        <v>2811</v>
      </c>
      <c r="D78" s="7" t="s">
        <v>2812</v>
      </c>
      <c r="E78" s="7" t="s">
        <v>2813</v>
      </c>
      <c r="J78" s="10" t="str">
        <f>IFERROR(__xludf.DUMMYFUNCTION("GOOGLETRANSLATE(A78, ""en"", ""bn"")"),"৭৭")</f>
        <v>৭৭</v>
      </c>
      <c r="K78" s="10" t="str">
        <f>IFERROR(__xludf.DUMMYFUNCTION("GOOGLETRANSLATE(B78, ""en"", ""bn"")"),"প্রাচীনকালে, দীর্ঘতম দৌড় নৌকাগুলিকে কখনও কখনও 'সার্প নৌকা' (সাপের নৌকা) বলা হত। এই নামের কারণ কী ছিল?")</f>
        <v>প্রাচীনকালে, দীর্ঘতম দৌড় নৌকাগুলিকে কখনও কখনও 'সার্প নৌকা' (সাপের নৌকা) বলা হত। এই নামের কারণ কী ছিল?</v>
      </c>
      <c r="L78" s="10" t="str">
        <f>IFERROR(__xludf.DUMMYFUNCTION("GOOGLETRANSLATE(C78, ""en"", ""bn"")"),"ক) এগুলো সাপের মতো আকৃতির ছিল, খ) এগুলো সাপ ধরার জন্য ব্যবহার করা হত, গ) এগুলো দুর্ভাগ্যের লক্ষণ ছিল, ঘ) এগুলো সাপ জাদুকরদের মালিকানাধীন ছিল")</f>
        <v>ক) এগুলো সাপের মতো আকৃতির ছিল, খ) এগুলো সাপ ধরার জন্য ব্যবহার করা হত, গ) এগুলো দুর্ভাগ্যের লক্ষণ ছিল, ঘ) এগুলো সাপ জাদুকরদের মালিকানাধীন ছিল</v>
      </c>
      <c r="M78" s="10" t="str">
        <f>IFERROR(__xludf.DUMMYFUNCTION("GOOGLETRANSLATE(D78, ""en"", ""bn"")"),"ক) তারা সাপের মতো আকৃতির ছিল")</f>
        <v>ক) তারা সাপের মতো আকৃতির ছিল</v>
      </c>
      <c r="N78" s="10" t="str">
        <f>IFERROR(__xludf.DUMMYFUNCTION("GOOGLETRANSLATE(E78, ""en"", ""bn"")"),"তাদের লম্বা, সরু এবং পাতলা নকশাটি জলের মধ্য দিয়ে ভেসে বেড়ানো একটি সাপের মতো ছিল, যা এই নামটিকে অনুপ্রাণিত করেছিল।")</f>
        <v>তাদের লম্বা, সরু এবং পাতলা নকশাটি জলের মধ্য দিয়ে ভেসে বেড়ানো একটি সাপের মতো ছিল, যা এই নামটিকে অনুপ্রাণিত করেছিল।</v>
      </c>
    </row>
    <row r="79">
      <c r="A79" s="7">
        <v>78.0</v>
      </c>
      <c r="B79" s="7" t="s">
        <v>2814</v>
      </c>
      <c r="C79" s="7" t="s">
        <v>2815</v>
      </c>
      <c r="D79" s="7" t="s">
        <v>2816</v>
      </c>
      <c r="E79" s="7" t="s">
        <v>2817</v>
      </c>
      <c r="J79" s="10" t="str">
        <f>IFERROR(__xludf.DUMMYFUNCTION("GOOGLETRANSLATE(A79, ""en"", ""bn"")"),"৭৮")</f>
        <v>৭৮</v>
      </c>
      <c r="K79" s="10" t="str">
        <f>IFERROR(__xludf.DUMMYFUNCTION("GOOGLETRANSLATE(B79, ""en"", ""bn"")"),"নৌকা বাইচের ইতিহাসে স্থানীয় জমিদাররা (জমিদাররা) কী ভূমিকা পালন করেছিলেন?")</f>
        <v>নৌকা বাইচের ইতিহাসে স্থানীয় জমিদাররা (জমিদাররা) কী ভূমিকা পালন করেছিলেন?</v>
      </c>
      <c r="L79" s="10" t="str">
        <f>IFERROR(__xludf.DUMMYFUNCTION("GOOGLETRANSLATE(C79, ""en"", ""bn"")"),"ক) তারা ছিল প্রধান পৃষ্ঠপোষক, খ) তারা ছিল প্রাথমিক অংশগ্রহণকারী, গ) তারা খেলাটি নিষিদ্ধ করেছিল, ঘ) তারা ছিল রেফারি")</f>
        <v>ক) তারা ছিল প্রধান পৃষ্ঠপোষক, খ) তারা ছিল প্রাথমিক অংশগ্রহণকারী, গ) তারা খেলাটি নিষিদ্ধ করেছিল, ঘ) তারা ছিল রেফারি</v>
      </c>
      <c r="M79" s="10" t="str">
        <f>IFERROR(__xludf.DUMMYFUNCTION("GOOGLETRANSLATE(D79, ""en"", ""bn"")"),"ক) তারাই ছিল প্রধান পৃষ্ঠপোষক")</f>
        <v>ক) তারাই ছিল প্রধান পৃষ্ঠপোষক</v>
      </c>
      <c r="N79" s="10" t="str">
        <f>IFERROR(__xludf.DUMMYFUNCTION("GOOGLETRANSLATE(E79, ""en"", ""bn"")"),"জমিদাররা প্রায়শই তাদের সম্পদ ও প্রভাব প্রদর্শনের জন্য এবং তাদের প্রজাদের বিনোদনের জন্য প্রতিযোগিতার পৃষ্ঠপোষকতা ও আয়োজন করত।")</f>
        <v>জমিদাররা প্রায়শই তাদের সম্পদ ও প্রভাব প্রদর্শনের জন্য এবং তাদের প্রজাদের বিনোদনের জন্য প্রতিযোগিতার পৃষ্ঠপোষকতা ও আয়োজন করত।</v>
      </c>
    </row>
    <row r="80">
      <c r="A80" s="7">
        <v>79.0</v>
      </c>
      <c r="B80" s="7" t="s">
        <v>2818</v>
      </c>
      <c r="C80" s="7" t="s">
        <v>2819</v>
      </c>
      <c r="D80" s="7" t="s">
        <v>2820</v>
      </c>
      <c r="E80" s="7" t="s">
        <v>2821</v>
      </c>
      <c r="J80" s="10" t="str">
        <f>IFERROR(__xludf.DUMMYFUNCTION("GOOGLETRANSLATE(A80, ""en"", ""bn"")"),"৭৯")</f>
        <v>৭৯</v>
      </c>
      <c r="K80" s="10" t="str">
        <f>IFERROR(__xludf.DUMMYFUNCTION("GOOGLETRANSLATE(B80, ""en"", ""bn"")"),"নৌকা বাইচে পুরুষদের নিয়ে গঠিত এই দলের ঐতিহ্য কোন ঐতিহাসিক সামাজিক রীতির প্রতিফলন?")</f>
        <v>নৌকা বাইচে পুরুষদের নিয়ে গঠিত এই দলের ঐতিহ্য কোন ঐতিহাসিক সামাজিক রীতির প্রতিফলন?</v>
      </c>
      <c r="L80" s="10" t="str">
        <f>IFERROR(__xludf.DUMMYFUNCTION("GOOGLETRANSLATE(C80, ""en"", ""bn"")"),"ক) নারীদের নৌকায় চড়ার অনুমতি ছিল না, খ) দৌড় প্রতিযোগিতাকে পুরুষ শক্তির পরীক্ষা হিসেবে দেখা হত, গ) নারীদের আগ্রহ ছিল না, ঘ) এটি ছিল একটি ধর্মীয় নিয়ম")</f>
        <v>ক) নারীদের নৌকায় চড়ার অনুমতি ছিল না, খ) দৌড় প্রতিযোগিতাকে পুরুষ শক্তির পরীক্ষা হিসেবে দেখা হত, গ) নারীদের আগ্রহ ছিল না, ঘ) এটি ছিল একটি ধর্মীয় নিয়ম</v>
      </c>
      <c r="M80" s="10" t="str">
        <f>IFERROR(__xludf.DUMMYFUNCTION("GOOGLETRANSLATE(D80, ""en"", ""bn"")"),"খ) দৌড় প্রতিযোগিতাকে পুরুষ শক্তির পরীক্ষা হিসেবে দেখা হত")</f>
        <v>খ) দৌড় প্রতিযোগিতাকে পুরুষ শক্তির পরীক্ষা হিসেবে দেখা হত</v>
      </c>
      <c r="N80" s="10" t="str">
        <f>IFERROR(__xludf.DUMMYFUNCTION("GOOGLETRANSLATE(E80, ""en"", ""bn"")"),"ঐতিহাসিকভাবে, লম্বা, ভারী নৌকা চালানোর কঠিন শারীরিক প্রকৃতি এটিকে পুরুষ-শাসিত খেলায় পরিণত করেছে।")</f>
        <v>ঐতিহাসিকভাবে, লম্বা, ভারী নৌকা চালানোর কঠিন শারীরিক প্রকৃতি এটিকে পুরুষ-শাসিত খেলায় পরিণত করেছে।</v>
      </c>
    </row>
    <row r="81">
      <c r="A81" s="7">
        <v>80.0</v>
      </c>
      <c r="B81" s="7" t="s">
        <v>2822</v>
      </c>
      <c r="C81" s="7" t="s">
        <v>2823</v>
      </c>
      <c r="D81" s="7" t="s">
        <v>2824</v>
      </c>
      <c r="E81" s="7" t="s">
        <v>2825</v>
      </c>
      <c r="J81" s="10" t="str">
        <f>IFERROR(__xludf.DUMMYFUNCTION("GOOGLETRANSLATE(A81, ""en"", ""bn"")"),"৮০")</f>
        <v>৮০</v>
      </c>
      <c r="K81" s="10" t="str">
        <f>IFERROR(__xludf.DUMMYFUNCTION("GOOGLETRANSLATE(B81, ""en"", ""bn"")"),"নৌকা বাইচের কোন দিকটি বাংলার সমৃদ্ধ নদী বাণিজ্যের ঐতিহাসিক প্রতিফলন?")</f>
        <v>নৌকা বাইচের কোন দিকটি বাংলার সমৃদ্ধ নদী বাণিজ্যের ঐতিহাসিক প্রতিফলন?</v>
      </c>
      <c r="L81" s="10" t="str">
        <f>IFERROR(__xludf.DUMMYFUNCTION("GOOGLETRANSLATE(C81, ""en"", ""bn"")"),"ক) নৌকাগুলির মালামাল ধারণক্ষমতা, খ) দৌড়ের ধরণ, গ) ঐতিহ্যবাহী গান, ঘ) নৌকা তৈরির কৌশল")</f>
        <v>ক) নৌকাগুলির মালামাল ধারণক্ষমতা, খ) দৌড়ের ধরণ, গ) ঐতিহ্যবাহী গান, ঘ) নৌকা তৈরির কৌশল</v>
      </c>
      <c r="M81" s="10" t="str">
        <f>IFERROR(__xludf.DUMMYFUNCTION("GOOGLETRANSLATE(D81, ""en"", ""bn"")"),"ঘ) নৌকা তৈরির কৌশল")</f>
        <v>ঘ) নৌকা তৈরির কৌশল</v>
      </c>
      <c r="N81" s="10" t="str">
        <f>IFERROR(__xludf.DUMMYFUNCTION("GOOGLETRANSLATE(E81, ""en"", ""bn"")"),"নদীতে বাণিজ্য ও পরিবহনের জন্য শতাব্দীর পর শতাব্দী ধরে তৈরি জাহাজ থেকে রেসিং বোট তৈরিতে ব্যবহৃত অত্যাধুনিক কৌশলগুলি বিকশিত হয়েছে।")</f>
        <v>নদীতে বাণিজ্য ও পরিবহনের জন্য শতাব্দীর পর শতাব্দী ধরে তৈরি জাহাজ থেকে রেসিং বোট তৈরিতে ব্যবহৃত অত্যাধুনিক কৌশলগুলি বিকশিত হয়েছে।</v>
      </c>
    </row>
    <row r="82">
      <c r="A82" s="7">
        <v>81.0</v>
      </c>
      <c r="B82" s="7" t="s">
        <v>2826</v>
      </c>
      <c r="C82" s="7" t="s">
        <v>2827</v>
      </c>
      <c r="D82" s="7" t="s">
        <v>420</v>
      </c>
      <c r="E82" s="7" t="s">
        <v>2828</v>
      </c>
      <c r="J82" s="10" t="str">
        <f>IFERROR(__xludf.DUMMYFUNCTION("GOOGLETRANSLATE(A82, ""en"", ""bn"")"),"৮১")</f>
        <v>৮১</v>
      </c>
      <c r="K82" s="10" t="str">
        <f>IFERROR(__xludf.DUMMYFUNCTION("GOOGLETRANSLATE(B82, ""en"", ""bn"")"),"কোন ঐতিহাসিক সময়ে নৌকা বাইচের জন্য আরও বিস্তৃত এবং আলংকারিক নৌকা তৈরি হয়েছিল?")</f>
        <v>কোন ঐতিহাসিক সময়ে নৌকা বাইচের জন্য আরও বিস্তৃত এবং আলংকারিক নৌকা তৈরি হয়েছিল?</v>
      </c>
      <c r="L82" s="10" t="str">
        <f>IFERROR(__xludf.DUMMYFUNCTION("GOOGLETRANSLATE(C82, ""en"", ""bn"")"),"ক) সুলতানি আমল, খ) মুঘল আমল, গ) ব্রিটিশ আমল, ঘ) আধুনিক যুগ")</f>
        <v>ক) সুলতানি আমল, খ) মুঘল আমল, গ) ব্রিটিশ আমল, ঘ) আধুনিক যুগ</v>
      </c>
      <c r="M82" s="10" t="str">
        <f>IFERROR(__xludf.DUMMYFUNCTION("GOOGLETRANSLATE(D82, ""en"", ""bn"")"),"খ) মুঘল আমল")</f>
        <v>খ) মুঘল আমল</v>
      </c>
      <c r="N82" s="10" t="str">
        <f>IFERROR(__xludf.DUMMYFUNCTION("GOOGLETRANSLATE(E82, ""en"", ""bn"")"),"মুঘলদের অধীনে, নৌকা বাইচ রাজকীয় বিনোদনের এক রূপে পরিণত হয়েছিল, যার ফলে অত্যন্ত অলঙ্কৃত এবং সজ্জিত নৌকা তৈরি হয়েছিল।")</f>
        <v>মুঘলদের অধীনে, নৌকা বাইচ রাজকীয় বিনোদনের এক রূপে পরিণত হয়েছিল, যার ফলে অত্যন্ত অলঙ্কৃত এবং সজ্জিত নৌকা তৈরি হয়েছিল।</v>
      </c>
    </row>
    <row r="83">
      <c r="A83" s="7">
        <v>82.0</v>
      </c>
      <c r="B83" s="7" t="s">
        <v>2829</v>
      </c>
      <c r="C83" s="7" t="s">
        <v>2830</v>
      </c>
      <c r="D83" s="7" t="s">
        <v>2831</v>
      </c>
      <c r="E83" s="7" t="s">
        <v>2832</v>
      </c>
      <c r="J83" s="10" t="str">
        <f>IFERROR(__xludf.DUMMYFUNCTION("GOOGLETRANSLATE(A83, ""en"", ""bn"")"),"৮২")</f>
        <v>৮২</v>
      </c>
      <c r="K83" s="10" t="str">
        <f>IFERROR(__xludf.DUMMYFUNCTION("GOOGLETRANSLATE(B83, ""en"", ""bn"")"),"বছরের একটি নির্দিষ্ট সময়ে ঘোড়দৌড় আয়োজনের ঐতিহ্য ঐতিহাসিকভাবে কোন কৃষি পদ্ধতির সাথে জড়িত?")</f>
        <v>বছরের একটি নির্দিষ্ট সময়ে ঘোড়দৌড় আয়োজনের ঐতিহ্য ঐতিহাসিকভাবে কোন কৃষি পদ্ধতির সাথে জড়িত?</v>
      </c>
      <c r="L83" s="10" t="str">
        <f>IFERROR(__xludf.DUMMYFUNCTION("GOOGLETRANSLATE(C83, ""en"", ""bn"")"),"ক) বর্ষা মৌসুমে রোপণ মৌসুম, খ) ফসল কাটার পরবর্তী মৌসুম, গ) শীতকালীন ফসল কাটা, ঘ) প্রাক-বর্ষা মাছ ধরার মৌসুম")</f>
        <v>ক) বর্ষা মৌসুমে রোপণ মৌসুম, খ) ফসল কাটার পরবর্তী মৌসুম, গ) শীতকালীন ফসল কাটা, ঘ) প্রাক-বর্ষা মাছ ধরার মৌসুম</v>
      </c>
      <c r="M83" s="10" t="str">
        <f>IFERROR(__xludf.DUMMYFUNCTION("GOOGLETRANSLATE(D83, ""en"", ""bn"")"),"খ) ফসল কাটার পরবর্তী মৌসুম")</f>
        <v>খ) ফসল কাটার পরবর্তী মৌসুম</v>
      </c>
      <c r="N83" s="10" t="str">
        <f>IFERROR(__xludf.DUMMYFUNCTION("GOOGLETRANSLATE(E83, ""en"", ""bn"")"),"ঐতিহ্যগতভাবে বর্ষা মৌসুমের ফসল কাটার পরে যখন গ্রামবাসীরা উদযাপনের জন্য আরও অবসর সময় পেত, তখন দৌড় প্রতিযোগিতা অনুষ্ঠিত হত।")</f>
        <v>ঐতিহ্যগতভাবে বর্ষা মৌসুমের ফসল কাটার পরে যখন গ্রামবাসীরা উদযাপনের জন্য আরও অবসর সময় পেত, তখন দৌড় প্রতিযোগিতা অনুষ্ঠিত হত।</v>
      </c>
    </row>
    <row r="84">
      <c r="A84" s="7">
        <v>83.0</v>
      </c>
      <c r="B84" s="7" t="s">
        <v>2833</v>
      </c>
      <c r="C84" s="7" t="s">
        <v>2834</v>
      </c>
      <c r="D84" s="7" t="s">
        <v>2835</v>
      </c>
      <c r="E84" s="7" t="s">
        <v>2836</v>
      </c>
      <c r="J84" s="10" t="str">
        <f>IFERROR(__xludf.DUMMYFUNCTION("GOOGLETRANSLATE(A84, ""en"", ""bn"")"),"৮৩")</f>
        <v>৮৩</v>
      </c>
      <c r="K84" s="10" t="str">
        <f>IFERROR(__xludf.DUMMYFUNCTION("GOOGLETRANSLATE(B84, ""en"", ""bn"")"),"মুসলিম এবং হিন্দু উভয়ের স্থানীয় ধর্মীয় রীতিনীতি কীভাবে নৌকা বাইচের আশেপাশের আচার-অনুষ্ঠানগুলিকে প্রভাবিত করেছিল?")</f>
        <v>মুসলিম এবং হিন্দু উভয়ের স্থানীয় ধর্মীয় রীতিনীতি কীভাবে নৌকা বাইচের আশেপাশের আচার-অনুষ্ঠানগুলিকে প্রভাবিত করেছিল?</v>
      </c>
      <c r="L84" s="10" t="str">
        <f>IFERROR(__xludf.DUMMYFUNCTION("GOOGLETRANSLATE(C84, ""en"", ""bn"")"),"ক) তারা খেলাধুলা নিষিদ্ধ করেছিল, খ) তারা দৌড়-পূর্ব প্রার্থনা এবং অনুষ্ঠান চালু করেছিল, গ) তাদের কোনও প্রভাব ছিল না, ঘ) তারা আর্থিক সহায়তা প্রদান করেছিল")</f>
        <v>ক) তারা খেলাধুলা নিষিদ্ধ করেছিল, খ) তারা দৌড়-পূর্ব প্রার্থনা এবং অনুষ্ঠান চালু করেছিল, গ) তাদের কোনও প্রভাব ছিল না, ঘ) তারা আর্থিক সহায়তা প্রদান করেছিল</v>
      </c>
      <c r="M84" s="10" t="str">
        <f>IFERROR(__xludf.DUMMYFUNCTION("GOOGLETRANSLATE(D84, ""en"", ""bn"")"),"খ) তারা জাতি-পূর্ব প্রার্থনা এবং অনুষ্ঠান চালু করেছিল")</f>
        <v>খ) তারা জাতি-পূর্ব প্রার্থনা এবং অনুষ্ঠান চালু করেছিল</v>
      </c>
      <c r="N84" s="10" t="str">
        <f>IFERROR(__xludf.DUMMYFUNCTION("GOOGLETRANSLATE(E84, ""en"", ""bn"")"),"উভয় সম্প্রদায়ই প্রতিযোগিতার আগে তাদের নিজ নিজ দেবতাদের কাছ থেকে আশীর্বাদ নেওয়ার জন্য একটি নিরাপদ এবং সফল অনুষ্ঠানের জন্য আচার-অনুষ্ঠান এবং প্রার্থনা চালু করেছিল।")</f>
        <v>উভয় সম্প্রদায়ই প্রতিযোগিতার আগে তাদের নিজ নিজ দেবতাদের কাছ থেকে আশীর্বাদ নেওয়ার জন্য একটি নিরাপদ এবং সফল অনুষ্ঠানের জন্য আচার-অনুষ্ঠান এবং প্রার্থনা চালু করেছিল।</v>
      </c>
    </row>
    <row r="85">
      <c r="A85" s="7">
        <v>84.0</v>
      </c>
      <c r="B85" s="7" t="s">
        <v>2837</v>
      </c>
      <c r="C85" s="7" t="s">
        <v>2838</v>
      </c>
      <c r="D85" s="7" t="s">
        <v>2839</v>
      </c>
      <c r="E85" s="7" t="s">
        <v>2840</v>
      </c>
      <c r="J85" s="10" t="str">
        <f>IFERROR(__xludf.DUMMYFUNCTION("GOOGLETRANSLATE(A85, ""en"", ""bn"")"),"৮৪")</f>
        <v>৮৪</v>
      </c>
      <c r="K85" s="10" t="str">
        <f>IFERROR(__xludf.DUMMYFUNCTION("GOOGLETRANSLATE(B85, ""en"", ""bn"")"),"নৌকা বাইচে ব্যবহৃত নৌকার নকশার বৈচিত্র্যের পেছনে কোন ঐতিহাসিক কারণ অবদান রেখেছিল?")</f>
        <v>নৌকা বাইচে ব্যবহৃত নৌকার নকশার বৈচিত্র্যের পেছনে কোন ঐতিহাসিক কারণ অবদান রেখেছিল?</v>
      </c>
      <c r="L85" s="10" t="str">
        <f>IFERROR(__xludf.DUMMYFUNCTION("GOOGLETRANSLATE(C85, ""en"", ""bn"")"),"ক) বিদেশী প্রভাব, খ) আঞ্চলিক বিশেষীকরণ, গ) ধর্মীয় প্রয়োজনীয়তা, ঘ) সামরিক প্রয়োজন")</f>
        <v>ক) বিদেশী প্রভাব, খ) আঞ্চলিক বিশেষীকরণ, গ) ধর্মীয় প্রয়োজনীয়তা, ঘ) সামরিক প্রয়োজন</v>
      </c>
      <c r="M85" s="10" t="str">
        <f>IFERROR(__xludf.DUMMYFUNCTION("GOOGLETRANSLATE(D85, ""en"", ""bn"")"),"খ) আঞ্চলিক বিশেষীকরণ")</f>
        <v>খ) আঞ্চলিক বিশেষীকরণ</v>
      </c>
      <c r="N85" s="10" t="str">
        <f>IFERROR(__xludf.DUMMYFUNCTION("GOOGLETRANSLATE(E85, ""en"", ""bn"")"),"বিভিন্ন অঞ্চল স্থানীয় নদীর অবস্থা এবং ঐতিহ্যের উপর ভিত্তি করে অনন্য নৌকা নকশা তৈরি করেছে, যার ফলে বিস্তৃত বৈচিত্র্য এসেছে।")</f>
        <v>বিভিন্ন অঞ্চল স্থানীয় নদীর অবস্থা এবং ঐতিহ্যের উপর ভিত্তি করে অনন্য নৌকা নকশা তৈরি করেছে, যার ফলে বিস্তৃত বৈচিত্র্য এসেছে।</v>
      </c>
    </row>
    <row r="86">
      <c r="A86" s="7">
        <v>85.0</v>
      </c>
      <c r="B86" s="7" t="s">
        <v>2841</v>
      </c>
      <c r="C86" s="7" t="s">
        <v>2842</v>
      </c>
      <c r="D86" s="7" t="s">
        <v>1710</v>
      </c>
      <c r="E86" s="7" t="s">
        <v>2843</v>
      </c>
      <c r="J86" s="10" t="str">
        <f>IFERROR(__xludf.DUMMYFUNCTION("GOOGLETRANSLATE(A86, ""en"", ""bn"")"),"৮৫")</f>
        <v>৮৫</v>
      </c>
      <c r="K86" s="10" t="str">
        <f>IFERROR(__xludf.DUMMYFUNCTION("GOOGLETRANSLATE(B86, ""en"", ""bn"")"),"বিংশ শতাব্দীর কোন ঐতিহাসিক ঘটনা জাতীয় পরিচয়ের প্রতীক হিসেবে নৌকা বাইচের পুনরুত্থানের দিকে পরিচালিত করেছিল?")</f>
        <v>বিংশ শতাব্দীর কোন ঐতিহাসিক ঘটনা জাতীয় পরিচয়ের প্রতীক হিসেবে নৌকা বাইচের পুনরুত্থানের দিকে পরিচালিত করেছিল?</v>
      </c>
      <c r="L86" s="10" t="str">
        <f>IFERROR(__xludf.DUMMYFUNCTION("GOOGLETRANSLATE(C86, ""en"", ""bn"")"),"ক) ১৯৫২ সালের ভাষা আন্দোলন, খ) ১৯৭১ সালের মুক্তিযুদ্ধ, গ) ১৯৭০ সালের ঘূর্ণিঝড়, ঘ) ১৯৮৮ সালের বন্যা")</f>
        <v>ক) ১৯৫২ সালের ভাষা আন্দোলন, খ) ১৯৭১ সালের মুক্তিযুদ্ধ, গ) ১৯৭০ সালের ঘূর্ণিঝড়, ঘ) ১৯৮৮ সালের বন্যা</v>
      </c>
      <c r="M86" s="10" t="str">
        <f>IFERROR(__xludf.DUMMYFUNCTION("GOOGLETRANSLATE(D86, ""en"", ""bn"")"),"খ) ১৯৭১ সালের মুক্তিযুদ্ধ")</f>
        <v>খ) ১৯৭১ সালের মুক্তিযুদ্ধ</v>
      </c>
      <c r="N86" s="10" t="str">
        <f>IFERROR(__xludf.DUMMYFUNCTION("GOOGLETRANSLATE(E86, ""en"", ""bn"")"),"যুদ্ধের পর, নৌকা বাইচকে পুনরুজ্জীবিত করা হয় এবং বাঙালি সংস্কৃতি এবং জাতীয় ঐতিহ্যের প্রতীক হিসেবে প্রচার করা হয়।")</f>
        <v>যুদ্ধের পর, নৌকা বাইচকে পুনরুজ্জীবিত করা হয় এবং বাঙালি সংস্কৃতি এবং জাতীয় ঐতিহ্যের প্রতীক হিসেবে প্রচার করা হয়।</v>
      </c>
    </row>
    <row r="87">
      <c r="A87" s="7">
        <v>86.0</v>
      </c>
      <c r="B87" s="7" t="s">
        <v>2844</v>
      </c>
      <c r="C87" s="7" t="s">
        <v>2845</v>
      </c>
      <c r="D87" s="7" t="s">
        <v>2846</v>
      </c>
      <c r="E87" s="7" t="s">
        <v>2847</v>
      </c>
      <c r="J87" s="10" t="str">
        <f>IFERROR(__xludf.DUMMYFUNCTION("GOOGLETRANSLATE(A87, ""en"", ""bn"")"),"৮৬")</f>
        <v>৮৬</v>
      </c>
      <c r="K87" s="10" t="str">
        <f>IFERROR(__xludf.DUMMYFUNCTION("GOOGLETRANSLATE(B87, ""en"", ""bn"")"),"'আরিচা-কাজিরহাট' নৌকা বাইচ রুটের ঐতিহাসিক তাৎপর্য কী ছিল?")</f>
        <v>'আরিচা-কাজিরহাট' নৌকা বাইচ রুটের ঐতিহাসিক তাৎপর্য কী ছিল?</v>
      </c>
      <c r="L87" s="10" t="str">
        <f>IFERROR(__xludf.DUMMYFUNCTION("GOOGLETRANSLATE(C87, ""en"", ""bn"")"),"ক) এটি ছিল দীর্ঘতম পথ, খ) এটি ছিল একটি বাণিজ্য পথ, গ) এটি ছিল একটি গুরুত্বপূর্ণ সামরিক পথ, ঘ) এটি ছিল একটি তীর্থযাত্রা পথ")</f>
        <v>ক) এটি ছিল দীর্ঘতম পথ, খ) এটি ছিল একটি বাণিজ্য পথ, গ) এটি ছিল একটি গুরুত্বপূর্ণ সামরিক পথ, ঘ) এটি ছিল একটি তীর্থযাত্রা পথ</v>
      </c>
      <c r="M87" s="10" t="str">
        <f>IFERROR(__xludf.DUMMYFUNCTION("GOOGLETRANSLATE(D87, ""en"", ""bn"")"),"ক) এটি ছিল দীর্ঘতম পথ")</f>
        <v>ক) এটি ছিল দীর্ঘতম পথ</v>
      </c>
      <c r="N87" s="10" t="str">
        <f>IFERROR(__xludf.DUMMYFUNCTION("GOOGLETRANSLATE(E87, ""en"", ""bn"")"),"যমুনা নদীর এই বিখ্যাত পথটি ঐতিহাসিকভাবে সবচেয়ে চ্যালেঞ্জিং এবং দীর্ঘতম নৌকা বাইচ দৌড় প্রতিযোগিতার জন্য পরিচিত ছিল।")</f>
        <v>যমুনা নদীর এই বিখ্যাত পথটি ঐতিহাসিকভাবে সবচেয়ে চ্যালেঞ্জিং এবং দীর্ঘতম নৌকা বাইচ দৌড় প্রতিযোগিতার জন্য পরিচিত ছিল।</v>
      </c>
    </row>
    <row r="88">
      <c r="A88" s="7">
        <v>87.0</v>
      </c>
      <c r="B88" s="7" t="s">
        <v>2848</v>
      </c>
      <c r="C88" s="7" t="s">
        <v>2849</v>
      </c>
      <c r="D88" s="7" t="s">
        <v>2850</v>
      </c>
      <c r="E88" s="7" t="s">
        <v>2851</v>
      </c>
      <c r="J88" s="10" t="str">
        <f>IFERROR(__xludf.DUMMYFUNCTION("GOOGLETRANSLATE(A88, ""en"", ""bn"")"),"৮৭")</f>
        <v>৮৭</v>
      </c>
      <c r="K88" s="10" t="str">
        <f>IFERROR(__xludf.DUMMYFUNCTION("GOOGLETRANSLATE(B88, ""en"", ""bn"")"),"নৌকায় একজন 'সর্দার' (নেতা) থাকার ঐতিহ্য কোন সামাজিক কাঠামোর ঐতিহাসিক প্রতিফলন?")</f>
        <v>নৌকায় একজন 'সর্দার' (নেতা) থাকার ঐতিহ্য কোন সামাজিক কাঠামোর ঐতিহাসিক প্রতিফলন?</v>
      </c>
      <c r="L88" s="10" t="str">
        <f>IFERROR(__xludf.DUMMYFUNCTION("GOOGLETRANSLATE(C88, ""en"", ""bn"")"),"ক) গ্রামের শ্রেণিবিন্যাস, খ) রাজদরবারের কাঠামো, গ) পারিবারিক নেতৃত্ব, ঘ) ধর্মীয় নেতৃত্ব")</f>
        <v>ক) গ্রামের শ্রেণিবিন্যাস, খ) রাজদরবারের কাঠামো, গ) পারিবারিক নেতৃত্ব, ঘ) ধর্মীয় নেতৃত্ব</v>
      </c>
      <c r="M88" s="10" t="str">
        <f>IFERROR(__xludf.DUMMYFUNCTION("GOOGLETRANSLATE(D88, ""en"", ""bn"")"),"ক) গ্রামের শ্রেণিবিন্যাস")</f>
        <v>ক) গ্রামের শ্রেণিবিন্যাস</v>
      </c>
      <c r="N88" s="10" t="str">
        <f>IFERROR(__xludf.DUMMYFUNCTION("GOOGLETRANSLATE(E88, ""en"", ""bn"")"),"সর্দার ঐতিহাসিকভাবে গ্রামের নেতা বা একটি নির্দিষ্ট সম্প্রদায়ের প্রতিনিধিত্ব করতেন, স্থানীয় গর্বের প্রদর্শনে তার দলকে নেতৃত্ব দিতেন।")</f>
        <v>সর্দার ঐতিহাসিকভাবে গ্রামের নেতা বা একটি নির্দিষ্ট সম্প্রদায়ের প্রতিনিধিত্ব করতেন, স্থানীয় গর্বের প্রদর্শনে তার দলকে নেতৃত্ব দিতেন।</v>
      </c>
    </row>
    <row r="89">
      <c r="A89" s="7">
        <v>88.0</v>
      </c>
      <c r="B89" s="7" t="s">
        <v>2852</v>
      </c>
      <c r="C89" s="7" t="s">
        <v>2853</v>
      </c>
      <c r="D89" s="7" t="s">
        <v>2854</v>
      </c>
      <c r="E89" s="7" t="s">
        <v>2855</v>
      </c>
      <c r="J89" s="10" t="str">
        <f>IFERROR(__xludf.DUMMYFUNCTION("GOOGLETRANSLATE(A89, ""en"", ""bn"")"),"৮৮")</f>
        <v>৮৮</v>
      </c>
      <c r="K89" s="10" t="str">
        <f>IFERROR(__xludf.DUMMYFUNCTION("GOOGLETRANSLATE(B89, ""en"", ""bn"")"),"কোন ঐতিহ্যবাহী বাঙালি উৎসব প্রায়শই নৌকা বাইচের সাথে মিলে যায়, যা একটি উৎসবমুখর পরিবেশ তৈরি করে?")</f>
        <v>কোন ঐতিহ্যবাহী বাঙালি উৎসব প্রায়শই নৌকা বাইচের সাথে মিলে যায়, যা একটি উৎসবমুখর পরিবেশ তৈরি করে?</v>
      </c>
      <c r="L89" s="10" t="str">
        <f>IFERROR(__xludf.DUMMYFUNCTION("GOOGLETRANSLATE(C89, ""en"", ""bn"")"),"A) ঈদুল আজহা, B) দুর্গাপূজা, C) পহেলা বৈশাখ, D) রথযাত্রা")</f>
        <v>A) ঈদুল আজহা, B) দুর্গাপূজা, C) পহেলা বৈশাখ, D) রথযাত্রা</v>
      </c>
      <c r="M89" s="10" t="str">
        <f>IFERROR(__xludf.DUMMYFUNCTION("GOOGLETRANSLATE(D89, ""en"", ""bn"")"),"গ) পহেলা বৈশাখ")</f>
        <v>গ) পহেলা বৈশাখ</v>
      </c>
      <c r="N89" s="10" t="str">
        <f>IFERROR(__xludf.DUMMYFUNCTION("GOOGLETRANSLATE(E89, ""en"", ""bn"")"),"বাংলা নববর্ষ, পহেলা বৈশাখ, সারা দেশে নৌকা বাইচ অনুষ্ঠান আয়োজনের জন্য একটি জনপ্রিয় সময়।")</f>
        <v>বাংলা নববর্ষ, পহেলা বৈশাখ, সারা দেশে নৌকা বাইচ অনুষ্ঠান আয়োজনের জন্য একটি জনপ্রিয় সময়।</v>
      </c>
    </row>
    <row r="90">
      <c r="A90" s="7">
        <v>89.0</v>
      </c>
      <c r="B90" s="7" t="s">
        <v>2856</v>
      </c>
      <c r="C90" s="7" t="s">
        <v>2857</v>
      </c>
      <c r="D90" s="7" t="s">
        <v>2858</v>
      </c>
      <c r="E90" s="7" t="s">
        <v>2859</v>
      </c>
      <c r="J90" s="10" t="str">
        <f>IFERROR(__xludf.DUMMYFUNCTION("GOOGLETRANSLATE(A90, ""en"", ""bn"")"),"৮৯")</f>
        <v>৮৯</v>
      </c>
      <c r="K90" s="10" t="str">
        <f>IFERROR(__xludf.DUMMYFUNCTION("GOOGLETRANSLATE(B90, ""en"", ""bn"")"),"ঐতিহাসিকভাবে, নৌকা বাইচ জাতিগত প্রতিযোগিতার ফলাফল আন্তঃগ্রাম সম্পর্ককে কীভাবে প্রভাবিত করেছিল?")</f>
        <v>ঐতিহাসিকভাবে, নৌকা বাইচ জাতিগত প্রতিযোগিতার ফলাফল আন্তঃগ্রাম সম্পর্ককে কীভাবে প্রভাবিত করেছিল?</v>
      </c>
      <c r="L90" s="10" t="str">
        <f>IFERROR(__xludf.DUMMYFUNCTION("GOOGLETRANSLATE(C90, ""en"", ""bn"")"),"ক) এটি দ্বন্দ্ব সৃষ্টি করেছিল, খ) এটি ছিল মহান গর্ব এবং বন্ধুত্বপূর্ণ প্রতিদ্বন্দ্বিতার উৎস, গ) এটি বাণিজ্য চুক্তির দিকে পরিচালিত করেছিল, ঘ) এর কোনও প্রভাব ছিল না")</f>
        <v>ক) এটি দ্বন্দ্ব সৃষ্টি করেছিল, খ) এটি ছিল মহান গর্ব এবং বন্ধুত্বপূর্ণ প্রতিদ্বন্দ্বিতার উৎস, গ) এটি বাণিজ্য চুক্তির দিকে পরিচালিত করেছিল, ঘ) এর কোনও প্রভাব ছিল না</v>
      </c>
      <c r="M90" s="10" t="str">
        <f>IFERROR(__xludf.DUMMYFUNCTION("GOOGLETRANSLATE(D90, ""en"", ""bn"")"),"খ) এটি ছিল অত্যন্ত গর্ব এবং বন্ধুত্বপূর্ণ প্রতিদ্বন্দ্বিতার উৎস।")</f>
        <v>খ) এটি ছিল অত্যন্ত গর্ব এবং বন্ধুত্বপূর্ণ প্রতিদ্বন্দ্বিতার উৎস।</v>
      </c>
      <c r="N90" s="10" t="str">
        <f>IFERROR(__xludf.DUMMYFUNCTION("GOOGLETRANSLATE(E90, ""en"", ""bn"")"),"এই দৌড়গুলি স্থানীয় গর্বের অনুভূতি এবং গ্রাম ও সম্প্রদায়ের মধ্যে বন্ধুত্বপূর্ণ প্রতিযোগিতার অনুভূতি তৈরি করেছিল।")</f>
        <v>এই দৌড়গুলি স্থানীয় গর্বের অনুভূতি এবং গ্রাম ও সম্প্রদায়ের মধ্যে বন্ধুত্বপূর্ণ প্রতিযোগিতার অনুভূতি তৈরি করেছিল।</v>
      </c>
    </row>
    <row r="91">
      <c r="A91" s="7">
        <v>90.0</v>
      </c>
      <c r="B91" s="7" t="s">
        <v>2860</v>
      </c>
      <c r="C91" s="7" t="s">
        <v>2861</v>
      </c>
      <c r="D91" s="7" t="s">
        <v>2862</v>
      </c>
      <c r="E91" s="7" t="s">
        <v>2863</v>
      </c>
      <c r="J91" s="10" t="str">
        <f>IFERROR(__xludf.DUMMYFUNCTION("GOOGLETRANSLATE(A91, ""en"", ""bn"")"),"৯০")</f>
        <v>৯০</v>
      </c>
      <c r="K91" s="10" t="str">
        <f>IFERROR(__xludf.DUMMYFUNCTION("GOOGLETRANSLATE(B91, ""en"", ""bn"")"),"দৌড় নৌকাগুলির কোন ঐতিহাসিক বৈশিষ্ট্যের কারণে তাদের দৈর্ঘ্য সত্ত্বেও সহজেই চালানো যেত?")</f>
        <v>দৌড় নৌকাগুলির কোন ঐতিহাসিক বৈশিষ্ট্যের কারণে তাদের দৈর্ঘ্য সত্ত্বেও সহজেই চালানো যেত?</v>
      </c>
      <c r="L91" s="10" t="str">
        <f>IFERROR(__xludf.DUMMYFUNCTION("GOOGLETRANSLATE(C91, ""en"", ""bn"")"),"ক) একটি গভীর তল, খ) একটি ছোট হাল, গ) পিছনের দিকে একটি দীর্ঘ, নমনীয় দাঁড়, ঘ) একটি ছোট পাল")</f>
        <v>ক) একটি গভীর তল, খ) একটি ছোট হাল, গ) পিছনের দিকে একটি দীর্ঘ, নমনীয় দাঁড়, ঘ) একটি ছোট পাল</v>
      </c>
      <c r="M91" s="10" t="str">
        <f>IFERROR(__xludf.DUMMYFUNCTION("GOOGLETRANSLATE(D91, ""en"", ""bn"")"),"গ) জাহাজের পিছনে একটি লম্বা, নমনীয় দাঁড়")</f>
        <v>গ) জাহাজের পিছনে একটি লম্বা, নমনীয় দাঁড়</v>
      </c>
      <c r="N91" s="10" t="str">
        <f>IFERROR(__xludf.DUMMYFUNCTION("GOOGLETRANSLATE(E91, ""en"", ""bn"")"),"লম্বা, সরু নৌকাটি পরিচালনা করার জন্য একজন নিবেদিতপ্রাণ নৌকাচালক নৌকার পিছনের দিকে একটি লম্বা, নমনীয় দাঁড় বা প্যাডেল ব্যবহার করতেন।")</f>
        <v>লম্বা, সরু নৌকাটি পরিচালনা করার জন্য একজন নিবেদিতপ্রাণ নৌকাচালক নৌকার পিছনের দিকে একটি লম্বা, নমনীয় দাঁড় বা প্যাডেল ব্যবহার করতেন।</v>
      </c>
    </row>
    <row r="92">
      <c r="A92" s="7">
        <v>91.0</v>
      </c>
      <c r="B92" s="7" t="s">
        <v>2864</v>
      </c>
      <c r="C92" s="7" t="s">
        <v>2865</v>
      </c>
      <c r="D92" s="7" t="s">
        <v>2866</v>
      </c>
      <c r="E92" s="7" t="s">
        <v>2867</v>
      </c>
      <c r="J92" s="10" t="str">
        <f>IFERROR(__xludf.DUMMYFUNCTION("GOOGLETRANSLATE(A92, ""en"", ""bn"")"),"৯১")</f>
        <v>৯১</v>
      </c>
      <c r="K92" s="10" t="str">
        <f>IFERROR(__xludf.DUMMYFUNCTION("GOOGLETRANSLATE(B92, ""en"", ""bn"")"),"ঐতিহাসিক যুগ থেকে আধুনিক যুগে নৌকা বাইচে নারীর ভূমিকা কীভাবে পরিবর্তিত হয়েছে?")</f>
        <v>ঐতিহাসিক যুগ থেকে আধুনিক যুগে নৌকা বাইচে নারীর ভূমিকা কীভাবে পরিবর্তিত হয়েছে?</v>
      </c>
      <c r="L92" s="10" t="str">
        <f>IFERROR(__xludf.DUMMYFUNCTION("GOOGLETRANSLATE(C92, ""en"", ""bn"")"),"ক) তারা সবসময় অংশগ্রহণকারী ছিল, খ) তারা এখন কিছু দৌড়ে অংশগ্রহণের অনুমতি পেয়েছে, গ) তারা প্রধান সংগঠক, ঘ) তাদের ভূমিকা পরিবর্তিত হয়নি")</f>
        <v>ক) তারা সবসময় অংশগ্রহণকারী ছিল, খ) তারা এখন কিছু দৌড়ে অংশগ্রহণের অনুমতি পেয়েছে, গ) তারা প্রধান সংগঠক, ঘ) তাদের ভূমিকা পরিবর্তিত হয়নি</v>
      </c>
      <c r="M92" s="10" t="str">
        <f>IFERROR(__xludf.DUMMYFUNCTION("GOOGLETRANSLATE(D92, ""en"", ""bn"")"),"খ) তারা এখন কিছু দৌড়ে অংশগ্রহণের অনুমতি পেয়েছে")</f>
        <v>খ) তারা এখন কিছু দৌড়ে অংশগ্রহণের অনুমতি পেয়েছে</v>
      </c>
      <c r="N92" s="10" t="str">
        <f>IFERROR(__xludf.DUMMYFUNCTION("GOOGLETRANSLATE(E92, ""en"", ""bn"")"),"ঐতিহাসিকভাবে এটি সম্পূর্ণ পুরুষদের খেলা হলেও, কিছু আধুনিক, অপ্রচলিত দৌড় এবং ইভেন্টে এখন মহিলা অংশগ্রহণকারীরাও অংশগ্রহণ করেন।")</f>
        <v>ঐতিহাসিকভাবে এটি সম্পূর্ণ পুরুষদের খেলা হলেও, কিছু আধুনিক, অপ্রচলিত দৌড় এবং ইভেন্টে এখন মহিলা অংশগ্রহণকারীরাও অংশগ্রহণ করেন।</v>
      </c>
    </row>
    <row r="93">
      <c r="A93" s="7">
        <v>92.0</v>
      </c>
      <c r="B93" s="7" t="s">
        <v>2868</v>
      </c>
      <c r="C93" s="7" t="s">
        <v>2869</v>
      </c>
      <c r="D93" s="7" t="s">
        <v>2870</v>
      </c>
      <c r="E93" s="7" t="s">
        <v>2871</v>
      </c>
      <c r="J93" s="10" t="str">
        <f>IFERROR(__xludf.DUMMYFUNCTION("GOOGLETRANSLATE(A93, ""en"", ""bn"")"),"৯২")</f>
        <v>৯২</v>
      </c>
      <c r="K93" s="10" t="str">
        <f>IFERROR(__xludf.DUMMYFUNCTION("GOOGLETRANSLATE(B93, ""en"", ""bn"")"),"বর্ষাকালে 'নৌকা বাইচ' অনুষ্ঠিত হওয়ার ঐতিহাসিক ঐতিহ্য কোন বাস্তব কারণের সাথে জড়িত?")</f>
        <v>বর্ষাকালে 'নৌকা বাইচ' অনুষ্ঠিত হওয়ার ঐতিহাসিক ঐতিহ্য কোন বাস্তব কারণের সাথে জড়িত?</v>
      </c>
      <c r="L93" s="10" t="str">
        <f>IFERROR(__xludf.DUMMYFUNCTION("GOOGLETRANSLATE(C93, ""en"", ""bn"")"),"ক) সময়টা ছিল ঠান্ডা, খ) নদীগুলি তাদের সর্বোচ্চ গভীরতায় ছিল, গ) এটি একটি ধর্মীয় বাধ্যবাধকতা ছিল, ঘ) নৌকাগুলি মাছ ধরার জন্য ব্যবহার করা হত না")</f>
        <v>ক) সময়টা ছিল ঠান্ডা, খ) নদীগুলি তাদের সর্বোচ্চ গভীরতায় ছিল, গ) এটি একটি ধর্মীয় বাধ্যবাধকতা ছিল, ঘ) নৌকাগুলি মাছ ধরার জন্য ব্যবহার করা হত না</v>
      </c>
      <c r="M93" s="10" t="str">
        <f>IFERROR(__xludf.DUMMYFUNCTION("GOOGLETRANSLATE(D93, ""en"", ""bn"")"),"খ) নদীগুলি তাদের সর্বোচ্চ গভীরতায় ছিল")</f>
        <v>খ) নদীগুলি তাদের সর্বোচ্চ গভীরতায় ছিল</v>
      </c>
      <c r="N93" s="10" t="str">
        <f>IFERROR(__xludf.DUMMYFUNCTION("GOOGLETRANSLATE(E93, ""en"", ""bn"")"),"ভরা নদীগুলো লম্বা নৌকাগুলোকে আটকে না গিয়ে দৌড়ানোর জন্য যথেষ্ট গভীরতা এবং জায়গা দিয়েছিল।")</f>
        <v>ভরা নদীগুলো লম্বা নৌকাগুলোকে আটকে না গিয়ে দৌড়ানোর জন্য যথেষ্ট গভীরতা এবং জায়গা দিয়েছিল।</v>
      </c>
    </row>
    <row r="94">
      <c r="A94" s="7">
        <v>93.0</v>
      </c>
      <c r="B94" s="7" t="s">
        <v>2872</v>
      </c>
      <c r="C94" s="7" t="s">
        <v>2873</v>
      </c>
      <c r="D94" s="7" t="s">
        <v>2874</v>
      </c>
      <c r="E94" s="7" t="s">
        <v>2875</v>
      </c>
      <c r="J94" s="10" t="str">
        <f>IFERROR(__xludf.DUMMYFUNCTION("GOOGLETRANSLATE(A94, ""en"", ""bn"")"),"৯৩")</f>
        <v>৯৩</v>
      </c>
      <c r="K94" s="10" t="str">
        <f>IFERROR(__xludf.DUMMYFUNCTION("GOOGLETRANSLATE(B94, ""en"", ""bn"")"),"নৌকা নির্মাণে কোন ঐতিহাসিক পরিবর্তনের ফলে আজ নৌকাগুলি হালকা এবং দ্রুততর হয়েছে?")</f>
        <v>নৌকা নির্মাণে কোন ঐতিহাসিক পরিবর্তনের ফলে আজ নৌকাগুলি হালকা এবং দ্রুততর হয়েছে?</v>
      </c>
      <c r="L94" s="10" t="str">
        <f>IFERROR(__xludf.DUMMYFUNCTION("GOOGLETRANSLATE(C94, ""en"", ""bn"")"),"ক) কৃত্রিম উপকরণের ব্যবহার, খ) হালকা কাঠের ব্যবহার, গ) সাজসজ্জা অপসারণ, ঘ) আধুনিক সরঞ্জামের ব্যবহার")</f>
        <v>ক) কৃত্রিম উপকরণের ব্যবহার, খ) হালকা কাঠের ব্যবহার, গ) সাজসজ্জা অপসারণ, ঘ) আধুনিক সরঞ্জামের ব্যবহার</v>
      </c>
      <c r="M94" s="10" t="str">
        <f>IFERROR(__xludf.DUMMYFUNCTION("GOOGLETRANSLATE(D94, ""en"", ""bn"")"),"খ) হালকা কাঠের ব্যবহার")</f>
        <v>খ) হালকা কাঠের ব্যবহার</v>
      </c>
      <c r="N94" s="10" t="str">
        <f>IFERROR(__xludf.DUMMYFUNCTION("GOOGLETRANSLATE(E94, ""en"", ""bn"")"),"আধুনিক নৌকা নির্মাতারা কখনও কখনও ভারী, অলঙ্কৃত ঐতিহাসিক নকশা থেকে দূরে সরে গিয়ে গতি বাড়ানোর জন্য হালকা কাঠ এবং সুবিন্যস্ত নকশা ব্যবহার করে।")</f>
        <v>আধুনিক নৌকা নির্মাতারা কখনও কখনও ভারী, অলঙ্কৃত ঐতিহাসিক নকশা থেকে দূরে সরে গিয়ে গতি বাড়ানোর জন্য হালকা কাঠ এবং সুবিন্যস্ত নকশা ব্যবহার করে।</v>
      </c>
    </row>
    <row r="95">
      <c r="A95" s="7">
        <v>94.0</v>
      </c>
      <c r="B95" s="7" t="s">
        <v>2876</v>
      </c>
      <c r="C95" s="7" t="s">
        <v>2877</v>
      </c>
      <c r="D95" s="7" t="s">
        <v>2878</v>
      </c>
      <c r="E95" s="7" t="s">
        <v>2879</v>
      </c>
      <c r="J95" s="10" t="str">
        <f>IFERROR(__xludf.DUMMYFUNCTION("GOOGLETRANSLATE(A95, ""en"", ""bn"")"),"৯৪")</f>
        <v>৯৪</v>
      </c>
      <c r="K95" s="10" t="str">
        <f>IFERROR(__xludf.DUMMYFUNCTION("GOOGLETRANSLATE(B95, ""en"", ""bn"")"),"নৌকা বাইচ দৌড়ের সময় 'ঘাট' (ডক বা ব্যাংক) কী ঐতিহাসিক তাৎপর্য বহন করে?")</f>
        <v>নৌকা বাইচ দৌড়ের সময় 'ঘাট' (ডক বা ব্যাংক) কী ঐতিহাসিক তাৎপর্য বহন করে?</v>
      </c>
      <c r="L95" s="10" t="str">
        <f>IFERROR(__xludf.DUMMYFUNCTION("GOOGLETRANSLATE(C95, ""en"", ""bn"")"),"ক) এটি ছিল শুরুর বিন্দু, খ) এটি ছিল শেষ রেখা, গ) এটি ছিল প্রধান দর্শক এলাকা, ঘ) উপরের সবগুলো")</f>
        <v>ক) এটি ছিল শুরুর বিন্দু, খ) এটি ছিল শেষ রেখা, গ) এটি ছিল প্রধান দর্শক এলাকা, ঘ) উপরের সবগুলো</v>
      </c>
      <c r="M95" s="10" t="str">
        <f>IFERROR(__xludf.DUMMYFUNCTION("GOOGLETRANSLATE(D95, ""en"", ""bn"")"),"গ) এটি ছিল প্রধান দর্শক এলাকা")</f>
        <v>গ) এটি ছিল প্রধান দর্শক এলাকা</v>
      </c>
      <c r="N95" s="10" t="str">
        <f>IFERROR(__xludf.DUMMYFUNCTION("GOOGLETRANSLATE(E95, ""en"", ""bn"")"),"ঐতিহাসিকভাবে ঘাট এবং নদীর তীর হাজার হাজার দর্শকের জন্য প্রাথমিক দর্শনীয় স্থান হিসেবে কাজ করেছে।")</f>
        <v>ঐতিহাসিকভাবে ঘাট এবং নদীর তীর হাজার হাজার দর্শকের জন্য প্রাথমিক দর্শনীয় স্থান হিসেবে কাজ করেছে।</v>
      </c>
    </row>
    <row r="96">
      <c r="A96" s="7">
        <v>95.0</v>
      </c>
      <c r="B96" s="7" t="s">
        <v>2880</v>
      </c>
      <c r="C96" s="7" t="s">
        <v>2881</v>
      </c>
      <c r="D96" s="7" t="s">
        <v>2882</v>
      </c>
      <c r="E96" s="7" t="s">
        <v>2883</v>
      </c>
      <c r="J96" s="10" t="str">
        <f>IFERROR(__xludf.DUMMYFUNCTION("GOOGLETRANSLATE(A96, ""en"", ""bn"")"),"৯৫")</f>
        <v>৯৫</v>
      </c>
      <c r="K96" s="10" t="str">
        <f>IFERROR(__xludf.DUMMYFUNCTION("GOOGLETRANSLATE(B96, ""en"", ""bn"")"),"নৌকা বাইচে মোটরচালিত নৌকা প্রবর্তনের ঐতিহাসিক প্রভাব কী ছিল?")</f>
        <v>নৌকা বাইচে মোটরচালিত নৌকা প্রবর্তনের ঐতিহাসিক প্রভাব কী ছিল?</v>
      </c>
      <c r="L96" s="10" t="str">
        <f>IFERROR(__xludf.DUMMYFUNCTION("GOOGLETRANSLATE(C96, ""en"", ""bn"")"),"ক) এটি ঐতিহ্যবাহী খেলাধুলাকে প্রতিস্থাপন করেছিল, খ) এর ফলে খেলাধুলায় কিছুটা পতন ঘটেছিল, গ) এর কোনও প্রভাব পড়েনি, ঘ) এটি দৌড়ের একটি নতুন রূপের সূচনা করেছিল")</f>
        <v>ক) এটি ঐতিহ্যবাহী খেলাধুলাকে প্রতিস্থাপন করেছিল, খ) এর ফলে খেলাধুলায় কিছুটা পতন ঘটেছিল, গ) এর কোনও প্রভাব পড়েনি, ঘ) এটি দৌড়ের একটি নতুন রূপের সূচনা করেছিল</v>
      </c>
      <c r="M96" s="10" t="str">
        <f>IFERROR(__xludf.DUMMYFUNCTION("GOOGLETRANSLATE(D96, ""en"", ""bn"")"),"খ) এর ফলে খেলাধুলায় একটি সংক্ষিপ্ত পতন ঘটে")</f>
        <v>খ) এর ফলে খেলাধুলায় একটি সংক্ষিপ্ত পতন ঘটে</v>
      </c>
      <c r="N96" s="10" t="str">
        <f>IFERROR(__xludf.DUMMYFUNCTION("GOOGLETRANSLATE(E96, ""en"", ""bn"")"),"মোটরচালিত পরিবহনের উত্থানের ফলে ঐতিহ্যবাহী নৌকা বাইচ প্রতিযোগিতা সাময়িকভাবে হ্রাস পায় এবং পরবর্তীতে এটি একটি সাংস্কৃতিক অনুষ্ঠান হিসেবে পুনরুজ্জীবিত হয়।")</f>
        <v>মোটরচালিত পরিবহনের উত্থানের ফলে ঐতিহ্যবাহী নৌকা বাইচ প্রতিযোগিতা সাময়িকভাবে হ্রাস পায় এবং পরবর্তীতে এটি একটি সাংস্কৃতিক অনুষ্ঠান হিসেবে পুনরুজ্জীবিত হয়।</v>
      </c>
    </row>
    <row r="97">
      <c r="A97" s="7">
        <v>96.0</v>
      </c>
      <c r="B97" s="7" t="s">
        <v>2884</v>
      </c>
      <c r="C97" s="7" t="s">
        <v>2885</v>
      </c>
      <c r="D97" s="7" t="s">
        <v>2886</v>
      </c>
      <c r="E97" s="7" t="s">
        <v>2887</v>
      </c>
      <c r="J97" s="10" t="str">
        <f>IFERROR(__xludf.DUMMYFUNCTION("GOOGLETRANSLATE(A97, ""en"", ""bn"")"),"৯৬")</f>
        <v>৯৬</v>
      </c>
      <c r="K97" s="10" t="str">
        <f>IFERROR(__xludf.DUMMYFUNCTION("GOOGLETRANSLATE(B97, ""en"", ""bn"")"),"নির্দিষ্ট সংখ্যক রোয়ার ব্যবহারের ঐতিহ্যবাহী অনুশীলন কোন ঐতিহাসিক ধারণার সাথে সম্পর্কিত?")</f>
        <v>নির্দিষ্ট সংখ্যক রোয়ার ব্যবহারের ঐতিহ্যবাহী অনুশীলন কোন ঐতিহাসিক ধারণার সাথে সম্পর্কিত?</v>
      </c>
      <c r="L97" s="10" t="str">
        <f>IFERROR(__xludf.DUMMYFUNCTION("GOOGLETRANSLATE(C97, ""en"", ""bn"")"),"ক) গ্রামের সংখ্যা, খ) নৌকার দৈর্ঘ্য, গ) পরিবারের আকার, ঘ) দেবতাদের সংখ্যা")</f>
        <v>ক) গ্রামের সংখ্যা, খ) নৌকার দৈর্ঘ্য, গ) পরিবারের আকার, ঘ) দেবতাদের সংখ্যা</v>
      </c>
      <c r="M97" s="10" t="str">
        <f>IFERROR(__xludf.DUMMYFUNCTION("GOOGLETRANSLATE(D97, ""en"", ""bn"")"),"খ) নৌকার দৈর্ঘ্য")</f>
        <v>খ) নৌকার দৈর্ঘ্য</v>
      </c>
      <c r="N97" s="10" t="str">
        <f>IFERROR(__xludf.DUMMYFUNCTION("GOOGLETRANSLATE(E97, ""en"", ""bn"")"),"ঐতিহাসিকভাবে নৌকার দৈর্ঘ্যের উপর নির্ভর করে নৌকাচালকের সংখ্যা নির্ধারিত হত, দীর্ঘ নৌকাগুলিতে কার্যকর চালনার জন্য আরও নৌকাচালকের প্রয়োজন হত।")</f>
        <v>ঐতিহাসিকভাবে নৌকার দৈর্ঘ্যের উপর নির্ভর করে নৌকাচালকের সংখ্যা নির্ধারিত হত, দীর্ঘ নৌকাগুলিতে কার্যকর চালনার জন্য আরও নৌকাচালকের প্রয়োজন হত।</v>
      </c>
    </row>
    <row r="98">
      <c r="A98" s="7">
        <v>97.0</v>
      </c>
      <c r="B98" s="7" t="s">
        <v>2888</v>
      </c>
      <c r="C98" s="7" t="s">
        <v>2889</v>
      </c>
      <c r="D98" s="7" t="s">
        <v>2890</v>
      </c>
      <c r="E98" s="7" t="s">
        <v>2891</v>
      </c>
      <c r="J98" s="10" t="str">
        <f>IFERROR(__xludf.DUMMYFUNCTION("GOOGLETRANSLATE(A98, ""en"", ""bn"")"),"৯৭")</f>
        <v>৯৭</v>
      </c>
      <c r="K98" s="10" t="str">
        <f>IFERROR(__xludf.DUMMYFUNCTION("GOOGLETRANSLATE(B98, ""en"", ""bn"")"),"নৌকা বাইচের বিভিন্ন গ্রামের মধ্যে প্রতিদ্বন্দ্বিতার ঐতিহাসিক উৎস কী?")</f>
        <v>নৌকা বাইচের বিভিন্ন গ্রামের মধ্যে প্রতিদ্বন্দ্বিতার ঐতিহাসিক উৎস কী?</v>
      </c>
      <c r="L98" s="10" t="str">
        <f>IFERROR(__xludf.DUMMYFUNCTION("GOOGLETRANSLATE(C98, ""en"", ""bn"")"),"ক) অর্থনৈতিক প্রতিযোগিতা, খ) রাজনৈতিক পার্থক্য, গ) বন্ধুত্বপূর্ণ প্রতিযোগিতার ঐতিহ্য, ঘ) জমি বিরোধ")</f>
        <v>ক) অর্থনৈতিক প্রতিযোগিতা, খ) রাজনৈতিক পার্থক্য, গ) বন্ধুত্বপূর্ণ প্রতিযোগিতার ঐতিহ্য, ঘ) জমি বিরোধ</v>
      </c>
      <c r="M98" s="10" t="str">
        <f>IFERROR(__xludf.DUMMYFUNCTION("GOOGLETRANSLATE(D98, ""en"", ""bn"")"),"গ) বন্ধুত্বপূর্ণ প্রতিযোগিতার ঐতিহ্য")</f>
        <v>গ) বন্ধুত্বপূর্ণ প্রতিযোগিতার ঐতিহ্য</v>
      </c>
      <c r="N98" s="10" t="str">
        <f>IFERROR(__xludf.DUMMYFUNCTION("GOOGLETRANSLATE(E98, ""en"", ""bn"")"),"এই প্রতিদ্বন্দ্বিতা বন্ধুত্বপূর্ণ প্রতিযোগিতার একটি দীর্ঘ ঐতিহ্যের উপর ভিত্তি করে তৈরি, যেখানে গ্রামগুলি গর্ব করার অধিকার এবং স্থানীয় খ্যাতির জন্য প্রতিযোগিতা করবে।")</f>
        <v>এই প্রতিদ্বন্দ্বিতা বন্ধুত্বপূর্ণ প্রতিযোগিতার একটি দীর্ঘ ঐতিহ্যের উপর ভিত্তি করে তৈরি, যেখানে গ্রামগুলি গর্ব করার অধিকার এবং স্থানীয় খ্যাতির জন্য প্রতিযোগিতা করবে।</v>
      </c>
    </row>
    <row r="99">
      <c r="A99" s="7">
        <v>98.0</v>
      </c>
      <c r="B99" s="7" t="s">
        <v>2892</v>
      </c>
      <c r="C99" s="7" t="s">
        <v>2893</v>
      </c>
      <c r="D99" s="7" t="s">
        <v>2894</v>
      </c>
      <c r="E99" s="7" t="s">
        <v>2895</v>
      </c>
      <c r="J99" s="10" t="str">
        <f>IFERROR(__xludf.DUMMYFUNCTION("GOOGLETRANSLATE(A99, ""en"", ""bn"")"),"৯৮")</f>
        <v>৯৮</v>
      </c>
      <c r="K99" s="10" t="str">
        <f>IFERROR(__xludf.DUMMYFUNCTION("GOOGLETRANSLATE(B99, ""en"", ""bn"")"),"নৌকার মাঝখানে নেতার দাঁড়ানোর ঐতিহ্য কোন ঐতিহাসিক রীতিতে নিহিত?")</f>
        <v>নৌকার মাঝখানে নেতার দাঁড়ানোর ঐতিহ্য কোন ঐতিহাসিক রীতিতে নিহিত?</v>
      </c>
      <c r="L99" s="10" t="str">
        <f>IFERROR(__xludf.DUMMYFUNCTION("GOOGLETRANSLATE(C99, ""en"", ""bn"")"),"ক) নৌকার ভারসাম্য রক্ষা করা, খ) সকল নৌকাচালক যাতে দেখতে পান, গ) স্টিয়ারিং ওয়ারের কাছাকাছি থাকা, ঘ) জল থেকে সুরক্ষিত থাকা")</f>
        <v>ক) নৌকার ভারসাম্য রক্ষা করা, খ) সকল নৌকাচালক যাতে দেখতে পান, গ) স্টিয়ারিং ওয়ারের কাছাকাছি থাকা, ঘ) জল থেকে সুরক্ষিত থাকা</v>
      </c>
      <c r="M99" s="10" t="str">
        <f>IFERROR(__xludf.DUMMYFUNCTION("GOOGLETRANSLATE(D99, ""en"", ""bn"")"),"খ) সকল নৌকাচালকের দেখার জন্য")</f>
        <v>খ) সকল নৌকাচালকের দেখার জন্য</v>
      </c>
      <c r="N99" s="10" t="str">
        <f>IFERROR(__xludf.DUMMYFUNCTION("GOOGLETRANSLATE(E99, ""en"", ""bn"")"),"কেন্দ্রীয় অবস্থানটি সমস্ত রোয়ারদের দ্বারা নেতাকে দেখা এবং শোনার সুযোগ করে দেয়, যা সুসংগত রোয়িং নিশ্চিত করে।")</f>
        <v>কেন্দ্রীয় অবস্থানটি সমস্ত রোয়ারদের দ্বারা নেতাকে দেখা এবং শোনার সুযোগ করে দেয়, যা সুসংগত রোয়িং নিশ্চিত করে।</v>
      </c>
    </row>
    <row r="100">
      <c r="A100" s="7">
        <v>99.0</v>
      </c>
      <c r="B100" s="7" t="s">
        <v>2896</v>
      </c>
      <c r="C100" s="7" t="s">
        <v>2897</v>
      </c>
      <c r="D100" s="7" t="s">
        <v>2898</v>
      </c>
      <c r="E100" s="7" t="s">
        <v>2899</v>
      </c>
      <c r="J100" s="10" t="str">
        <f>IFERROR(__xludf.DUMMYFUNCTION("GOOGLETRANSLATE(A100, ""en"", ""bn"")"),"৯৯")</f>
        <v>৯৯</v>
      </c>
      <c r="K100" s="10" t="str">
        <f>IFERROR(__xludf.DUMMYFUNCTION("GOOGLETRANSLATE(B100, ""en"", ""bn"")"),"সজ্জিত নৌকাগুলিকে কখনও কখনও কোন ঐতিহাসিক নাম দেওয়া হত, যা তাদের উদ্দেশ্যকে নির্দেশ করে?")</f>
        <v>সজ্জিত নৌকাগুলিকে কখনও কখনও কোন ঐতিহাসিক নাম দেওয়া হত, যা তাদের উদ্দেশ্যকে নির্দেশ করে?</v>
      </c>
      <c r="L100" s="10" t="str">
        <f>IFERROR(__xludf.DUMMYFUNCTION("GOOGLETRANSLATE(C100, ""en"", ""bn"")"),"A) 'শোনার নৌকা' (সোনার নৌকা), B) 'ঢাকাই নৌকা' (ঢাকা নৌকা), C) 'জল পরী' (জলের পরী), D) 'সজানো নৌকা' (সজ্জিত নৌকা)")</f>
        <v>A) 'শোনার নৌকা' (সোনার নৌকা), B) 'ঢাকাই নৌকা' (ঢাকা নৌকা), C) 'জল পরী' (জলের পরী), D) 'সজানো নৌকা' (সজ্জিত নৌকা)</v>
      </c>
      <c r="M100" s="10" t="str">
        <f>IFERROR(__xludf.DUMMYFUNCTION("GOOGLETRANSLATE(D100, ""en"", ""bn"")"),"ক) 'শোনার নৌকা' (সোনার নৌকা)")</f>
        <v>ক) 'শোনার নৌকা' (সোনার নৌকা)</v>
      </c>
      <c r="N100" s="10" t="str">
        <f>IFERROR(__xludf.DUMMYFUNCTION("GOOGLETRANSLATE(E100, ""en"", ""bn"")"),"বিজয়ের সাথে জড়িত মূল্যবান পুরষ্কার এবং মর্যাদার কারণে বিজয়ী নৌকাটিকে কখনও কখনও 'শোনার নৌকা' বলা হত।")</f>
        <v>বিজয়ের সাথে জড়িত মূল্যবান পুরষ্কার এবং মর্যাদার কারণে বিজয়ী নৌকাটিকে কখনও কখনও 'শোনার নৌকা' বলা হত।</v>
      </c>
    </row>
    <row r="101">
      <c r="A101" s="7">
        <v>100.0</v>
      </c>
      <c r="B101" s="7" t="s">
        <v>2900</v>
      </c>
      <c r="C101" s="7" t="s">
        <v>2901</v>
      </c>
      <c r="D101" s="7" t="s">
        <v>2902</v>
      </c>
      <c r="E101" s="7" t="s">
        <v>2903</v>
      </c>
      <c r="J101" s="10" t="str">
        <f>IFERROR(__xludf.DUMMYFUNCTION("GOOGLETRANSLATE(A101, ""en"", ""bn"")"),"১০০")</f>
        <v>১০০</v>
      </c>
      <c r="K101" s="10" t="str">
        <f>IFERROR(__xludf.DUMMYFUNCTION("GOOGLETRANSLATE(B101, ""en"", ""bn"")"),"কোন ঐতিহাসিক নিদর্শন বা দলিল থেকে বাংলায় নৌকা বাইচের প্রাচীনতম উল্লেখ পাওয়া যায়?")</f>
        <v>কোন ঐতিহাসিক নিদর্শন বা দলিল থেকে বাংলায় নৌকা বাইচের প্রাচীনতম উল্লেখ পাওয়া যায়?</v>
      </c>
      <c r="L101" s="10" t="str">
        <f>IFERROR(__xludf.DUMMYFUNCTION("GOOGLETRANSLATE(C101, ""en"", ""bn"")"),"ক) ব্রিটিশ ভ্রমণকাহিনী, খ) মুঘল দরবারের নথি, গ) সংস্কৃত মহাকাব্য, ঘ) পর্তুগিজ পাণ্ডুলিপি")</f>
        <v>ক) ব্রিটিশ ভ্রমণকাহিনী, খ) মুঘল দরবারের নথি, গ) সংস্কৃত মহাকাব্য, ঘ) পর্তুগিজ পাণ্ডুলিপি</v>
      </c>
      <c r="M101" s="10" t="str">
        <f>IFERROR(__xludf.DUMMYFUNCTION("GOOGLETRANSLATE(D101, ""en"", ""bn"")"),"খ) মুঘল আদালতের রেকর্ড")</f>
        <v>খ) মুঘল আদালতের রেকর্ড</v>
      </c>
      <c r="N101" s="10" t="str">
        <f>IFERROR(__xludf.DUMMYFUNCTION("GOOGLETRANSLATE(E101, ""en"", ""bn"")"),"মুঘল রেকর্ড এবং চিত্রকর্মগুলি বাংলায় সংগঠিত নৌকা বাইচের প্রাচীনতম ঐতিহাসিক প্রমাণ প্রদান করে।")</f>
        <v>মুঘল রেকর্ড এবং চিত্রকর্মগুলি বাংলায় সংগঠিত নৌকা বাইচের প্রাচীনতম ঐতিহাসিক প্রমাণ প্রদান করে।</v>
      </c>
    </row>
    <row r="102">
      <c r="A102" s="7">
        <v>101.0</v>
      </c>
      <c r="B102" s="7" t="s">
        <v>2904</v>
      </c>
      <c r="C102" s="7" t="s">
        <v>2905</v>
      </c>
      <c r="D102" s="7" t="s">
        <v>2906</v>
      </c>
      <c r="E102" s="7" t="s">
        <v>2907</v>
      </c>
      <c r="J102" s="10" t="str">
        <f>IFERROR(__xludf.DUMMYFUNCTION("GOOGLETRANSLATE(A102, ""en"", ""bn"")"),"১০১")</f>
        <v>১০১</v>
      </c>
      <c r="K102" s="10" t="str">
        <f>IFERROR(__xludf.DUMMYFUNCTION("GOOGLETRANSLATE(B102, ""en"", ""bn"")"),"নৌকা বাইচে 'ধেও' বা 'তরঙ্গ' মন্ত্রের ঐতিহাসিক তাৎপর্য কী ছিল?")</f>
        <v>নৌকা বাইচে 'ধেও' বা 'তরঙ্গ' মন্ত্রের ঐতিহাসিক তাৎপর্য কী ছিল?</v>
      </c>
      <c r="L102" s="10" t="str">
        <f>IFERROR(__xludf.DUMMYFUNCTION("GOOGLETRANSLATE(C102, ""en"", ""bn"")"),"ক) নদীর দেবতাদের ডাকা, খ) প্রতিপক্ষদের ভয় দেখানো, গ) দৌড়ের শুরু বোঝানো, ঘ) নৌকা চালানোর গতি বৃদ্ধি করা")</f>
        <v>ক) নদীর দেবতাদের ডাকা, খ) প্রতিপক্ষদের ভয় দেখানো, গ) দৌড়ের শুরু বোঝানো, ঘ) নৌকা চালানোর গতি বৃদ্ধি করা</v>
      </c>
      <c r="M102" s="10" t="str">
        <f>IFERROR(__xludf.DUMMYFUNCTION("GOOGLETRANSLATE(D102, ""en"", ""bn"")"),"ঘ) নৌকা চালানোর গতি বাড়ানোর জন্য")</f>
        <v>ঘ) নৌকা চালানোর গতি বাড়ানোর জন্য</v>
      </c>
      <c r="N102" s="10" t="str">
        <f>IFERROR(__xludf.DUMMYFUNCTION("GOOGLETRANSLATE(E102, ""en"", ""bn"")"),"'ধেও' মন্ত্রটি গতির তীব্রতা নির্দেশ করার জন্য ব্যবহৃত হত, যেখানে নৌকা বাইচকারীরা একযোগে তাদের প্রচেষ্টা বৃদ্ধি করত।")</f>
        <v>'ধেও' মন্ত্রটি গতির তীব্রতা নির্দেশ করার জন্য ব্যবহৃত হত, যেখানে নৌকা বাইচকারীরা একযোগে তাদের প্রচেষ্টা বৃদ্ধি করত।</v>
      </c>
    </row>
    <row r="103">
      <c r="A103" s="7">
        <v>102.0</v>
      </c>
      <c r="B103" s="7" t="s">
        <v>2908</v>
      </c>
      <c r="C103" s="7" t="s">
        <v>2909</v>
      </c>
      <c r="D103" s="7" t="s">
        <v>2910</v>
      </c>
      <c r="E103" s="7" t="s">
        <v>2911</v>
      </c>
      <c r="J103" s="10" t="str">
        <f>IFERROR(__xludf.DUMMYFUNCTION("GOOGLETRANSLATE(A103, ""en"", ""bn"")"),"১০২")</f>
        <v>১০২</v>
      </c>
      <c r="K103" s="10" t="str">
        <f>IFERROR(__xludf.DUMMYFUNCTION("GOOGLETRANSLATE(B103, ""en"", ""bn"")"),"বাংলার নদীগুলিতে কোন ঐতিহাসিক পরিবর্তনের ফলে নৌকা বাইচ ঘোড়দৌড় আয়োজন আরও কঠিন হয়ে পড়েছে?")</f>
        <v>বাংলার নদীগুলিতে কোন ঐতিহাসিক পরিবর্তনের ফলে নৌকা বাইচ ঘোড়দৌড় আয়োজন আরও কঠিন হয়ে পড়েছে?</v>
      </c>
      <c r="L103" s="10" t="str">
        <f>IFERROR(__xludf.DUMMYFUNCTION("GOOGLETRANSLATE(C103, ""en"", ""bn"")"),"ক) দূষণ বৃদ্ধি, খ) পানির স্তর হ্রাস, গ) স্রোত বৃদ্ধি, ঘ) নৌকা চলাচল বৃদ্ধি")</f>
        <v>ক) দূষণ বৃদ্ধি, খ) পানির স্তর হ্রাস, গ) স্রোত বৃদ্ধি, ঘ) নৌকা চলাচল বৃদ্ধি</v>
      </c>
      <c r="M103" s="10" t="str">
        <f>IFERROR(__xludf.DUMMYFUNCTION("GOOGLETRANSLATE(D103, ""en"", ""bn"")"),"খ) পানির স্তর কমে যাওয়া")</f>
        <v>খ) পানির স্তর কমে যাওয়া</v>
      </c>
      <c r="N103" s="10" t="str">
        <f>IFERROR(__xludf.DUMMYFUNCTION("GOOGLETRANSLATE(E103, ""en"", ""bn"")"),"জলবায়ু পরিবর্তনের কারণে কিছু নদী শুকিয়ে যাওয়া এবং পানির স্তর কমে যাওয়ায় জাতিগুলির জন্য উপযুক্ত স্থানের সংখ্যা সীমিত হয়ে পড়েছে।")</f>
        <v>জলবায়ু পরিবর্তনের কারণে কিছু নদী শুকিয়ে যাওয়া এবং পানির স্তর কমে যাওয়ায় জাতিগুলির জন্য উপযুক্ত স্থানের সংখ্যা সীমিত হয়ে পড়েছে।</v>
      </c>
    </row>
    <row r="104">
      <c r="A104" s="7">
        <v>103.0</v>
      </c>
      <c r="B104" s="7" t="s">
        <v>2912</v>
      </c>
      <c r="C104" s="7" t="s">
        <v>2913</v>
      </c>
      <c r="D104" s="7" t="s">
        <v>2914</v>
      </c>
      <c r="E104" s="7" t="s">
        <v>2915</v>
      </c>
      <c r="J104" s="10" t="str">
        <f>IFERROR(__xludf.DUMMYFUNCTION("GOOGLETRANSLATE(A104, ""en"", ""bn"")"),"১০৩")</f>
        <v>১০৩</v>
      </c>
      <c r="K104" s="10" t="str">
        <f>IFERROR(__xludf.DUMMYFUNCTION("GOOGLETRANSLATE(B104, ""en"", ""bn"")"),"নৌকা বাইচ ঐতিহ্যে দর্শকদের ঐতিহাসিক ভূমিকা কী ছিল?")</f>
        <v>নৌকা বাইচ ঐতিহ্যে দর্শকদের ঐতিহাসিক ভূমিকা কী ছিল?</v>
      </c>
      <c r="L104" s="10" t="str">
        <f>IFERROR(__xludf.DUMMYFUNCTION("GOOGLETRANSLATE(C104, ""en"", ""bn"")"),"ক) তারা নিষ্ক্রিয় পর্যবেক্ষক ছিলেন, খ) তারা বিচারক ছিলেন, গ) তারা দলগুলিকে উৎসাহিত করার ক্ষেত্রে সক্রিয়ভাবে জড়িত ছিলেন, ঘ) তারা আর্থিক সহায়তা প্রদান করেছিলেন")</f>
        <v>ক) তারা নিষ্ক্রিয় পর্যবেক্ষক ছিলেন, খ) তারা বিচারক ছিলেন, গ) তারা দলগুলিকে উৎসাহিত করার ক্ষেত্রে সক্রিয়ভাবে জড়িত ছিলেন, ঘ) তারা আর্থিক সহায়তা প্রদান করেছিলেন</v>
      </c>
      <c r="M104" s="10" t="str">
        <f>IFERROR(__xludf.DUMMYFUNCTION("GOOGLETRANSLATE(D104, ""en"", ""bn"")"),"গ) তারা দলগুলিকে উৎসাহিত করার ক্ষেত্রে সক্রিয়ভাবে জড়িত ছিল")</f>
        <v>গ) তারা দলগুলিকে উৎসাহিত করার ক্ষেত্রে সক্রিয়ভাবে জড়িত ছিল</v>
      </c>
      <c r="N104" s="10" t="str">
        <f>IFERROR(__xludf.DUMMYFUNCTION("GOOGLETRANSLATE(E104, ""en"", ""bn"")"),"দর্শকরা উল্লাস, স্তোত্র এবং গান গেয়ে গুরুত্বপূর্ণ ভূমিকা পালন করেছিল, যা রোয়িং দলগুলিকে উল্লেখযোগ্যভাবে অনুপ্রাণিত করেছিল।")</f>
        <v>দর্শকরা উল্লাস, স্তোত্র এবং গান গেয়ে গুরুত্বপূর্ণ ভূমিকা পালন করেছিল, যা রোয়িং দলগুলিকে উল্লেখযোগ্যভাবে অনুপ্রাণিত করেছিল।</v>
      </c>
    </row>
    <row r="105">
      <c r="A105" s="7">
        <v>104.0</v>
      </c>
      <c r="B105" s="7" t="s">
        <v>2916</v>
      </c>
      <c r="C105" s="7" t="s">
        <v>2917</v>
      </c>
      <c r="D105" s="7" t="s">
        <v>2918</v>
      </c>
      <c r="E105" s="7" t="s">
        <v>2919</v>
      </c>
      <c r="J105" s="10" t="str">
        <f>IFERROR(__xludf.DUMMYFUNCTION("GOOGLETRANSLATE(A105, ""en"", ""bn"")"),"১০৪")</f>
        <v>১০৪</v>
      </c>
      <c r="K105" s="10" t="str">
        <f>IFERROR(__xludf.DUMMYFUNCTION("GOOGLETRANSLATE(B105, ""en"", ""bn"")"),"নৌকায় একটি বড় ড্রাম ব্যবহারের ঐতিহ্য কোন ঐতিহাসিক রীতি থেকে উদ্ভূত?")</f>
        <v>নৌকায় একটি বড় ড্রাম ব্যবহারের ঐতিহ্য কোন ঐতিহাসিক রীতি থেকে উদ্ভূত?</v>
      </c>
      <c r="L105" s="10" t="str">
        <f>IFERROR(__xludf.DUMMYFUNCTION("GOOGLETRANSLATE(C105, ""en"", ""bn"")"),"ক) একটি সামরিক সংকেত, খ) নৌকা চালানোর জন্য একটি ছন্দবদ্ধ নির্দেশিকা, গ) একটি ধর্মীয় প্রতীক, ঘ) একটি আলংকারিক উপাদান")</f>
        <v>ক) একটি সামরিক সংকেত, খ) নৌকা চালানোর জন্য একটি ছন্দবদ্ধ নির্দেশিকা, গ) একটি ধর্মীয় প্রতীক, ঘ) একটি আলংকারিক উপাদান</v>
      </c>
      <c r="M105" s="10" t="str">
        <f>IFERROR(__xludf.DUMMYFUNCTION("GOOGLETRANSLATE(D105, ""en"", ""bn"")"),"খ) রোয়িংয়ের জন্য একটি ছন্দবদ্ধ নির্দেশিকা")</f>
        <v>খ) রোয়িংয়ের জন্য একটি ছন্দবদ্ধ নির্দেশিকা</v>
      </c>
      <c r="N105" s="10" t="str">
        <f>IFERROR(__xludf.DUMMYFUNCTION("GOOGLETRANSLATE(E105, ""en"", ""bn"")"),"ঐতিহ্যগতভাবে, একটি ঢোল একটি স্থির ছন্দ প্রদানের জন্য ব্যবহৃত হত, যা নৌকা চালকদের তাদের নড়াচড়ার সমন্বয় সাধন করতে সাহায্য করত।")</f>
        <v>ঐতিহ্যগতভাবে, একটি ঢোল একটি স্থির ছন্দ প্রদানের জন্য ব্যবহৃত হত, যা নৌকা চালকদের তাদের নড়াচড়ার সমন্বয় সাধন করতে সাহায্য করত।</v>
      </c>
    </row>
    <row r="106">
      <c r="A106" s="7">
        <v>105.0</v>
      </c>
      <c r="B106" s="7" t="s">
        <v>2920</v>
      </c>
      <c r="C106" s="7" t="s">
        <v>2921</v>
      </c>
      <c r="D106" s="7" t="s">
        <v>2922</v>
      </c>
      <c r="E106" s="7" t="s">
        <v>2923</v>
      </c>
      <c r="J106" s="10" t="str">
        <f>IFERROR(__xludf.DUMMYFUNCTION("GOOGLETRANSLATE(A106, ""en"", ""bn"")"),"১০৫")</f>
        <v>১০৫</v>
      </c>
      <c r="K106" s="10" t="str">
        <f>IFERROR(__xludf.DUMMYFUNCTION("GOOGLETRANSLATE(B106, ""en"", ""bn"")"),"স্থানীয় অর্থনীতিতে কোন ঐতিহাসিক পরিবর্তন নৌকা বাইচের ঐতিহ্যবাহী পৃষ্ঠপোষকতাকে প্রভাবিত করেছে?")</f>
        <v>স্থানীয় অর্থনীতিতে কোন ঐতিহাসিক পরিবর্তন নৌকা বাইচের ঐতিহ্যবাহী পৃষ্ঠপোষকতাকে প্রভাবিত করেছে?</v>
      </c>
      <c r="L106" s="10" t="str">
        <f>IFERROR(__xludf.DUMMYFUNCTION("GOOGLETRANSLATE(C106, ""en"", ""bn"")"),"ক) জমিদার ব্যবস্থার পতন, খ) মৎস্য শিল্পের উত্থান, গ) কৃষির উত্থান, ঘ) বস্ত্র শিল্পের পতন")</f>
        <v>ক) জমিদার ব্যবস্থার পতন, খ) মৎস্য শিল্পের উত্থান, গ) কৃষির উত্থান, ঘ) বস্ত্র শিল্পের পতন</v>
      </c>
      <c r="M106" s="10" t="str">
        <f>IFERROR(__xludf.DUMMYFUNCTION("GOOGLETRANSLATE(D106, ""en"", ""bn"")"),"ক) জমিদার ব্যবস্থার পতন")</f>
        <v>ক) জমিদার ব্যবস্থার পতন</v>
      </c>
      <c r="N106" s="10" t="str">
        <f>IFERROR(__xludf.DUMMYFUNCTION("GOOGLETRANSLATE(E106, ""en"", ""bn"")"),"সামন্ততান্ত্রিক জমিদার ব্যবস্থার অবসানের ফলে জাতিগুলি এখন মূলত স্থানীয় ব্যবসা এবং সরকারি সংস্থাগুলির দ্বারা পৃষ্ঠপোষকতা পায়।")</f>
        <v>সামন্ততান্ত্রিক জমিদার ব্যবস্থার অবসানের ফলে জাতিগুলি এখন মূলত স্থানীয় ব্যবসা এবং সরকারি সংস্থাগুলির দ্বারা পৃষ্ঠপোষকতা পায়।</v>
      </c>
    </row>
    <row r="107">
      <c r="A107" s="7">
        <v>106.0</v>
      </c>
      <c r="B107" s="7" t="s">
        <v>2924</v>
      </c>
      <c r="C107" s="7" t="s">
        <v>2925</v>
      </c>
      <c r="D107" s="7" t="s">
        <v>2926</v>
      </c>
      <c r="E107" s="7" t="s">
        <v>2927</v>
      </c>
      <c r="J107" s="10" t="str">
        <f>IFERROR(__xludf.DUMMYFUNCTION("GOOGLETRANSLATE(A107, ""en"", ""bn"")"),"১০৬")</f>
        <v>১০৬</v>
      </c>
      <c r="K107" s="10" t="str">
        <f>IFERROR(__xludf.DUMMYFUNCTION("GOOGLETRANSLATE(B107, ""en"", ""bn"")"),"রেসিং বোটগুলির সংকীর্ণ নকশার মূল ঐতিহাসিক কারণ কী ছিল?")</f>
        <v>রেসিং বোটগুলির সংকীর্ণ নকশার মূল ঐতিহাসিক কারণ কী ছিল?</v>
      </c>
      <c r="L107" s="10" t="str">
        <f>IFERROR(__xludf.DUMMYFUNCTION("GOOGLETRANSLATE(C107, ""en"", ""bn"")"),"ক) ছোট নদীতে বসানো, খ) গতি বৃদ্ধি করা, গ) আরও বেশি লোক বহন করা, ঘ) আরও স্থিতিশীল হওয়া")</f>
        <v>ক) ছোট নদীতে বসানো, খ) গতি বৃদ্ধি করা, গ) আরও বেশি লোক বহন করা, ঘ) আরও স্থিতিশীল হওয়া</v>
      </c>
      <c r="M107" s="10" t="str">
        <f>IFERROR(__xludf.DUMMYFUNCTION("GOOGLETRANSLATE(D107, ""en"", ""bn"")"),"খ) গতি বৃদ্ধি করতে")</f>
        <v>খ) গতি বৃদ্ধি করতে</v>
      </c>
      <c r="N107" s="10" t="str">
        <f>IFERROR(__xludf.DUMMYFUNCTION("GOOGLETRANSLATE(E107, ""en"", ""bn"")"),"সরু, মসৃণ নকশাটি টান কমিয়ে দেয়, যার ফলে নৌকাগুলি উচ্চ গতিতে জলের মধ্য দিয়ে যেতে পারে।")</f>
        <v>সরু, মসৃণ নকশাটি টান কমিয়ে দেয়, যার ফলে নৌকাগুলি উচ্চ গতিতে জলের মধ্য দিয়ে যেতে পারে।</v>
      </c>
    </row>
    <row r="108">
      <c r="A108" s="7">
        <v>107.0</v>
      </c>
      <c r="B108" s="7" t="s">
        <v>2928</v>
      </c>
      <c r="C108" s="7" t="s">
        <v>2929</v>
      </c>
      <c r="D108" s="7" t="s">
        <v>2930</v>
      </c>
      <c r="E108" s="7" t="s">
        <v>2931</v>
      </c>
      <c r="J108" s="10" t="str">
        <f>IFERROR(__xludf.DUMMYFUNCTION("GOOGLETRANSLATE(A108, ""en"", ""bn"")"),"১০৭")</f>
        <v>১০৭</v>
      </c>
      <c r="K108" s="10" t="str">
        <f>IFERROR(__xludf.DUMMYFUNCTION("GOOGLETRANSLATE(B108, ""en"", ""bn"")"),"বিজয়ীকে ফুলের তৈরি মালা প্রদানের ঐতিহ্য কোন ঐতিহাসিক প্রতীক?")</f>
        <v>বিজয়ীকে ফুলের তৈরি মালা প্রদানের ঐতিহ্য কোন ঐতিহাসিক প্রতীক?</v>
      </c>
      <c r="L108" s="10" t="str">
        <f>IFERROR(__xludf.DUMMYFUNCTION("GOOGLETRANSLATE(C108, ""en"", ""bn"")"),"ক) ধর্মীয় উপহার, খ) সম্পদের প্রতীক, গ) সম্মান ও বিজয়ের প্রতীক, ঘ) শান্তির প্রতীক")</f>
        <v>ক) ধর্মীয় উপহার, খ) সম্পদের প্রতীক, গ) সম্মান ও বিজয়ের প্রতীক, ঘ) শান্তির প্রতীক</v>
      </c>
      <c r="M108" s="10" t="str">
        <f>IFERROR(__xludf.DUMMYFUNCTION("GOOGLETRANSLATE(D108, ""en"", ""bn"")"),"গ) সম্মান ও বিজয়ের প্রতীক")</f>
        <v>গ) সম্মান ও বিজয়ের প্রতীক</v>
      </c>
      <c r="N108" s="10" t="str">
        <f>IFERROR(__xludf.DUMMYFUNCTION("GOOGLETRANSLATE(E108, ""en"", ""bn"")"),"মালাটি সম্মানের একটি ঐতিহ্যবাহী প্রতীক, যা দলের জয় এবং বীরত্বের স্বীকৃতি দেয়।")</f>
        <v>মালাটি সম্মানের একটি ঐতিহ্যবাহী প্রতীক, যা দলের জয় এবং বীরত্বের স্বীকৃতি দেয়।</v>
      </c>
    </row>
    <row r="109">
      <c r="A109" s="7">
        <v>108.0</v>
      </c>
      <c r="B109" s="7" t="s">
        <v>2932</v>
      </c>
      <c r="C109" s="7" t="s">
        <v>2933</v>
      </c>
      <c r="D109" s="7" t="s">
        <v>2934</v>
      </c>
      <c r="E109" s="7" t="s">
        <v>2935</v>
      </c>
      <c r="J109" s="10" t="str">
        <f>IFERROR(__xludf.DUMMYFUNCTION("GOOGLETRANSLATE(A109, ""en"", ""bn"")"),"১০৮")</f>
        <v>১০৮</v>
      </c>
      <c r="K109" s="10" t="str">
        <f>IFERROR(__xludf.DUMMYFUNCTION("GOOGLETRANSLATE(B109, ""en"", ""bn"")"),"কোন ঐতিহাসিক যুগে বাংলা লোকশিল্প ও সাহিত্যে 'নৌকা বাইচ' একটি বিষয় হিসেবে জনপ্রিয়তা লাভ করে?")</f>
        <v>কোন ঐতিহাসিক যুগে বাংলা লোকশিল্প ও সাহিত্যে 'নৌকা বাইচ' একটি বিষয় হিসেবে জনপ্রিয়তা লাভ করে?</v>
      </c>
      <c r="L109" s="10" t="str">
        <f>IFERROR(__xludf.DUMMYFUNCTION("GOOGLETRANSLATE(C109, ""en"", ""bn"")"),"ক) ১৭ শতক, খ) ১৮ শতক, গ) ১৯ শতক, ঘ) ২০ শতক")</f>
        <v>ক) ১৭ শতক, খ) ১৮ শতক, গ) ১৯ শতক, ঘ) ২০ শতক</v>
      </c>
      <c r="M109" s="10" t="str">
        <f>IFERROR(__xludf.DUMMYFUNCTION("GOOGLETRANSLATE(D109, ""en"", ""bn"")"),"গ) ঊনবিংশ শতাব্দী")</f>
        <v>গ) ঊনবিংশ শতাব্দী</v>
      </c>
      <c r="N109" s="10" t="str">
        <f>IFERROR(__xludf.DUMMYFUNCTION("GOOGLETRANSLATE(E109, ""en"", ""bn"")"),"উনিশ শতক, যাকে প্রায়শই বাংলার নবজাগরণের যুগ হিসেবে বিবেচনা করা হয়, শিল্প ও সাহিত্যে নৌকা বাইচের মতো লোক ঐতিহ্যের চিত্রায়নের উত্থান ঘটে।")</f>
        <v>উনিশ শতক, যাকে প্রায়শই বাংলার নবজাগরণের যুগ হিসেবে বিবেচনা করা হয়, শিল্প ও সাহিত্যে নৌকা বাইচের মতো লোক ঐতিহ্যের চিত্রায়নের উত্থান ঘটে।</v>
      </c>
    </row>
    <row r="110">
      <c r="A110" s="7">
        <v>109.0</v>
      </c>
      <c r="B110" s="7" t="s">
        <v>2936</v>
      </c>
      <c r="C110" s="7" t="s">
        <v>2937</v>
      </c>
      <c r="D110" s="7" t="s">
        <v>2938</v>
      </c>
      <c r="E110" s="7" t="s">
        <v>2939</v>
      </c>
      <c r="J110" s="10" t="str">
        <f>IFERROR(__xludf.DUMMYFUNCTION("GOOGLETRANSLATE(A110, ""en"", ""bn"")"),"১০৯")</f>
        <v>১০৯</v>
      </c>
      <c r="K110" s="10" t="str">
        <f>IFERROR(__xludf.DUMMYFUNCTION("GOOGLETRANSLATE(B110, ""en"", ""bn"")"),"নৌকা বাইচের সময় 'সারি গান'-এর সাথে কোন ঐতিহাসিক সঙ্গীত প্রায়শই জড়িত ছিল?")</f>
        <v>নৌকা বাইচের সময় 'সারি গান'-এর সাথে কোন ঐতিহাসিক সঙ্গীত প্রায়শই জড়িত ছিল?</v>
      </c>
      <c r="L110" s="10" t="str">
        <f>IFERROR(__xludf.DUMMYFUNCTION("GOOGLETRANSLATE(C110, ""en"", ""bn"")"),"A) বাউল গান, B) ভাওয়াইয়া, C) ভাটিয়ালী, D) জারি গান")</f>
        <v>A) বাউল গান, B) ভাওয়াইয়া, C) ভাটিয়ালী, D) জারি গান</v>
      </c>
      <c r="M110" s="10" t="str">
        <f>IFERROR(__xludf.DUMMYFUNCTION("GOOGLETRANSLATE(D110, ""en"", ""bn"")"),"গ) ভাটিয়ালি")</f>
        <v>গ) ভাটিয়ালি</v>
      </c>
      <c r="N110" s="10" t="str">
        <f>IFERROR(__xludf.DUMMYFUNCTION("GOOGLETRANSLATE(E110, ""en"", ""bn"")"),"ভাটিয়ালি, মাঝি এবং নদীর সাথে সম্পর্কিত লোকসঙ্গীতের একটি ধারা, প্রায়শই সারি গানের সুর এবং বিষয়বস্তুকে প্রভাবিত করে।")</f>
        <v>ভাটিয়ালি, মাঝি এবং নদীর সাথে সম্পর্কিত লোকসঙ্গীতের একটি ধারা, প্রায়শই সারি গানের সুর এবং বিষয়বস্তুকে প্রভাবিত করে।</v>
      </c>
    </row>
    <row r="111">
      <c r="A111" s="7">
        <v>110.0</v>
      </c>
      <c r="B111" s="7" t="s">
        <v>2940</v>
      </c>
      <c r="C111" s="7" t="s">
        <v>2941</v>
      </c>
      <c r="D111" s="7" t="s">
        <v>2942</v>
      </c>
      <c r="E111" s="7" t="s">
        <v>2943</v>
      </c>
      <c r="J111" s="10" t="str">
        <f>IFERROR(__xludf.DUMMYFUNCTION("GOOGLETRANSLATE(A111, ""en"", ""bn"")"),"১১০")</f>
        <v>১১০</v>
      </c>
      <c r="K111" s="10" t="str">
        <f>IFERROR(__xludf.DUMMYFUNCTION("GOOGLETRANSLATE(B111, ""en"", ""bn"")"),"প্রতিযোগিতার আগে জনতার উচ্চস্বরে চিৎকার বা স্তোত্র উচ্চারণের ঐতিহ্য কীসের ঐতিহাসিক প্রতিফলন?")</f>
        <v>প্রতিযোগিতার আগে জনতার উচ্চস্বরে চিৎকার বা স্তোত্র উচ্চারণের ঐতিহ্য কীসের ঐতিহাসিক প্রতিফলন?</v>
      </c>
      <c r="L111" s="10" t="str">
        <f>IFERROR(__xludf.DUMMYFUNCTION("GOOGLETRANSLATE(C111, ""en"", ""bn"")"),"ক) শুভকামনার আহ্বান, খ) দৌড় শুরু করার সংকেত, গ) প্রতিপক্ষ দলের প্রতি চ্যালেঞ্জ, ঘ) ধর্মীয় প্রার্থনা।")</f>
        <v>ক) শুভকামনার আহ্বান, খ) দৌড় শুরু করার সংকেত, গ) প্রতিপক্ষ দলের প্রতি চ্যালেঞ্জ, ঘ) ধর্মীয় প্রার্থনা।</v>
      </c>
      <c r="M111" s="10" t="str">
        <f>IFERROR(__xludf.DUMMYFUNCTION("GOOGLETRANSLATE(D111, ""en"", ""bn"")"),"গ) প্রতিপক্ষ দলের জন্য একটি চ্যালেঞ্জ")</f>
        <v>গ) প্রতিপক্ষ দলের জন্য একটি চ্যালেঞ্জ</v>
      </c>
      <c r="N111" s="10" t="str">
        <f>IFERROR(__xludf.DUMMYFUNCTION("GOOGLETRANSLATE(E111, ""en"", ""bn"")"),"দৌড় শুরু হওয়ার আগে দর্শকদের তাদের দলকে চ্যালেঞ্জ জানাতে এবং উৎসাহিত করার জন্য স্লোগান এবং চিৎকার একটি ঐতিহাসিক উপায়।")</f>
        <v>দৌড় শুরু হওয়ার আগে দর্শকদের তাদের দলকে চ্যালেঞ্জ জানাতে এবং উৎসাহিত করার জন্য স্লোগান এবং চিৎকার একটি ঐতিহাসিক উপায়।</v>
      </c>
    </row>
    <row r="112">
      <c r="A112" s="7">
        <v>111.0</v>
      </c>
      <c r="B112" s="7" t="s">
        <v>2944</v>
      </c>
      <c r="C112" s="7" t="s">
        <v>2945</v>
      </c>
      <c r="D112" s="7" t="s">
        <v>2946</v>
      </c>
      <c r="E112" s="7" t="s">
        <v>2947</v>
      </c>
      <c r="J112" s="10" t="str">
        <f>IFERROR(__xludf.DUMMYFUNCTION("GOOGLETRANSLATE(A112, ""en"", ""bn"")"),"১১১")</f>
        <v>১১১</v>
      </c>
      <c r="K112" s="10" t="str">
        <f>IFERROR(__xludf.DUMMYFUNCTION("GOOGLETRANSLATE(B112, ""en"", ""bn"")"),"নৌকা তৈরির কৌশলের কোন ঐতিহাসিক পরিবর্তন ঐতিহ্যবাহী নৌকা বাইচ নৌকার পতনের কারণ হয়েছে?")</f>
        <v>নৌকা তৈরির কৌশলের কোন ঐতিহাসিক পরিবর্তন ঐতিহ্যবাহী নৌকা বাইচ নৌকার পতনের কারণ হয়েছে?</v>
      </c>
      <c r="L112" s="10" t="str">
        <f>IFERROR(__xludf.DUMMYFUNCTION("GOOGLETRANSLATE(C112, ""en"", ""bn"")"),"ক) নতুন উপকরণের ব্যবহার, খ) দক্ষ কারিগরদের পতন, গ) বিদেশী নকশার উত্থান, ঘ) ইঞ্জিনের ব্যবহার")</f>
        <v>ক) নতুন উপকরণের ব্যবহার, খ) দক্ষ কারিগরদের পতন, গ) বিদেশী নকশার উত্থান, ঘ) ইঞ্জিনের ব্যবহার</v>
      </c>
      <c r="M112" s="10" t="str">
        <f>IFERROR(__xludf.DUMMYFUNCTION("GOOGLETRANSLATE(D112, ""en"", ""bn"")"),"খ) দক্ষ কারিগরদের পতন")</f>
        <v>খ) দক্ষ কারিগরদের পতন</v>
      </c>
      <c r="N112" s="10" t="str">
        <f>IFERROR(__xludf.DUMMYFUNCTION("GOOGLETRANSLATE(E112, ""en"", ""bn"")"),"ঐতিহ্যবাহী লংবোট তৈরির জন্য প্রয়োজনীয় বিশেষ দক্ষতা ক্রমশ হারিয়ে যাচ্ছে, যার ফলে এগুলো তৈরি করা কঠিন হয়ে পড়ছে।")</f>
        <v>ঐতিহ্যবাহী লংবোট তৈরির জন্য প্রয়োজনীয় বিশেষ দক্ষতা ক্রমশ হারিয়ে যাচ্ছে, যার ফলে এগুলো তৈরি করা কঠিন হয়ে পড়ছে।</v>
      </c>
    </row>
    <row r="113">
      <c r="A113" s="7">
        <v>112.0</v>
      </c>
      <c r="B113" s="7" t="s">
        <v>2948</v>
      </c>
      <c r="C113" s="7" t="s">
        <v>2949</v>
      </c>
      <c r="D113" s="7" t="s">
        <v>2950</v>
      </c>
      <c r="E113" s="7" t="s">
        <v>2951</v>
      </c>
      <c r="J113" s="10" t="str">
        <f>IFERROR(__xludf.DUMMYFUNCTION("GOOGLETRANSLATE(A113, ""en"", ""bn"")"),"১১২")</f>
        <v>১১২</v>
      </c>
      <c r="K113" s="10" t="str">
        <f>IFERROR(__xludf.DUMMYFUNCTION("GOOGLETRANSLATE(B113, ""en"", ""bn"")"),"নৌকা বাইচ নৌকাগুলির দৈর্ঘ্য ভিন্ন হওয়ার মূল ঐতিহাসিক কারণ কী ছিল?")</f>
        <v>নৌকা বাইচ নৌকাগুলির দৈর্ঘ্য ভিন্ন হওয়ার মূল ঐতিহাসিক কারণ কী ছিল?</v>
      </c>
      <c r="L113" s="10" t="str">
        <f>IFERROR(__xludf.DUMMYFUNCTION("GOOGLETRANSLATE(C113, ""en"", ""bn"")"),"ক) অংশগ্রহণকারীদের সংখ্যা, খ) নদীর গভীরতা, গ) জাতির ধরণ, ঘ) গ্রামের ঐতিহ্য")</f>
        <v>ক) অংশগ্রহণকারীদের সংখ্যা, খ) নদীর গভীরতা, গ) জাতির ধরণ, ঘ) গ্রামের ঐতিহ্য</v>
      </c>
      <c r="M113" s="10" t="str">
        <f>IFERROR(__xludf.DUMMYFUNCTION("GOOGLETRANSLATE(D113, ""en"", ""bn"")"),"ঘ) গ্রামের ঐতিহ্য")</f>
        <v>ঘ) গ্রামের ঐতিহ্য</v>
      </c>
      <c r="N113" s="10" t="str">
        <f>IFERROR(__xludf.DUMMYFUNCTION("GOOGLETRANSLATE(E113, ""en"", ""bn"")"),"নৌকার দৈর্ঘ্য প্রায়শই গ্রামের গর্ব এবং ঐতিহ্যের বিষয় ছিল, কিছু গ্রাম তাদের লম্বা নৌকার জন্য পরিচিত।")</f>
        <v>নৌকার দৈর্ঘ্য প্রায়শই গ্রামের গর্ব এবং ঐতিহ্যের বিষয় ছিল, কিছু গ্রাম তাদের লম্বা নৌকার জন্য পরিচিত।</v>
      </c>
    </row>
    <row r="114">
      <c r="A114" s="7">
        <v>113.0</v>
      </c>
      <c r="B114" s="7" t="s">
        <v>2952</v>
      </c>
      <c r="C114" s="7" t="s">
        <v>2953</v>
      </c>
      <c r="D114" s="7" t="s">
        <v>2954</v>
      </c>
      <c r="E114" s="7" t="s">
        <v>2955</v>
      </c>
      <c r="J114" s="10" t="str">
        <f>IFERROR(__xludf.DUMMYFUNCTION("GOOGLETRANSLATE(A114, ""en"", ""bn"")"),"১১৩")</f>
        <v>১১৩</v>
      </c>
      <c r="K114" s="10" t="str">
        <f>IFERROR(__xludf.DUMMYFUNCTION("GOOGLETRANSLATE(B114, ""en"", ""bn"")"),"দৌড়-পরবর্তী ভোজ অনুষ্ঠানের ঐতিহাসিক রীতি কোন সাংস্কৃতিক মূল্যের প্রতিফলন?")</f>
        <v>দৌড়-পরবর্তী ভোজ অনুষ্ঠানের ঐতিহাসিক রীতি কোন সাংস্কৃতিক মূল্যের প্রতিফলন?</v>
      </c>
      <c r="L114" s="10" t="str">
        <f>IFERROR(__xludf.DUMMYFUNCTION("GOOGLETRANSLATE(C114, ""en"", ""bn"")"),"ক) সম্পদের প্রদর্শনী, খ) সম্প্রদায় ও ঐক্যের উদযাপন, গ) একটি ধর্মীয় অনুষ্ঠান, ঘ) একটি বাণিজ্য সমাবেশ")</f>
        <v>ক) সম্পদের প্রদর্শনী, খ) সম্প্রদায় ও ঐক্যের উদযাপন, গ) একটি ধর্মীয় অনুষ্ঠান, ঘ) একটি বাণিজ্য সমাবেশ</v>
      </c>
      <c r="M114" s="10" t="str">
        <f>IFERROR(__xludf.DUMMYFUNCTION("GOOGLETRANSLATE(D114, ""en"", ""bn"")"),"খ) সম্প্রদায় এবং ঐক্যের উদযাপন")</f>
        <v>খ) সম্প্রদায় এবং ঐক্যের উদযাপন</v>
      </c>
      <c r="N114" s="10" t="str">
        <f>IFERROR(__xludf.DUMMYFUNCTION("GOOGLETRANSLATE(E114, ""en"", ""bn"")"),"এই উৎসবটি সম্প্রদায়ের একত্রিত হওয়ার প্রতীক ছিল, জাতিগত ফলাফল নির্বিশেষে।")</f>
        <v>এই উৎসবটি সম্প্রদায়ের একত্রিত হওয়ার প্রতীক ছিল, জাতিগত ফলাফল নির্বিশেষে।</v>
      </c>
    </row>
    <row r="115">
      <c r="A115" s="7">
        <v>114.0</v>
      </c>
      <c r="B115" s="7" t="s">
        <v>2956</v>
      </c>
      <c r="C115" s="7" t="s">
        <v>2957</v>
      </c>
      <c r="D115" s="7" t="s">
        <v>2958</v>
      </c>
      <c r="E115" s="7" t="s">
        <v>2959</v>
      </c>
      <c r="J115" s="10" t="str">
        <f>IFERROR(__xludf.DUMMYFUNCTION("GOOGLETRANSLATE(A115, ""en"", ""bn"")"),"১১৪")</f>
        <v>১১৪</v>
      </c>
      <c r="K115" s="10" t="str">
        <f>IFERROR(__xludf.DUMMYFUNCTION("GOOGLETRANSLATE(B115, ""en"", ""bn"")"),"নৌকার শেষ প্রান্তে থাকা ব্যক্তি যিনি জাহাজটি পরিচালনা করতেন, তাকে কোন ঐতিহাসিক শব্দটি ব্যবহার করা হয়েছিল?")</f>
        <v>নৌকার শেষ প্রান্তে থাকা ব্যক্তি যিনি জাহাজটি পরিচালনা করতেন, তাকে কোন ঐতিহাসিক শব্দটি ব্যবহার করা হয়েছিল?</v>
      </c>
      <c r="L115" s="10" t="str">
        <f>IFERROR(__xludf.DUMMYFUNCTION("GOOGLETRANSLATE(C115, ""en"", ""bn"")"),"A) মাঝি, B) সর্দার, C) খেন্দা, D) মাঝি")</f>
        <v>A) মাঝি, B) সর্দার, C) খেন্দা, D) মাঝি</v>
      </c>
      <c r="M115" s="10" t="str">
        <f>IFERROR(__xludf.DUMMYFUNCTION("GOOGLETRANSLATE(D115, ""en"", ""bn"")"),"ঘ) মাঝি")</f>
        <v>ঘ) মাঝি</v>
      </c>
      <c r="N115" s="10" t="str">
        <f>IFERROR(__xludf.DUMMYFUNCTION("GOOGLETRANSLATE(E115, ""en"", ""bn"")"),"সরদার হলেন নেতা, কিন্তু পরিচালনাকারী হলেন মাঝি, যা একজন নৌকার মাঝি বা চালককে বোঝায়।")</f>
        <v>সরদার হলেন নেতা, কিন্তু পরিচালনাকারী হলেন মাঝি, যা একজন নৌকার মাঝি বা চালককে বোঝায়।</v>
      </c>
    </row>
    <row r="116">
      <c r="A116" s="7">
        <v>115.0</v>
      </c>
      <c r="B116" s="7" t="s">
        <v>2960</v>
      </c>
      <c r="C116" s="7" t="s">
        <v>2961</v>
      </c>
      <c r="D116" s="7" t="s">
        <v>2962</v>
      </c>
      <c r="E116" s="7" t="s">
        <v>2963</v>
      </c>
      <c r="J116" s="10" t="str">
        <f>IFERROR(__xludf.DUMMYFUNCTION("GOOGLETRANSLATE(A116, ""en"", ""bn"")"),"১১৫")</f>
        <v>১১৫</v>
      </c>
      <c r="K116" s="10" t="str">
        <f>IFERROR(__xludf.DUMMYFUNCTION("GOOGLETRANSLATE(B116, ""en"", ""bn"")"),"নৌকা বাইচ মৌসুমের সমাপ্তির সাথে কোন ঐতিহাসিক অনুশীলন জড়িত ছিল?")</f>
        <v>নৌকা বাইচ মৌসুমের সমাপ্তির সাথে কোন ঐতিহাসিক অনুশীলন জড়িত ছিল?</v>
      </c>
      <c r="L116" s="10" t="str">
        <f>IFERROR(__xludf.DUMMYFUNCTION("GOOGLETRANSLATE(C116, ""en"", ""bn"")"),"ক) একটি ধর্মীয় অনুষ্ঠান, খ) নৌকা ভাঙা, গ) শীতের জন্য নৌকা সংরক্ষণ, ঘ) একটি চূড়ান্ত মহাভোজ")</f>
        <v>ক) একটি ধর্মীয় অনুষ্ঠান, খ) নৌকা ভাঙা, গ) শীতের জন্য নৌকা সংরক্ষণ, ঘ) একটি চূড়ান্ত মহাভোজ</v>
      </c>
      <c r="M116" s="10" t="str">
        <f>IFERROR(__xludf.DUMMYFUNCTION("GOOGLETRANSLATE(D116, ""en"", ""bn"")"),"গ) শীতের জন্য নৌকা সংরক্ষণ")</f>
        <v>গ) শীতের জন্য নৌকা সংরক্ষণ</v>
      </c>
      <c r="N116" s="10" t="str">
        <f>IFERROR(__xludf.DUMMYFUNCTION("GOOGLETRANSLATE(E116, ""en"", ""bn"")"),"দৌড়ের মরশুমের পরে, শুষ্ক মৌসুমে নৌকাগুলি পচে যাওয়া রোধ করার জন্য ঐতিহ্যগতভাবে নৌকাগুলি জল থেকে তুলে সংরক্ষণ করা হত।")</f>
        <v>দৌড়ের মরশুমের পরে, শুষ্ক মৌসুমে নৌকাগুলি পচে যাওয়া রোধ করার জন্য ঐতিহ্যগতভাবে নৌকাগুলি জল থেকে তুলে সংরক্ষণ করা হত।</v>
      </c>
    </row>
    <row r="117">
      <c r="A117" s="7">
        <v>116.0</v>
      </c>
      <c r="B117" s="7" t="s">
        <v>2964</v>
      </c>
      <c r="C117" s="7" t="s">
        <v>2965</v>
      </c>
      <c r="D117" s="7" t="s">
        <v>2966</v>
      </c>
      <c r="E117" s="7" t="s">
        <v>2967</v>
      </c>
      <c r="J117" s="10" t="str">
        <f>IFERROR(__xludf.DUMMYFUNCTION("GOOGLETRANSLATE(A117, ""en"", ""bn"")"),"১১৬")</f>
        <v>১১৬</v>
      </c>
      <c r="K117" s="10" t="str">
        <f>IFERROR(__xludf.DUMMYFUNCTION("GOOGLETRANSLATE(B117, ""en"", ""bn"")"),"বাংলার সামাজিক কাঠামোর কোন ঐতিহাসিক পরিবর্তন নৌকা বাইচ অংশগ্রহণকারীদের জনসংখ্যার উপর প্রভাব ফেলেছে?")</f>
        <v>বাংলার সামাজিক কাঠামোর কোন ঐতিহাসিক পরিবর্তন নৌকা বাইচ অংশগ্রহণকারীদের জনসংখ্যার উপর প্রভাব ফেলেছে?</v>
      </c>
      <c r="L117" s="10" t="str">
        <f>IFERROR(__xludf.DUMMYFUNCTION("GOOGLETRANSLATE(C117, ""en"", ""bn"")"),"ক) নগর জীবনের উত্থান, খ) গ্রামীণ সম্প্রদায়ের পতন, গ) মধ্যবিত্ত শ্রেণীর উত্থান, ঘ) নদী-নির্ভর জীবিকার অবক্ষয়")</f>
        <v>ক) নগর জীবনের উত্থান, খ) গ্রামীণ সম্প্রদায়ের পতন, গ) মধ্যবিত্ত শ্রেণীর উত্থান, ঘ) নদী-নির্ভর জীবিকার অবক্ষয়</v>
      </c>
      <c r="M117" s="10" t="str">
        <f>IFERROR(__xludf.DUMMYFUNCTION("GOOGLETRANSLATE(D117, ""en"", ""bn"")"),"ঘ) নদী-নির্ভর জীবিকার অবক্ষয়")</f>
        <v>ঘ) নদী-নির্ভর জীবিকার অবক্ষয়</v>
      </c>
      <c r="N117" s="10" t="str">
        <f>IFERROR(__xludf.DUMMYFUNCTION("GOOGLETRANSLATE(E117, ""en"", ""bn"")"),"যেহেতু কম সংখ্যক মানুষ জীবিকা নির্বাহের জন্য কেবল নদীর উপর নির্ভরশীল, তাই ঐতিহ্যবাহী নৌকাচালকদের সংখ্যা হ্রাস পেয়েছে।")</f>
        <v>যেহেতু কম সংখ্যক মানুষ জীবিকা নির্বাহের জন্য কেবল নদীর উপর নির্ভরশীল, তাই ঐতিহ্যবাহী নৌকাচালকদের সংখ্যা হ্রাস পেয়েছে।</v>
      </c>
    </row>
    <row r="118">
      <c r="A118" s="7">
        <v>117.0</v>
      </c>
      <c r="B118" s="7" t="s">
        <v>2968</v>
      </c>
      <c r="C118" s="7" t="s">
        <v>2969</v>
      </c>
      <c r="D118" s="7" t="s">
        <v>2970</v>
      </c>
      <c r="E118" s="7" t="s">
        <v>2971</v>
      </c>
      <c r="J118" s="10" t="str">
        <f>IFERROR(__xludf.DUMMYFUNCTION("GOOGLETRANSLATE(A118, ""en"", ""bn"")"),"১১৭")</f>
        <v>১১৭</v>
      </c>
      <c r="K118" s="10" t="str">
        <f>IFERROR(__xludf.DUMMYFUNCTION("GOOGLETRANSLATE(B118, ""en"", ""bn"")"),"'নৌকা বাইচ'-এর ঐতিহাসিক গুরুত্বের কারণে এটি কোন জাতীয় উৎসবে অন্তর্ভুক্ত হয়েছে?")</f>
        <v>'নৌকা বাইচ'-এর ঐতিহাসিক গুরুত্বের কারণে এটি কোন জাতীয় উৎসবে অন্তর্ভুক্ত হয়েছে?</v>
      </c>
      <c r="L118" s="10" t="str">
        <f>IFERROR(__xludf.DUMMYFUNCTION("GOOGLETRANSLATE(C118, ""en"", ""bn"")"),"ক) স্বাধীনতা দিবস, খ) বিজয় দিবস, গ) শহীদ দিবস, ঘ) জাতীয় ক্রীড়া দিবস")</f>
        <v>ক) স্বাধীনতা দিবস, খ) বিজয় দিবস, গ) শহীদ দিবস, ঘ) জাতীয় ক্রীড়া দিবস</v>
      </c>
      <c r="M118" s="10" t="str">
        <f>IFERROR(__xludf.DUMMYFUNCTION("GOOGLETRANSLATE(D118, ""en"", ""bn"")"),"ক) স্বাধীনতা দিবস")</f>
        <v>ক) স্বাধীনতা দিবস</v>
      </c>
      <c r="N118" s="10" t="str">
        <f>IFERROR(__xludf.DUMMYFUNCTION("GOOGLETRANSLATE(E118, ""en"", ""bn"")"),"বাংলাদেশের স্বাধীনতা দিবস উদযাপনের অংশ হিসেবে প্রায়শই নৌকা বাইচের আয়োজন করা হয়।")</f>
        <v>বাংলাদেশের স্বাধীনতা দিবস উদযাপনের অংশ হিসেবে প্রায়শই নৌকা বাইচের আয়োজন করা হয়।</v>
      </c>
    </row>
    <row r="119">
      <c r="A119" s="7">
        <v>118.0</v>
      </c>
      <c r="B119" s="7" t="s">
        <v>2972</v>
      </c>
      <c r="C119" s="7" t="s">
        <v>2973</v>
      </c>
      <c r="D119" s="7" t="s">
        <v>2974</v>
      </c>
      <c r="E119" s="7" t="s">
        <v>2975</v>
      </c>
      <c r="J119" s="10" t="str">
        <f>IFERROR(__xludf.DUMMYFUNCTION("GOOGLETRANSLATE(A119, ""en"", ""bn"")"),"১১৮")</f>
        <v>১১৮</v>
      </c>
      <c r="K119" s="10" t="str">
        <f>IFERROR(__xludf.DUMMYFUNCTION("GOOGLETRANSLATE(B119, ""en"", ""bn"")"),"দূরপাল্লার দৌড় এবং বাণিজ্যের জন্য বিশেষভাবে কোন ঐতিহাসিক ধরণের নৌকা ব্যবহার করা হত?")</f>
        <v>দূরপাল্লার দৌড় এবং বাণিজ্যের জন্য বিশেষভাবে কোন ঐতিহাসিক ধরণের নৌকা ব্যবহার করা হত?</v>
      </c>
      <c r="L119" s="10" t="str">
        <f>IFERROR(__xludf.DUMMYFUNCTION("GOOGLETRANSLATE(C119, ""en"", ""bn"")"),"ক) ডিঙি, খ) সাম্পান, গ) বালাম, ঘ) কোশারি")</f>
        <v>ক) ডিঙি, খ) সাম্পান, গ) বালাম, ঘ) কোশারি</v>
      </c>
      <c r="M119" s="10" t="str">
        <f>IFERROR(__xludf.DUMMYFUNCTION("GOOGLETRANSLATE(D119, ""en"", ""bn"")"),"গ) বালাম")</f>
        <v>গ) বালাম</v>
      </c>
      <c r="N119" s="10" t="str">
        <f>IFERROR(__xludf.DUMMYFUNCTION("GOOGLETRANSLATE(E119, ""en"", ""bn"")"),"বালাম, একটি বৃহৎ নৌকা, ঐতিহাসিকভাবে দীর্ঘ দূরত্বের বাণিজ্যের জন্য ব্যবহৃত হত এবং কখনও কখনও ধৈর্য্যের দৌড়ের জন্যও ব্যবহৃত হত।")</f>
        <v>বালাম, একটি বৃহৎ নৌকা, ঐতিহাসিকভাবে দীর্ঘ দূরত্বের বাণিজ্যের জন্য ব্যবহৃত হত এবং কখনও কখনও ধৈর্য্যের দৌড়ের জন্যও ব্যবহৃত হত।</v>
      </c>
    </row>
    <row r="120">
      <c r="A120" s="7">
        <v>119.0</v>
      </c>
      <c r="B120" s="7" t="s">
        <v>2976</v>
      </c>
      <c r="C120" s="7" t="s">
        <v>2977</v>
      </c>
      <c r="D120" s="7" t="s">
        <v>2978</v>
      </c>
      <c r="E120" s="7" t="s">
        <v>2979</v>
      </c>
      <c r="J120" s="10" t="str">
        <f>IFERROR(__xludf.DUMMYFUNCTION("GOOGLETRANSLATE(A120, ""en"", ""bn"")"),"১১৯")</f>
        <v>১১৯</v>
      </c>
      <c r="K120" s="10" t="str">
        <f>IFERROR(__xludf.DUMMYFUNCTION("GOOGLETRANSLATE(B120, ""en"", ""bn"")"),"নৌকায় ছন্দবদ্ধভাবে টোকা দেওয়ার জন্য লাঠি বা প্যাডেল ব্যবহারের ঐতিহ্য কোন ঐতিহাসিক নিদর্শন?")</f>
        <v>নৌকায় ছন্দবদ্ধভাবে টোকা দেওয়ার জন্য লাঠি বা প্যাডেল ব্যবহারের ঐতিহ্য কোন ঐতিহাসিক নিদর্শন?</v>
      </c>
      <c r="L120" s="10" t="str">
        <f>IFERROR(__xludf.DUMMYFUNCTION("GOOGLETRANSLATE(C120, ""en"", ""bn"")"),"ক) একটি সামরিক সংকেত, খ) নৌকাচালকদের নিয়ন্ত্রণের একটি উপায়, গ) বিনোদনের একটি রূপ, ঘ) মাছ ধরার জন্য একটি হাতিয়ার")</f>
        <v>ক) একটি সামরিক সংকেত, খ) নৌকাচালকদের নিয়ন্ত্রণের একটি উপায়, গ) বিনোদনের একটি রূপ, ঘ) মাছ ধরার জন্য একটি হাতিয়ার</v>
      </c>
      <c r="M120" s="10" t="str">
        <f>IFERROR(__xludf.DUMMYFUNCTION("GOOGLETRANSLATE(D120, ""en"", ""bn"")"),"খ) নৌকাচালকদের নিয়ন্ত্রণের একটি উপায়")</f>
        <v>খ) নৌকাচালকদের নিয়ন্ত্রণের একটি উপায়</v>
      </c>
      <c r="N120" s="10" t="str">
        <f>IFERROR(__xludf.DUMMYFUNCTION("GOOGLETRANSLATE(E120, ""en"", ""bn"")"),"নৌকার নেতা নৌকার পাশে একটি লাঠি দিয়ে টোকা দিতেন যাতে নৌকার চালকরা স্পষ্ট, শ্রবণযোগ্য ছন্দে নাচতে পারেন।")</f>
        <v>নৌকার নেতা নৌকার পাশে একটি লাঠি দিয়ে টোকা দিতেন যাতে নৌকার চালকরা স্পষ্ট, শ্রবণযোগ্য ছন্দে নাচতে পারেন।</v>
      </c>
    </row>
    <row r="121">
      <c r="A121" s="7">
        <v>120.0</v>
      </c>
      <c r="B121" s="7" t="s">
        <v>2980</v>
      </c>
      <c r="C121" s="7" t="s">
        <v>2981</v>
      </c>
      <c r="D121" s="7" t="s">
        <v>2982</v>
      </c>
      <c r="E121" s="7" t="s">
        <v>2983</v>
      </c>
      <c r="J121" s="10" t="str">
        <f>IFERROR(__xludf.DUMMYFUNCTION("GOOGLETRANSLATE(A121, ""en"", ""bn"")"),"১২০")</f>
        <v>১২০</v>
      </c>
      <c r="K121" s="10" t="str">
        <f>IFERROR(__xludf.DUMMYFUNCTION("GOOGLETRANSLATE(B121, ""en"", ""bn"")"),"বাংলার নৌকা বাইচের উপর ভারত ও পাকিস্তান বিভাগের ঐতিহাসিক প্রভাব কী ছিল?")</f>
        <v>বাংলার নৌকা বাইচের উপর ভারত ও পাকিস্তান বিভাগের ঐতিহাসিক প্রভাব কী ছিল?</v>
      </c>
      <c r="L121" s="10" t="str">
        <f>IFERROR(__xludf.DUMMYFUNCTION("GOOGLETRANSLATE(C121, ""en"", ""bn"")"),"ক) এটি নিষিদ্ধ করা হয়েছিল, খ) এটি পূর্ব পাকিস্তানে (বর্তমানে বাংলাদেশ) সীমাবদ্ধ ছিল, গ) এটি জাতীয় প্রতিদ্বন্দ্বিতার প্রতীক হয়ে ওঠে, ঘ) এটি পশ্চিমবঙ্গে ছড়িয়ে পড়ে।")</f>
        <v>ক) এটি নিষিদ্ধ করা হয়েছিল, খ) এটি পূর্ব পাকিস্তানে (বর্তমানে বাংলাদেশ) সীমাবদ্ধ ছিল, গ) এটি জাতীয় প্রতিদ্বন্দ্বিতার প্রতীক হয়ে ওঠে, ঘ) এটি পশ্চিমবঙ্গে ছড়িয়ে পড়ে।</v>
      </c>
      <c r="M121" s="10" t="str">
        <f>IFERROR(__xludf.DUMMYFUNCTION("GOOGLETRANSLATE(D121, ""en"", ""bn"")"),"খ) এটি পূর্ব পাকিস্তানের (বর্তমানে বাংলাদেশ) মধ্যে সীমাবদ্ধ ছিল।")</f>
        <v>খ) এটি পূর্ব পাকিস্তানের (বর্তমানে বাংলাদেশ) মধ্যে সীমাবদ্ধ ছিল।</v>
      </c>
      <c r="N121" s="10" t="str">
        <f>IFERROR(__xludf.DUMMYFUNCTION("GOOGLETRANSLATE(E121, ""en"", ""bn"")"),"পূর্ববঙ্গে (যা পরে পূর্ব পাকিস্তান এবং পরে বাংলাদেশে পরিণত হয়) এই ঐতিহ্য মূলত অব্যাহত ছিল, যদিও পশ্চিমবঙ্গে এর উপস্থিতি হ্রাস পায়।")</f>
        <v>পূর্ববঙ্গে (যা পরে পূর্ব পাকিস্তান এবং পরে বাংলাদেশে পরিণত হয়) এই ঐতিহ্য মূলত অব্যাহত ছিল, যদিও পশ্চিমবঙ্গে এর উপস্থিতি হ্রাস পায়।</v>
      </c>
    </row>
    <row r="122">
      <c r="A122" s="7">
        <v>121.0</v>
      </c>
      <c r="B122" s="7" t="s">
        <v>2984</v>
      </c>
      <c r="C122" s="7" t="s">
        <v>2985</v>
      </c>
      <c r="D122" s="7" t="s">
        <v>2986</v>
      </c>
      <c r="E122" s="7" t="s">
        <v>2987</v>
      </c>
      <c r="J122" s="10" t="str">
        <f>IFERROR(__xludf.DUMMYFUNCTION("GOOGLETRANSLATE(A122, ""en"", ""bn"")"),"১২১")</f>
        <v>১২১</v>
      </c>
      <c r="K122" s="10" t="str">
        <f>IFERROR(__xludf.DUMMYFUNCTION("GOOGLETRANSLATE(B122, ""en"", ""bn"")"),"কোন ঐতিহাসিক দলিল অনুসারে বাংলায় সুলতানি আমলে প্রতিযোগিতামূলকভাবে নৌকা ব্যবহারের কথা উল্লেখ আছে?")</f>
        <v>কোন ঐতিহাসিক দলিল অনুসারে বাংলায় সুলতানি আমলে প্রতিযোগিতামূলকভাবে নৌকা ব্যবহারের কথা উল্লেখ আছে?</v>
      </c>
      <c r="L122" s="10" t="str">
        <f>IFERROR(__xludf.DUMMYFUNCTION("GOOGLETRANSLATE(C122, ""en"", ""bn"")"),"ক) বিদেশী ভ্রমণকারীদের কাছ থেকে প্রাপ্ত রেকর্ড, খ) ধর্মীয় গ্রন্থ, গ) কাব্যিক রচনা, ঘ) রাজকীয় ফরমান")</f>
        <v>ক) বিদেশী ভ্রমণকারীদের কাছ থেকে প্রাপ্ত রেকর্ড, খ) ধর্মীয় গ্রন্থ, গ) কাব্যিক রচনা, ঘ) রাজকীয় ফরমান</v>
      </c>
      <c r="M122" s="10" t="str">
        <f>IFERROR(__xludf.DUMMYFUNCTION("GOOGLETRANSLATE(D122, ""en"", ""bn"")"),"ক) বিদেশী ভ্রমণকারীদের কাছ থেকে রেকর্ড")</f>
        <v>ক) বিদেশী ভ্রমণকারীদের কাছ থেকে রেকর্ড</v>
      </c>
      <c r="N122" s="10" t="str">
        <f>IFERROR(__xludf.DUMMYFUNCTION("GOOGLETRANSLATE(E122, ""en"", ""bn"")"),"বাংলার সালতানাতে বিদেশী ভ্রমণকারীদের বিবরণে প্রতিযোগিতামূলক নৌকা কার্যকলাপকে রাজকীয় বিনোদনের এক রূপ হিসেবে বর্ণনা করা হয়েছে।")</f>
        <v>বাংলার সালতানাতে বিদেশী ভ্রমণকারীদের বিবরণে প্রতিযোগিতামূলক নৌকা কার্যকলাপকে রাজকীয় বিনোদনের এক রূপ হিসেবে বর্ণনা করা হয়েছে।</v>
      </c>
    </row>
    <row r="123">
      <c r="A123" s="7">
        <v>122.0</v>
      </c>
      <c r="B123" s="7" t="s">
        <v>2988</v>
      </c>
      <c r="C123" s="7" t="s">
        <v>2989</v>
      </c>
      <c r="D123" s="7" t="s">
        <v>2990</v>
      </c>
      <c r="E123" s="7" t="s">
        <v>2991</v>
      </c>
      <c r="J123" s="10" t="str">
        <f>IFERROR(__xludf.DUMMYFUNCTION("GOOGLETRANSLATE(A123, ""en"", ""bn"")"),"১২২")</f>
        <v>১২২</v>
      </c>
      <c r="K123" s="10" t="str">
        <f>IFERROR(__xludf.DUMMYFUNCTION("GOOGLETRANSLATE(B123, ""en"", ""bn"")"),"দিনের একটি নির্দিষ্ট সময়ে 'নৌকা বাইচ' অনুষ্ঠিত হওয়ার ঐতিহাসিক ঐতিহ্য কোন বিষয়ের সাথে সম্পর্কিত?")</f>
        <v>দিনের একটি নির্দিষ্ট সময়ে 'নৌকা বাইচ' অনুষ্ঠিত হওয়ার ঐতিহাসিক ঐতিহ্য কোন বিষয়ের সাথে সম্পর্কিত?</v>
      </c>
      <c r="L123" s="10" t="str">
        <f>IFERROR(__xludf.DUMMYFUNCTION("GOOGLETRANSLATE(C123, ""en"", ""bn"")"),"ক) জোয়ার-ভাটার স্রোত, খ) সূর্যের অবস্থান, গ) দর্শকদের উপস্থিতি, ঘ) ফসল কাটার সময়")</f>
        <v>ক) জোয়ার-ভাটার স্রোত, খ) সূর্যের অবস্থান, গ) দর্শকদের উপস্থিতি, ঘ) ফসল কাটার সময়</v>
      </c>
      <c r="M123" s="10" t="str">
        <f>IFERROR(__xludf.DUMMYFUNCTION("GOOGLETRANSLATE(D123, ""en"", ""bn"")"),"ক) জোয়ার-ভাটার স্রোত")</f>
        <v>ক) জোয়ার-ভাটার স্রোত</v>
      </c>
      <c r="N123" s="10" t="str">
        <f>IFERROR(__xludf.DUMMYFUNCTION("GOOGLETRANSLATE(E123, ""en"", ""bn"")"),"জোয়ার-ভাটার নদীতে, ঐতিহাসিকভাবে জোয়ারের সময়কাল উচ্চ জোয়ারের সাথে মিলে যায়, যা গভীর জল এবং দ্রুত স্রোত সরবরাহ করে।")</f>
        <v>জোয়ার-ভাটার নদীতে, ঐতিহাসিকভাবে জোয়ারের সময়কাল উচ্চ জোয়ারের সাথে মিলে যায়, যা গভীর জল এবং দ্রুত স্রোত সরবরাহ করে।</v>
      </c>
    </row>
    <row r="124">
      <c r="A124" s="7">
        <v>123.0</v>
      </c>
      <c r="B124" s="7" t="s">
        <v>2992</v>
      </c>
      <c r="C124" s="7" t="s">
        <v>2993</v>
      </c>
      <c r="D124" s="7" t="s">
        <v>2994</v>
      </c>
      <c r="E124" s="7" t="s">
        <v>2995</v>
      </c>
      <c r="J124" s="10" t="str">
        <f>IFERROR(__xludf.DUMMYFUNCTION("GOOGLETRANSLATE(A124, ""en"", ""bn"")"),"১২৩")</f>
        <v>১২৩</v>
      </c>
      <c r="K124" s="10" t="str">
        <f>IFERROR(__xludf.DUMMYFUNCTION("GOOGLETRANSLATE(B124, ""en"", ""bn"")"),"নওকা বাইচ অনুষ্ঠানের পৃষ্ঠপোষকতাকারী 'খান' বা পৃষ্ঠপোষকদের ঐতিহাসিক তাৎপর্য কী ছিল?")</f>
        <v>নওকা বাইচ অনুষ্ঠানের পৃষ্ঠপোষকতাকারী 'খান' বা পৃষ্ঠপোষকদের ঐতিহাসিক তাৎপর্য কী ছিল?</v>
      </c>
      <c r="L124" s="10" t="str">
        <f>IFERROR(__xludf.DUMMYFUNCTION("GOOGLETRANSLATE(C124, ""en"", ""bn"")"),"ক) তারা ছিলেন সামরিক নেতা, খ) তারা ছিলেন ধনী ব্যবসায়ী, গ) তারা ছিলেন ধর্মীয় নেতা, ঘ) তারা ছিলেন সামন্ত প্রভু বা জমিদার।")</f>
        <v>ক) তারা ছিলেন সামরিক নেতা, খ) তারা ছিলেন ধনী ব্যবসায়ী, গ) তারা ছিলেন ধর্মীয় নেতা, ঘ) তারা ছিলেন সামন্ত প্রভু বা জমিদার।</v>
      </c>
      <c r="M124" s="10" t="str">
        <f>IFERROR(__xludf.DUMMYFUNCTION("GOOGLETRANSLATE(D124, ""en"", ""bn"")"),"ঘ) তারা সামন্ত প্রভু বা জমিদার ছিলেন")</f>
        <v>ঘ) তারা সামন্ত প্রভু বা জমিদার ছিলেন</v>
      </c>
      <c r="N124" s="10" t="str">
        <f>IFERROR(__xludf.DUMMYFUNCTION("GOOGLETRANSLATE(E124, ""en"", ""bn"")"),"সামন্ত প্রভু বা খানরা প্রায়শই তাদের ক্ষমতা প্রদর্শন এবং স্থানীয় সম্প্রদায়ের আনুগত্য অর্জনের জন্য জাতিগুলিকে পৃষ্ঠপোষকতা করতেন।")</f>
        <v>সামন্ত প্রভু বা খানরা প্রায়শই তাদের ক্ষমতা প্রদর্শন এবং স্থানীয় সম্প্রদায়ের আনুগত্য অর্জনের জন্য জাতিগুলিকে পৃষ্ঠপোষকতা করতেন।</v>
      </c>
    </row>
    <row r="125">
      <c r="A125" s="7">
        <v>124.0</v>
      </c>
      <c r="B125" s="7" t="s">
        <v>2996</v>
      </c>
      <c r="C125" s="7" t="s">
        <v>2997</v>
      </c>
      <c r="D125" s="7" t="s">
        <v>2998</v>
      </c>
      <c r="E125" s="7" t="s">
        <v>2999</v>
      </c>
      <c r="J125" s="10" t="str">
        <f>IFERROR(__xludf.DUMMYFUNCTION("GOOGLETRANSLATE(A125, ""en"", ""bn"")"),"১২৪")</f>
        <v>১২৪</v>
      </c>
      <c r="K125" s="10" t="str">
        <f>IFERROR(__xludf.DUMMYFUNCTION("GOOGLETRANSLATE(B125, ""en"", ""bn"")"),"ধর্মীয় অনুষ্ঠানের মাধ্যমে নৌকা চালানোর ঐতিহাসিক প্রথা কোন বিশ্বাস ব্যবস্থার প্রতিফলন?")</f>
        <v>ধর্মীয় অনুষ্ঠানের মাধ্যমে নৌকা চালানোর ঐতিহাসিক প্রথা কোন বিশ্বাস ব্যবস্থার প্রতিফলন?</v>
      </c>
      <c r="L125" s="10" t="str">
        <f>IFERROR(__xludf.DUMMYFUNCTION("GOOGLETRANSLATE(C125, ""en"", ""bn"")"),"ক) নদীর দেবতাদের প্রতি বিশ্বাস, খ) একক স্রষ্টার প্রতি বিশ্বাস, গ) পূর্বপুরুষদের উপাসনায় বিশ্বাস, ঘ) প্রাণীজ আত্মার প্রতি বিশ্বাস")</f>
        <v>ক) নদীর দেবতাদের প্রতি বিশ্বাস, খ) একক স্রষ্টার প্রতি বিশ্বাস, গ) পূর্বপুরুষদের উপাসনায় বিশ্বাস, ঘ) প্রাণীজ আত্মার প্রতি বিশ্বাস</v>
      </c>
      <c r="M125" s="10" t="str">
        <f>IFERROR(__xludf.DUMMYFUNCTION("GOOGLETRANSLATE(D125, ""en"", ""bn"")"),"ক) নদীর দেবতাদের প্রতি বিশ্বাস")</f>
        <v>ক) নদীর দেবতাদের প্রতি বিশ্বাস</v>
      </c>
      <c r="N125" s="10" t="str">
        <f>IFERROR(__xludf.DUMMYFUNCTION("GOOGLETRANSLATE(E125, ""en"", ""bn"")"),"নদী দেবতাদের সন্তুষ্ট করার জন্য, নৌকাচালক এবং নৌকার নিরাপত্তা নিশ্চিত করার জন্য অনুষ্ঠানগুলি অনুষ্ঠিত হয়েছিল।")</f>
        <v>নদী দেবতাদের সন্তুষ্ট করার জন্য, নৌকাচালক এবং নৌকার নিরাপত্তা নিশ্চিত করার জন্য অনুষ্ঠানগুলি অনুষ্ঠিত হয়েছিল।</v>
      </c>
    </row>
    <row r="126">
      <c r="A126" s="7">
        <v>125.0</v>
      </c>
      <c r="B126" s="7" t="s">
        <v>3000</v>
      </c>
      <c r="C126" s="7" t="s">
        <v>3001</v>
      </c>
      <c r="D126" s="7" t="s">
        <v>178</v>
      </c>
      <c r="E126" s="7" t="s">
        <v>3002</v>
      </c>
      <c r="J126" s="10" t="str">
        <f>IFERROR(__xludf.DUMMYFUNCTION("GOOGLETRANSLATE(A126, ""en"", ""bn"")"),"১২৫")</f>
        <v>১২৫</v>
      </c>
      <c r="K126" s="10" t="str">
        <f>IFERROR(__xludf.DUMMYFUNCTION("GOOGLETRANSLATE(B126, ""en"", ""bn"")"),"দৌড়ের জন্য লম্বা, সরু নৌকা তৈরি করার সময় নৌকা নির্মাতারা কোন ঐতিহাসিক চ্যালেঞ্জের মুখোমুখি হয়েছিলেন?")</f>
        <v>দৌড়ের জন্য লম্বা, সরু নৌকা তৈরি করার সময় নৌকা নির্মাতারা কোন ঐতিহাসিক চ্যালেঞ্জের মুখোমুখি হয়েছিলেন?</v>
      </c>
      <c r="L126" s="10" t="str">
        <f>IFERROR(__xludf.DUMMYFUNCTION("GOOGLETRANSLATE(C126, ""en"", ""bn"")"),"ক) সঠিক ধরণের কাঠ খুঁজে বের করা, খ) নৌকাটি যেন প্রতিসম হয় তা নিশ্চিত করা, গ) এটিকে হালকা করে তোলা, ঘ) উপরের সবগুলো")</f>
        <v>ক) সঠিক ধরণের কাঠ খুঁজে বের করা, খ) নৌকাটি যেন প্রতিসম হয় তা নিশ্চিত করা, গ) এটিকে হালকা করে তোলা, ঘ) উপরের সবগুলো</v>
      </c>
      <c r="M126" s="10" t="str">
        <f>IFERROR(__xludf.DUMMYFUNCTION("GOOGLETRANSLATE(D126, ""en"", ""bn"")"),"ঘ) উপরের সবগুলো")</f>
        <v>ঘ) উপরের সবগুলো</v>
      </c>
      <c r="N126" s="10" t="str">
        <f>IFERROR(__xludf.DUMMYFUNCTION("GOOGLETRANSLATE(E126, ""en"", ""bn"")"),"নৌকা নির্মাতাদের সামনে উপযুক্ত কাঠ সংগ্রহ, গতির জন্য নিখুঁত প্রতিসাম্য নিশ্চিত করা এবং শক্তি এবং হালকা ওজনের নির্মাণের মধ্যে ভারসাম্য বজায় রাখার চ্যালেঞ্জ ছিল।")</f>
        <v>নৌকা নির্মাতাদের সামনে উপযুক্ত কাঠ সংগ্রহ, গতির জন্য নিখুঁত প্রতিসাম্য নিশ্চিত করা এবং শক্তি এবং হালকা ওজনের নির্মাণের মধ্যে ভারসাম্য বজায় রাখার চ্যালেঞ্জ ছিল।</v>
      </c>
    </row>
  </sheetData>
  <drawing r:id="rId1"/>
  <tableParts count="2">
    <tablePart r:id="rId4"/>
    <tablePart r:id="rId5"/>
  </tableParts>
</worksheet>
</file>