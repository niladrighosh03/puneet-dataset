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 du du" sheetId="1" r:id="rId4"/>
    <sheet state="visible" name="Boli Khela" sheetId="2" r:id="rId5"/>
    <sheet state="visible" name="Lathi Khela" sheetId="3" r:id="rId6"/>
    <sheet state="visible" name="Nouka Baich" sheetId="4" r:id="rId7"/>
    <sheet state="visible" name="Golla Chut" sheetId="5" r:id="rId8"/>
    <sheet state="visible" name="Dariabandha" sheetId="6" r:id="rId9"/>
  </sheets>
  <definedNames/>
  <calcPr/>
</workbook>
</file>

<file path=xl/sharedStrings.xml><?xml version="1.0" encoding="utf-8"?>
<sst xmlns="http://schemas.openxmlformats.org/spreadsheetml/2006/main" count="4679" uniqueCount="1915">
  <si>
    <t>প্রশ্ন নম্বর</t>
  </si>
  <si>
    <t>প্রশ্ন</t>
  </si>
  <si>
    <t>বিকল্প ১</t>
  </si>
  <si>
    <t>বিকল্প ২</t>
  </si>
  <si>
    <t>বিকল্প ৩</t>
  </si>
  <si>
    <t>বিকল্প ৪</t>
  </si>
  <si>
    <t>সঠিক বিকল্প</t>
  </si>
  <si>
    <t>ছবি</t>
  </si>
  <si>
    <t>Question no</t>
  </si>
  <si>
    <t>question</t>
  </si>
  <si>
    <t>Option 1</t>
  </si>
  <si>
    <t>Option 2</t>
  </si>
  <si>
    <t>Option 3</t>
  </si>
  <si>
    <t>Option 4</t>
  </si>
  <si>
    <t>correct option</t>
  </si>
  <si>
    <t>picture</t>
  </si>
  <si>
    <t>ছবিতে কোন খেলাটি দেখানো হয়েছে?</t>
  </si>
  <si>
    <t>ফেন্সিং</t>
  </si>
  <si>
    <t>বক্সিং</t>
  </si>
  <si>
    <t>টেনিস</t>
  </si>
  <si>
    <t>হা-ডু-ডু</t>
  </si>
  <si>
    <t>pic1</t>
  </si>
  <si>
    <t>প্রতিযোগিতার ধরণ কী?</t>
  </si>
  <si>
    <t>ব্যক্তিগত</t>
  </si>
  <si>
    <t>দলীয়</t>
  </si>
  <si>
    <t>আন্তর্জাতিক</t>
  </si>
  <si>
    <t>আঞ্চলিক</t>
  </si>
  <si>
    <t>ছবিতে একজন প্রতিযোগী কী করছে?</t>
  </si>
  <si>
    <t>সে বল ছুঁড়ছে</t>
  </si>
  <si>
    <t>সে বাতাসে লাফাচ্ছে</t>
  </si>
  <si>
    <t>সে স্থির হয়ে দাঁড়িয়ে আছে</t>
  </si>
  <si>
    <t>সে প্রতিদ্বন্দ্বীকে ধরে আছে</t>
  </si>
  <si>
    <t>pic2</t>
  </si>
  <si>
    <t>ছবিতে দেখানো প্রতিযোগিতার প্রধান লক্ষ্য কী?</t>
  </si>
  <si>
    <t>বল দখল করা</t>
  </si>
  <si>
    <t>লক্ষ্যবস্তুতে আঘাত করা</t>
  </si>
  <si>
    <t>মাঠের বিপরীত প্রান্তে পৌঁছানো</t>
  </si>
  <si>
    <t>প্রতিদ্বন্দ্বীদের ছুঁয়ে স্পর্শ এড়ানো</t>
  </si>
  <si>
    <t>কুস্তি</t>
  </si>
  <si>
    <t>pic3</t>
  </si>
  <si>
    <t>প্রতিদ্বন্দ্বীকে মাটিতে ফেলে দেওয়া</t>
  </si>
  <si>
    <t>ছবিতে কোন ধরণের ইভেন্ট দেখানো হয়েছে?</t>
  </si>
  <si>
    <t>ব্যক্তিগত ইভেন্ট</t>
  </si>
  <si>
    <t>সামাজিক ইভেন্ট</t>
  </si>
  <si>
    <t>পারিবারিক উৎসব</t>
  </si>
  <si>
    <t>প্রশিক্ষণ</t>
  </si>
  <si>
    <t>pic4</t>
  </si>
  <si>
    <t>ছবিতে বেশিরভাগ দর্শক কী করছে?</t>
  </si>
  <si>
    <t>বসে আছে</t>
  </si>
  <si>
    <t>পড়ছে</t>
  </si>
  <si>
    <t>খেলা দেখছে</t>
  </si>
  <si>
    <t>অন্য একটি খেলা খেলছে</t>
  </si>
  <si>
    <t>ছবিতে কী ঘটছে?</t>
  </si>
  <si>
    <t>গোষ্ঠী কার্যকলাপ</t>
  </si>
  <si>
    <t>ব্যক্তিগত প্রশিক্ষণ</t>
  </si>
  <si>
    <t>কর্মসংক্রান্ত ইভেন্ট</t>
  </si>
  <si>
    <t>সামাজিক প্রতিযোগিতা</t>
  </si>
  <si>
    <t>pic5</t>
  </si>
  <si>
    <t>ছবিতে ইভেন্টটি কোথায় ঘটছে?</t>
  </si>
  <si>
    <t>ঘরের ভিতরে</t>
  </si>
  <si>
    <t>খোলা জায়গায়</t>
  </si>
  <si>
    <t>স্টেডিয়ামে</t>
  </si>
  <si>
    <t>জিমে</t>
  </si>
  <si>
    <t>ছবিতে খেলোয়াড়রা কী করছে?</t>
  </si>
  <si>
    <t>একে অপরের সঙ্গে লড়ছে</t>
  </si>
  <si>
    <t>গান গাচ্ছে</t>
  </si>
  <si>
    <t>ফুটবল খেলছে</t>
  </si>
  <si>
    <t>কাবাডি খেলছে</t>
  </si>
  <si>
    <t>pic6</t>
  </si>
  <si>
    <t>ছবিতে দেখানো খেলার প্রধান লক্ষ্য কী?</t>
  </si>
  <si>
    <t>পতাকা দখল করা</t>
  </si>
  <si>
    <t>স্পর্শ এড়ানো</t>
  </si>
  <si>
    <t>pic7</t>
  </si>
  <si>
    <t>ছবিতে খেলোয়াড়রা কোন কৌশল ব্যবহার করছে?</t>
  </si>
  <si>
    <t>চারদিক থেকে আক্রমণ</t>
  </si>
  <si>
    <t>নিজের মাঠ রক্ষা করা</t>
  </si>
  <si>
    <t>ছবিতে খেলার জন্য কতজন খেলোয়াড় অংশগ্রহণ করেছে?</t>
  </si>
  <si>
    <t>৫ জন</t>
  </si>
  <si>
    <t>৭ জন</t>
  </si>
  <si>
    <t>৯ জন</t>
  </si>
  <si>
    <t>১১ জন</t>
  </si>
  <si>
    <t>pic8</t>
  </si>
  <si>
    <t>ক্রীড়া উৎসব</t>
  </si>
  <si>
    <t>ছবিতে ভিড় কী করছে?</t>
  </si>
  <si>
    <t>খেলা খেলছে</t>
  </si>
  <si>
    <t>খাবার বিক্রি করছে</t>
  </si>
  <si>
    <t>ম্যাচ দেখছে</t>
  </si>
  <si>
    <t>বই পড়ছে</t>
  </si>
  <si>
    <t>pic9</t>
  </si>
  <si>
    <t>ছবিতে শিশুরা কী প্রদর্শন করছে?</t>
  </si>
  <si>
    <t>ভিডিও গেম খেলছে</t>
  </si>
  <si>
    <t>প্রথাগত খেলা খেলছে</t>
  </si>
  <si>
    <t>নাচছে</t>
  </si>
  <si>
    <t>ছবিতে প্রদর্শিত আবহাওয়া কী?</t>
  </si>
  <si>
    <t>আনুষ্ঠানিক</t>
  </si>
  <si>
    <t>দুঃখজনক</t>
  </si>
  <si>
    <t>উল্লাসিত</t>
  </si>
  <si>
    <t>উত্তেজনাপূর্ণ</t>
  </si>
  <si>
    <t>pic10</t>
  </si>
  <si>
    <t>ছবিতে দলগুলো কীভাবে আলাদা করা হয়েছে?</t>
  </si>
  <si>
    <t>জার্সির রঙ</t>
  </si>
  <si>
    <t>খেলোয়াড়দের আকার</t>
  </si>
  <si>
    <t>জুতোর ধরন</t>
  </si>
  <si>
    <t>উচ্চতা</t>
  </si>
  <si>
    <t>স্কোরবোর্ডে কোন দেশটি প্রদর্শিত হয়েছে?</t>
  </si>
  <si>
    <t>ভারত</t>
  </si>
  <si>
    <t>বাংলাদেশ</t>
  </si>
  <si>
    <t>পাকিস্তান</t>
  </si>
  <si>
    <t>শ্রীলঙ্কা</t>
  </si>
  <si>
    <t>pic11</t>
  </si>
  <si>
    <t>ছবিতে লাল জার্সি পরা খেলোয়াড়রা কী করছে?</t>
  </si>
  <si>
    <t>বিশ্রাম নিচ্ছে</t>
  </si>
  <si>
    <t>নিজেদের এলাকা রক্ষা করছে</t>
  </si>
  <si>
    <t>আক্রমণ করছে</t>
  </si>
  <si>
    <t>অন্য খেলা খেলছে</t>
  </si>
  <si>
    <t>ছবিতে নীল জার্সি পরা মূল খেলোয়াড়ের কোন অংশ মাটিতে রয়েছে?</t>
  </si>
  <si>
    <t>হাত</t>
  </si>
  <si>
    <t>পা</t>
  </si>
  <si>
    <t>মাথা</t>
  </si>
  <si>
    <t>মধ্যাংশ</t>
  </si>
  <si>
    <t>pic12</t>
  </si>
  <si>
    <t>ছবিতে লাল জার্সি পরা খেলোয়াড়ের ভূমিকা কী?</t>
  </si>
  <si>
    <t>রক্ষক</t>
  </si>
  <si>
    <t>আক্রমণকারী</t>
  </si>
  <si>
    <t>রেফারি</t>
  </si>
  <si>
    <t>প্রশিক্ষক</t>
  </si>
  <si>
    <t>ছবিতে নীল জার্সি পরা খেলোয়াড় কোন কৌশল ব্যবহার করছে?</t>
  </si>
  <si>
    <t>ডাইভ</t>
  </si>
  <si>
    <t>ধরা</t>
  </si>
  <si>
    <t>আঘাত</t>
  </si>
  <si>
    <t>উল্টানো</t>
  </si>
  <si>
    <t>pic13</t>
  </si>
  <si>
    <t>ছবিতে লাল জার্সি পরা প্রধান খেলোয়াড় কী করছে?</t>
  </si>
  <si>
    <t>প্রতিপক্ষের উপর আক্রমণ করছে</t>
  </si>
  <si>
    <t>স্থির রয়েছে</t>
  </si>
  <si>
    <t>বিপরীত দিকে দৌড়াচ্ছে</t>
  </si>
  <si>
    <t>ছবিতে কোন কৌশল ব্যবহার করা হয়েছে?</t>
  </si>
  <si>
    <t>এলাকা দখল</t>
  </si>
  <si>
    <t>রক্ষা</t>
  </si>
  <si>
    <t>আক্রমণ</t>
  </si>
  <si>
    <t>প্রতিপক্ষকে এড়ানো</t>
  </si>
  <si>
    <t>pic14</t>
  </si>
  <si>
    <t>ছবিতে খেলোয়াড়রা কী প্রদর্শন করছে?</t>
  </si>
  <si>
    <t>শক্তি</t>
  </si>
  <si>
    <t>আঘাতের কৌশল</t>
  </si>
  <si>
    <t>নমনীয়তা</t>
  </si>
  <si>
    <t>দলের কাজ</t>
  </si>
  <si>
    <t>প্রতিপক্ষকে ছুঁয়ে ফিরে আসা</t>
  </si>
  <si>
    <t>গন্তব্যে পৌঁছানো</t>
  </si>
  <si>
    <t>pic16</t>
  </si>
  <si>
    <t>ছবিতে প্রদর্শিত ইভেন্টের আবহাওয়া কী?</t>
  </si>
  <si>
    <t>আরামদায়ক</t>
  </si>
  <si>
    <t>প্রতিযোগিতামূলক</t>
  </si>
  <si>
    <t>পেশাদারী</t>
  </si>
  <si>
    <t>প্রশিক্ষণমূলক</t>
  </si>
  <si>
    <t>ছবিতে অংশগ্রহণকারীরা কী প্রদর্শন করছে?</t>
  </si>
  <si>
    <t>গতি</t>
  </si>
  <si>
    <t>কৌশল</t>
  </si>
  <si>
    <t>pic17</t>
  </si>
  <si>
    <t>ছবিতে কী দেখানো হয়েছে?</t>
  </si>
  <si>
    <t>খেলোয়াড়দের সহযোগিতা</t>
  </si>
  <si>
    <t>প্রশিক্ষণ মুহূর্ত</t>
  </si>
  <si>
    <t>হঠাৎ খেলা</t>
  </si>
  <si>
    <t>প্রশিক্ষণ সেশন</t>
  </si>
  <si>
    <t>ছবিতে সবুজ জার্সি পরা খেলোয়াড়ের ভূমিকা কী?</t>
  </si>
  <si>
    <t>দলের অধিনায়ক</t>
  </si>
  <si>
    <t>pic18</t>
  </si>
  <si>
    <t>রাখবাড়ি</t>
  </si>
  <si>
    <t>ভলিবল</t>
  </si>
  <si>
    <t>কাবাডি</t>
  </si>
  <si>
    <t>নিজের এলাকা রক্ষা করছে</t>
  </si>
  <si>
    <t>প্রতিদ্বন্দ্বীকে ফেলে দিচ্ছে</t>
  </si>
  <si>
    <t>বল দিচ্ছে</t>
  </si>
  <si>
    <t>মাটিতে পড়ে যাচ্ছে</t>
  </si>
  <si>
    <t>pic19</t>
  </si>
  <si>
    <t>pic20</t>
  </si>
  <si>
    <t>ছবিতে নীল জার্সি পরা খেলোয়াড়ের ভূমিকা কী?</t>
  </si>
  <si>
    <t>একে অপরের উপর আক্রমণ করছে</t>
  </si>
  <si>
    <t>pic22</t>
  </si>
  <si>
    <t>ব্যক্তিগত দক্ষতা</t>
  </si>
  <si>
    <t>ছবিতে কার্যকলাপের উদ্দেশ্য কী?</t>
  </si>
  <si>
    <t>প্রতিযোগিতা</t>
  </si>
  <si>
    <t>খেলা</t>
  </si>
  <si>
    <t>উৎসব</t>
  </si>
  <si>
    <t>pic23</t>
  </si>
  <si>
    <t>ছবিতে অংশগ্রহণকারীরা কী করছে?</t>
  </si>
  <si>
    <t>প্রশিক্ষণ নিচ্ছে</t>
  </si>
  <si>
    <t>আচার পালন করছে</t>
  </si>
  <si>
    <t>ছবিতে লাল জার্সি পরা প্রধান খেলোয়াড় কী প্রদর্শন করছে?</t>
  </si>
  <si>
    <t>পাস খেলা</t>
  </si>
  <si>
    <t>থেমে থাকা</t>
  </si>
  <si>
    <t>pic24</t>
  </si>
  <si>
    <t>ছবিতে প্রদর্শিত কার্যকলাপের প্রধান উদ্দেশ্য কী?</t>
  </si>
  <si>
    <t>প্রতিপক্ষের উপর আক্রমণ</t>
  </si>
  <si>
    <t>দূরত্ব কমানো</t>
  </si>
  <si>
    <t>রক্ষার কার্যক্রম</t>
  </si>
  <si>
    <t>ব্যক্তিগত প্রচেষ্টা</t>
  </si>
  <si>
    <t>আক্রমণের কৌশল</t>
  </si>
  <si>
    <t>pic25</t>
  </si>
  <si>
    <t>ছবিতে সামনের খেলোয়াড়ের উদ্দেশ্য কী?</t>
  </si>
  <si>
    <t>ধরা এড়ানো</t>
  </si>
  <si>
    <t>প্রতিদ্বন্দ্বীকে ছোঁয়া</t>
  </si>
  <si>
    <t>গোল করা</t>
  </si>
  <si>
    <t>ছবিতে লাল জার্সি পরা খেলোয়াড় কী করছে?</t>
  </si>
  <si>
    <t>মাটি থেকে উঠছে</t>
  </si>
  <si>
    <t>pic26</t>
  </si>
  <si>
    <t>পতাকা দখল</t>
  </si>
  <si>
    <t>হকি</t>
  </si>
  <si>
    <t>ক্রিকেট</t>
  </si>
  <si>
    <t>ফুটবল</t>
  </si>
  <si>
    <t>pic27</t>
  </si>
  <si>
    <t>ছবিতে সামনের খেলোয়াড়রা কী করছে?</t>
  </si>
  <si>
    <t>রক্ষা করছে</t>
  </si>
  <si>
    <t>থেমে রয়েছে</t>
  </si>
  <si>
    <t>দৌড়াচ্ছে</t>
  </si>
  <si>
    <t>How many players are on the field at once for one team?</t>
  </si>
  <si>
    <t>What is the main objective of the raider?</t>
  </si>
  <si>
    <t>Run the fastest</t>
  </si>
  <si>
    <t>Score points by touching opponents</t>
  </si>
  <si>
    <t>Tackle opponents</t>
  </si>
  <si>
    <t>Catch the ball</t>
  </si>
  <si>
    <t>What surface is the game typically played on?</t>
  </si>
  <si>
    <t>Sand or water</t>
  </si>
  <si>
    <t>Mud or grass</t>
  </si>
  <si>
    <t>Asphalt or concrete</t>
  </si>
  <si>
    <t>Ice or snow</t>
  </si>
  <si>
    <t>What is the term for a player who enters the opponent's court?</t>
  </si>
  <si>
    <t>Defender</t>
  </si>
  <si>
    <t>Stopper</t>
  </si>
  <si>
    <t>Raider</t>
  </si>
  <si>
    <t>Catcher</t>
  </si>
  <si>
    <t>A key rule of the game is that the raider must hold their breath and chant. What happens if they stop chanting or take a breath on the opponent's side?</t>
  </si>
  <si>
    <t>They get a bonus point</t>
  </si>
  <si>
    <t>They are out</t>
  </si>
  <si>
    <t>The game pauses</t>
  </si>
  <si>
    <t>The opponent's team gets a time-out</t>
  </si>
  <si>
    <t>What is the condition of the playing surface?</t>
  </si>
  <si>
    <t>Paved and dry</t>
  </si>
  <si>
    <t>Grassy and wet</t>
  </si>
  <si>
    <t>Muddy and uneven</t>
  </si>
  <si>
    <t>Sandy and flat</t>
  </si>
  <si>
    <t>What is the primary role of the person in the yellow shorts?</t>
  </si>
  <si>
    <t>He is a defender</t>
  </si>
  <si>
    <t>He is the referee</t>
  </si>
  <si>
    <t>He is the raider</t>
  </si>
  <si>
    <t>He is a spectator</t>
  </si>
  <si>
    <t>How many officials are visibly managing the game?</t>
  </si>
  <si>
    <t>One</t>
  </si>
  <si>
    <t>None</t>
  </si>
  <si>
    <t>Two</t>
  </si>
  <si>
    <t>More than two</t>
  </si>
  <si>
    <t>What is the overall mood of the crowd surrounding the match?</t>
  </si>
  <si>
    <t>Uninterested</t>
  </si>
  <si>
    <t>Bored</t>
  </si>
  <si>
    <t>Engaged and excited</t>
  </si>
  <si>
    <t>Sleepy</t>
  </si>
  <si>
    <t>What part of the raider’s body is about to cross the line?</t>
  </si>
  <si>
    <t>His head</t>
  </si>
  <si>
    <t>His hand</t>
  </si>
  <si>
    <t>His foot</t>
  </si>
  <si>
    <t>His shoulder</t>
  </si>
  <si>
    <t>What is the approximate number of people in the crowd in the background?</t>
  </si>
  <si>
    <t>Less than 10</t>
  </si>
  <si>
    <t>10 to 20</t>
  </si>
  <si>
    <t>20 to 50</t>
  </si>
  <si>
    <t>Over 50</t>
  </si>
  <si>
    <t>What can be seen in the background behind the crowd?</t>
  </si>
  <si>
    <t>A lake</t>
  </si>
  <si>
    <t>A stadium</t>
  </si>
  <si>
    <t>A building with a green banner</t>
  </si>
  <si>
    <t>A blue sky with some clouds</t>
  </si>
  <si>
    <t>What is the main color of the shorts worn by the contestant on the right?</t>
  </si>
  <si>
    <t>Green</t>
  </si>
  <si>
    <t>White</t>
  </si>
  <si>
    <t>Blue</t>
  </si>
  <si>
    <t>Red</t>
  </si>
  <si>
    <t>What is the contestant on the right doing with his legs?</t>
  </si>
  <si>
    <t>Kicking the opponent</t>
  </si>
  <si>
    <t>Trying to get a grip on the opponent</t>
  </si>
  <si>
    <t>Standing still</t>
  </si>
  <si>
    <t>Bending them</t>
  </si>
  <si>
    <t>What is the hairstyle of the contestant on the right?</t>
  </si>
  <si>
    <t>Long hair</t>
  </si>
  <si>
    <t>Bald</t>
  </si>
  <si>
    <t>Short hair</t>
  </si>
  <si>
    <t>Ponytail</t>
  </si>
  <si>
    <t>What is the main color of the jersey worn by the boy in the middle?</t>
  </si>
  <si>
    <t>Yellow</t>
  </si>
  <si>
    <t>What can be seen behind the playing field?</t>
  </si>
  <si>
    <t>A concrete wall</t>
  </si>
  <si>
    <t>A forest of palm trees</t>
  </si>
  <si>
    <t>A city skyline</t>
  </si>
  <si>
    <t>A large river</t>
  </si>
  <si>
    <t>What is the contestant on the right with the green and black shorts trying to do?</t>
  </si>
  <si>
    <t>Tag an opponent's arm</t>
  </si>
  <si>
    <t>Stop a player from crossing the line</t>
  </si>
  <si>
    <t>Catch a ball</t>
  </si>
  <si>
    <t>Throw an opponent to the ground</t>
  </si>
  <si>
    <t>What are the contestants' feet covered in?</t>
  </si>
  <si>
    <t>Mud</t>
  </si>
  <si>
    <t>Sand</t>
  </si>
  <si>
    <t>Water</t>
  </si>
  <si>
    <t>Grass</t>
  </si>
  <si>
    <t>What are the people in the crowd holding in their hands?</t>
  </si>
  <si>
    <t>Food</t>
  </si>
  <si>
    <t>Mobile phones</t>
  </si>
  <si>
    <t>Water bottles</t>
  </si>
  <si>
    <t>Flags</t>
  </si>
  <si>
    <t>What are the players' feet mostly covered in?</t>
  </si>
  <si>
    <t>Mud and dirt</t>
  </si>
  <si>
    <t>How are the players positioned relative to each other?</t>
  </si>
  <si>
    <t>In a line</t>
  </si>
  <si>
    <t>In a huddle</t>
  </si>
  <si>
    <t>Facing each other in a crouch</t>
  </si>
  <si>
    <t>Sitting down</t>
  </si>
  <si>
    <t>What is the main color of the clothing of the player in the very middle?</t>
  </si>
  <si>
    <t>Green and white striped shirt</t>
  </si>
  <si>
    <t>Plain blue shorts</t>
  </si>
  <si>
    <t>Plain green tank top</t>
  </si>
  <si>
    <t>White and blue jersey</t>
  </si>
  <si>
    <t>What is the overall posture of the players in the front?</t>
  </si>
  <si>
    <t>Relaxed and upright</t>
  </si>
  <si>
    <t>Stretched and running</t>
  </si>
  <si>
    <t>Crouching low and tense</t>
  </si>
  <si>
    <t>Standing on one foot</t>
  </si>
  <si>
    <t>What is the likely age range of the spectators?</t>
  </si>
  <si>
    <t>All adults</t>
  </si>
  <si>
    <t>Only children</t>
  </si>
  <si>
    <t>Mixed ages including children and adults</t>
  </si>
  <si>
    <t>All elderly people</t>
  </si>
  <si>
    <t>What are the players wearing on their knees?</t>
  </si>
  <si>
    <t>Knee pads</t>
  </si>
  <si>
    <t>Nothing</t>
  </si>
  <si>
    <t>Socks</t>
  </si>
  <si>
    <t>Ankle wraps</t>
  </si>
  <si>
    <t>What color are the jerseys of the players in the front?</t>
  </si>
  <si>
    <t>Blue and white</t>
  </si>
  <si>
    <t>Red and black</t>
  </si>
  <si>
    <t>Green and white</t>
  </si>
  <si>
    <t>Yellow and blue</t>
  </si>
  <si>
    <t>What is the referee wearing?</t>
  </si>
  <si>
    <t>A green uniform</t>
  </si>
  <si>
    <t>A traditional dress</t>
  </si>
  <si>
    <t>A white polo shirt and white pants</t>
  </si>
  <si>
    <t>A striped t-shirt</t>
  </si>
  <si>
    <t>What is the overall setting of the game?</t>
  </si>
  <si>
    <t>An indoor stadium</t>
  </si>
  <si>
    <t>A grassy field</t>
  </si>
  <si>
    <t>A sandy or dirt field</t>
  </si>
  <si>
    <t>A street</t>
  </si>
  <si>
    <t>What is the physical state of the player on the ground?</t>
  </si>
  <si>
    <t>He is running away from the opponent</t>
  </si>
  <si>
    <t>He is being held down by opponents</t>
  </si>
  <si>
    <t>He is standing still</t>
  </si>
  <si>
    <t>He is giving a handshake</t>
  </si>
  <si>
    <t>What is the overall mood of the players shown?</t>
  </si>
  <si>
    <t>Angry and aggressive</t>
  </si>
  <si>
    <t>Calm and focused</t>
  </si>
  <si>
    <t>Cheerful and energetic</t>
  </si>
  <si>
    <t>Bored and tired</t>
  </si>
  <si>
    <t>What color are the clothes of the players in the front?</t>
  </si>
  <si>
    <t>All black</t>
  </si>
  <si>
    <t>All white</t>
  </si>
  <si>
    <t>White with dark accents</t>
  </si>
  <si>
    <t>All gray</t>
  </si>
  <si>
    <t>What is the player on the far left doing?</t>
  </si>
  <si>
    <t>Trying to tackle a player</t>
  </si>
  <si>
    <t>Running towards the center</t>
  </si>
  <si>
    <t>Yelling at the referee</t>
  </si>
  <si>
    <t>What kind of clothing is worn by the spectators?</t>
  </si>
  <si>
    <t>Uniforms</t>
  </si>
  <si>
    <t>Traditional clothes and casual shirts</t>
  </si>
  <si>
    <t>Only sports wear</t>
  </si>
  <si>
    <t>Formal suits</t>
  </si>
  <si>
    <t>Paved with concrete</t>
  </si>
  <si>
    <t>Wet and muddy</t>
  </si>
  <si>
    <t>Dry and dusty</t>
  </si>
  <si>
    <t>Covered with grass</t>
  </si>
  <si>
    <t>Leg sleeves</t>
  </si>
  <si>
    <t>What color are the uniforms of the players?</t>
  </si>
  <si>
    <t>Blue and black</t>
  </si>
  <si>
    <t>What is in the background of the playing field?</t>
  </si>
  <si>
    <t>Palm trees and other vegetation</t>
  </si>
  <si>
    <t>What are the spectators on the far left doing?</t>
  </si>
  <si>
    <t>Yelling at the players</t>
  </si>
  <si>
    <t>Sitting on benches</t>
  </si>
  <si>
    <t>Running away</t>
  </si>
  <si>
    <t>Taking pictures</t>
  </si>
  <si>
    <t>What is the contestant on the right with his hand on the ground doing?</t>
  </si>
  <si>
    <t>Preparing to tag an opponent</t>
  </si>
  <si>
    <t>Falling down</t>
  </si>
  <si>
    <t>Doing a push-up</t>
  </si>
  <si>
    <t>Stretching</t>
  </si>
  <si>
    <t>What are the players' shoes?</t>
  </si>
  <si>
    <t>Sneakers</t>
  </si>
  <si>
    <t>Sandals</t>
  </si>
  <si>
    <t>Boots</t>
  </si>
  <si>
    <t>They are barefoot</t>
  </si>
  <si>
    <t>What is the contestant on the left doing with his hand?</t>
  </si>
  <si>
    <t>Waving at the crowd</t>
  </si>
  <si>
    <t>Shaking hands with his opponent</t>
  </si>
  <si>
    <t>Holding his hand up in a defensive posture</t>
  </si>
  <si>
    <t>Hitting his opponent</t>
  </si>
  <si>
    <t>Brightly colored</t>
  </si>
  <si>
    <t>Dark and light grays</t>
  </si>
  <si>
    <t>Traditional and casual attire</t>
  </si>
  <si>
    <t>What is the contestant on the right doing with his body?</t>
  </si>
  <si>
    <t>Trying to catch his balance</t>
  </si>
  <si>
    <t>Running away from the opponent</t>
  </si>
  <si>
    <t>Trying to avoid being tagged</t>
  </si>
  <si>
    <t>Standing upright</t>
  </si>
  <si>
    <t>What are the players' feet covered in?</t>
  </si>
  <si>
    <t>Shoes</t>
  </si>
  <si>
    <t>How many players are actively involved in the tackle?</t>
  </si>
  <si>
    <t>What color uniform are most of the players wearing?</t>
  </si>
  <si>
    <t>Yellow and red</t>
  </si>
  <si>
    <t>Green and red</t>
  </si>
  <si>
    <t>Yellow and black</t>
  </si>
  <si>
    <t>What is the opponent doing while being tackled?</t>
  </si>
  <si>
    <t>Trying to get away</t>
  </si>
  <si>
    <t>Trying to run faster</t>
  </si>
  <si>
    <t>Laughing</t>
  </si>
  <si>
    <t>What is the likely age range of the players?</t>
  </si>
  <si>
    <t>20-30</t>
  </si>
  <si>
    <t>30-40</t>
  </si>
  <si>
    <t>What is the playing surface made of?</t>
  </si>
  <si>
    <t>Concrete</t>
  </si>
  <si>
    <t>What is the main color of the team's jersey on the right side of the picture?</t>
  </si>
  <si>
    <t>Red and green</t>
  </si>
  <si>
    <t>Blue and red</t>
  </si>
  <si>
    <t>White and red</t>
  </si>
  <si>
    <t>What is the overall gender of the players in the picture?</t>
  </si>
  <si>
    <t>Only males</t>
  </si>
  <si>
    <t>Only females</t>
  </si>
  <si>
    <t>Mixed males and females</t>
  </si>
  <si>
    <t>Not clear from the picture</t>
  </si>
  <si>
    <t>What is the number printed on the back of the jersey of the player with her back to the camera?</t>
  </si>
  <si>
    <t>What is the contestant on the ground doing?</t>
  </si>
  <si>
    <t>Lying down to take a rest</t>
  </si>
  <si>
    <t>Trying to get away from the opponents</t>
  </si>
  <si>
    <t>Trying to score a point</t>
  </si>
  <si>
    <t>What is the overall tone of the image?</t>
  </si>
  <si>
    <t>Bright and colorful</t>
  </si>
  <si>
    <t>Humorous</t>
  </si>
  <si>
    <t>Dramatic and intense</t>
  </si>
  <si>
    <t>Dull and uneventful</t>
  </si>
  <si>
    <t>What is the playing surface like?</t>
  </si>
  <si>
    <t>Grassy</t>
  </si>
  <si>
    <t>Dry and sandy</t>
  </si>
  <si>
    <t>What kind of clothing are the contestants wearing?</t>
  </si>
  <si>
    <t>Traditional shorts</t>
  </si>
  <si>
    <t>Full uniforms</t>
  </si>
  <si>
    <t>Casual shorts and sleeveless tops</t>
  </si>
  <si>
    <t>Regular clothing like shirts and pants</t>
  </si>
  <si>
    <t>What is the player in the air doing?</t>
  </si>
  <si>
    <t>He is jumping over his opponents</t>
  </si>
  <si>
    <t>He is getting ready to land</t>
  </si>
  <si>
    <t>He is trying to get out of bounds</t>
  </si>
  <si>
    <t>He is doing a flip</t>
  </si>
  <si>
    <t>What color are the players' uniforms?</t>
  </si>
  <si>
    <t>Black and white</t>
  </si>
  <si>
    <t>What is the main characteristic of this photograph?</t>
  </si>
  <si>
    <t>It is in color</t>
  </si>
  <si>
    <t>It is an old photograph</t>
  </si>
  <si>
    <t>It is blurry</t>
  </si>
  <si>
    <t>It shows a stadium</t>
  </si>
  <si>
    <t>What is the body language of the player on the far right?</t>
  </si>
  <si>
    <t>He is running away from the action</t>
  </si>
  <si>
    <t>He is watching the crowd</t>
  </si>
  <si>
    <t>He is looking at the sky</t>
  </si>
  <si>
    <t>He is reaching out to tackle the opponent</t>
  </si>
  <si>
    <t>What is the posture of the player crouching on the left side of the picture?</t>
  </si>
  <si>
    <t>He is running fast</t>
  </si>
  <si>
    <t>He is falling down</t>
  </si>
  <si>
    <t>He is in a defensive stance</t>
  </si>
  <si>
    <t>He is stretching</t>
  </si>
  <si>
    <t>What are the contestants on the ground doing?</t>
  </si>
  <si>
    <t>Resting</t>
  </si>
  <si>
    <t>Tying their shoelaces</t>
  </si>
  <si>
    <t>Being tackled by the opponent</t>
  </si>
  <si>
    <t>Standing up</t>
  </si>
  <si>
    <t>What is the body of water visible in the background?</t>
  </si>
  <si>
    <t>A swimming pool</t>
  </si>
  <si>
    <t>A river or a lake</t>
  </si>
  <si>
    <t>The ocean</t>
  </si>
  <si>
    <t>A puddle</t>
  </si>
  <si>
    <t>What is the overall posture of the player standing in the middle?</t>
  </si>
  <si>
    <t>In a defensive position</t>
  </si>
  <si>
    <t>Crouching low</t>
  </si>
  <si>
    <t>Walking casually</t>
  </si>
  <si>
    <t>What kind of clothing are the spectators wearing?</t>
  </si>
  <si>
    <t>Traditional rural attire</t>
  </si>
  <si>
    <t>Sports wear</t>
  </si>
  <si>
    <t>What is the facial expression of the player in the blue jersey in the front?</t>
  </si>
  <si>
    <t>He is laughing</t>
  </si>
  <si>
    <t>He is angry or determined</t>
  </si>
  <si>
    <t>He is happy</t>
  </si>
  <si>
    <t>He is scared</t>
  </si>
  <si>
    <t>A concrete floor</t>
  </si>
  <si>
    <t>A wooden court</t>
  </si>
  <si>
    <t>A wrestling mat with lines</t>
  </si>
  <si>
    <t>What is the body position of the player in the green jersey?</t>
  </si>
  <si>
    <t>He is standing straight</t>
  </si>
  <si>
    <t>He is running away</t>
  </si>
  <si>
    <t>He is in a low, defensive crouch</t>
  </si>
  <si>
    <t>He is lying down</t>
  </si>
  <si>
    <t>What is the setting of the match?</t>
  </si>
  <si>
    <t>An outdoor field</t>
  </si>
  <si>
    <t>A large indoor stadium</t>
  </si>
  <si>
    <t>A village courtyard</t>
  </si>
  <si>
    <t>A school gym</t>
  </si>
  <si>
    <t>What is the player on the far left doing with his hands?</t>
  </si>
  <si>
    <t>He is stretching his hands</t>
  </si>
  <si>
    <t>He is holding a bottle</t>
  </si>
  <si>
    <t>He is putting his hands on his hips</t>
  </si>
  <si>
    <t>He is waving at the crowd</t>
  </si>
  <si>
    <t>ছবিতে কোন খেলার ছবি দেখানো হয়েছে?</t>
  </si>
  <si>
    <t>বাস্কেটবল</t>
  </si>
  <si>
    <t>বামপাশের ফেন্সিং খেলোয়াড়ের পোশাকে কোন দেশের নাম উল্লেখ করা হয়েছে?</t>
  </si>
  <si>
    <t>জার্মানি</t>
  </si>
  <si>
    <t>ফ্রান্স</t>
  </si>
  <si>
    <t>ইতালি</t>
  </si>
  <si>
    <t>ছবিতে দেখানো প্রতিযোগিতার স্থানটি কোথায়?</t>
  </si>
  <si>
    <t>ছবিতে কুস্তি প্রতিযোগিতার জন্য কোন ধরণের মেঝে ব্যবহার করা হয়েছে?</t>
  </si>
  <si>
    <t>কাঠের মেঝে</t>
  </si>
  <si>
    <t>বালু</t>
  </si>
  <si>
    <t>রাবার</t>
  </si>
  <si>
    <t>ঘাস</t>
  </si>
  <si>
    <t>পেছনের দর্শকরা কী প্রদর্শন করছে?</t>
  </si>
  <si>
    <t>খেলোয়াড়দের উৎসাহ দিচ্ছে</t>
  </si>
  <si>
    <t>শান্তভাবে বসে আছে</t>
  </si>
  <si>
    <t>ছবিতে সাদা পোশাকের প্রধান খেলোয়াড় কী করছে?</t>
  </si>
  <si>
    <t>কুস্তি করছে</t>
  </si>
  <si>
    <t>একটি খেলা খেলছে</t>
  </si>
  <si>
    <t>উৎসাহ</t>
  </si>
  <si>
    <t>উদাসীনতা</t>
  </si>
  <si>
    <t>অবাক হওয়া</t>
  </si>
  <si>
    <t>দুঃখ</t>
  </si>
  <si>
    <t>ছবিতে প্রতিযোগিতার স্থানটি কোথায়?</t>
  </si>
  <si>
    <t>মাঠ</t>
  </si>
  <si>
    <t>স্টেডিয়াম</t>
  </si>
  <si>
    <t>স্পোর্টস হল</t>
  </si>
  <si>
    <t>খেলার মাঠ</t>
  </si>
  <si>
    <t>ছবিতে ঐতিহ্যবাহী ঢোল বাজানো ব্যক্তি কী করছে?</t>
  </si>
  <si>
    <t>খেলার প্রস্তুতি নিচ্ছে</t>
  </si>
  <si>
    <t>ঢোল প্রদর্শন করছে</t>
  </si>
  <si>
    <t>ছবিতে দুই কুস্তিগীর কী প্রদর্শন করছে?</t>
  </si>
  <si>
    <t>শক্তি প্রদর্শন</t>
  </si>
  <si>
    <t>নৃত্য প্রদর্শন</t>
  </si>
  <si>
    <t>ছবিতে দর্শকদের ভূমিকা কী?</t>
  </si>
  <si>
    <t>বিচারক</t>
  </si>
  <si>
    <t>প্রতিযোগী</t>
  </si>
  <si>
    <t>পর্যবেক্ষক</t>
  </si>
  <si>
    <t>কুস্তিগীরদের ব্যবহৃত প্রধান কৌশল কী?</t>
  </si>
  <si>
    <t>পায়ের নিচ দিয়ে যাওয়া</t>
  </si>
  <si>
    <t>আটক করা</t>
  </si>
  <si>
    <t>আঘাত করা</t>
  </si>
  <si>
    <t>উড়িয়ে দেওয়া</t>
  </si>
  <si>
    <t>ছবিতে প্রতিযোগিতার পরিবেশ কী রকম?</t>
  </si>
  <si>
    <t>আনন্দময়</t>
  </si>
  <si>
    <t>উদ্বেগপূর্ণ</t>
  </si>
  <si>
    <t>শান্ত</t>
  </si>
  <si>
    <t>নীরস</t>
  </si>
  <si>
    <t>কালো শর্টস পরা কুস্তিগীর কী করার চেষ্টা করছে?</t>
  </si>
  <si>
    <t>প্রতিপক্ষকে উঠানো</t>
  </si>
  <si>
    <t>প্রতিপক্ষকে ধরে রাখা</t>
  </si>
  <si>
    <t>প্রতিপক্ষকে ছুঁড়ে ফেলা</t>
  </si>
  <si>
    <t>ঘোরানো</t>
  </si>
  <si>
    <t>পেছনের দর্শকদের আবেগ কী?</t>
  </si>
  <si>
    <t>উত্তেজনা</t>
  </si>
  <si>
    <t>অসন্তোষ</t>
  </si>
  <si>
    <t>আনন্দ</t>
  </si>
  <si>
    <t>প্রতিপক্ষকে ধরে রাখার জন্য ব্যবহৃত কৌশল কী?</t>
  </si>
  <si>
    <t>মাথার আটক</t>
  </si>
  <si>
    <t>হাতের আটক</t>
  </si>
  <si>
    <t>পেছনের দর্শকরা কী করছে?</t>
  </si>
  <si>
    <t>উৎসাহ দিচ্ছে</t>
  </si>
  <si>
    <t>আগ্রহ দেখাচ্ছে</t>
  </si>
  <si>
    <t>শান্ত রয়েছে</t>
  </si>
  <si>
    <t>উদাসীন</t>
  </si>
  <si>
    <t>হলুদ টুপি এবং লাল স্কার্ফ পরা ব্যক্তির ভূমিকা কী?</t>
  </si>
  <si>
    <t>দর্শক</t>
  </si>
  <si>
    <t>আয়োজনকারী</t>
  </si>
  <si>
    <t>খেলোয়াড়</t>
  </si>
  <si>
    <t>ছবিতে কুস্তিগীরদের ব্যবহৃত প্রধান কৌশল কী?</t>
  </si>
  <si>
    <t>ছবির সামনের দৃশ্যে কী দেখানো হয়েছে?</t>
  </si>
  <si>
    <t>ফুটবল খেলা</t>
  </si>
  <si>
    <t>পারিবারিক পিকনিক</t>
  </si>
  <si>
    <t>লেকচার</t>
  </si>
  <si>
    <t>ছবিতে প্রতিযোগিতার স্থান কোথায়?</t>
  </si>
  <si>
    <t>সমুদ্র সৈকত</t>
  </si>
  <si>
    <t>পার্ক</t>
  </si>
  <si>
    <t>ছবিতে কী ধরণের ক্রিয়া চলছে?</t>
  </si>
  <si>
    <t>ছবিতে কোন ক্রিয়া চলছে?</t>
  </si>
  <si>
    <t>টেনিস খেলা</t>
  </si>
  <si>
    <t>প্রতিযোগিতার দর্শকদের প্রতিক্রিয়া কী?</t>
  </si>
  <si>
    <t>হতাশা</t>
  </si>
  <si>
    <t>সামনের দৃশ্যে কী দেখানো হয়েছে?</t>
  </si>
  <si>
    <t>নৃত্য</t>
  </si>
  <si>
    <t>পেছনের দৃশ্যে পতাকা কী নির্দেশ করছে?</t>
  </si>
  <si>
    <t>উত্সব</t>
  </si>
  <si>
    <t>ছবির বিচারক কী করছে?</t>
  </si>
  <si>
    <t>খেলা শুরুর সংকেত দিচ্ছে</t>
  </si>
  <si>
    <t>কুস্তিগীরদের অবস্থা পরীক্ষা করছে</t>
  </si>
  <si>
    <t>পরবর্তী রাউন্ডের জন্য প্রস্তুতি নিচ্ছে</t>
  </si>
  <si>
    <t>সাদা পোশাক পরা কুস্তিগীরের প্রধান কৌশল কী?</t>
  </si>
  <si>
    <t>স্থানান্তর</t>
  </si>
  <si>
    <t>ধরে রাখা</t>
  </si>
  <si>
    <t>pic15</t>
  </si>
  <si>
    <t>ছবিতে কুস্তিগীরদের ব্যবহৃত কৌশল কী?</t>
  </si>
  <si>
    <t>পর্যবেক্ষণ করছে</t>
  </si>
  <si>
    <t>খেলছে</t>
  </si>
  <si>
    <t>ছবিতে কতজন কুস্তিগীর রয়েছে?</t>
  </si>
  <si>
    <t>দুই</t>
  </si>
  <si>
    <t>তিন</t>
  </si>
  <si>
    <t>চার</t>
  </si>
  <si>
    <t>পাঁচ</t>
  </si>
  <si>
    <t>পেছনের ভিড় কী করছে?</t>
  </si>
  <si>
    <t>ছবি তুলছে</t>
  </si>
  <si>
    <t>গান গাইছে</t>
  </si>
  <si>
    <t>আঁকছে</t>
  </si>
  <si>
    <t>সামনের দৃশ্যে কী ক্রিয়া দেখানো হয়েছে?</t>
  </si>
  <si>
    <t>দৌড়</t>
  </si>
  <si>
    <t>নাচ</t>
  </si>
  <si>
    <t>ডান দিকের উপরের দর্শক কী করছে?</t>
  </si>
  <si>
    <t>ছবিতে কোন খেলার দৃশ্য দেখানো হয়েছে?</t>
  </si>
  <si>
    <t>আলাপ করছে</t>
  </si>
  <si>
    <t>প্রতিপক্ষকে হারানো</t>
  </si>
  <si>
    <t>আক্রমণ থামানো</t>
  </si>
  <si>
    <t>প্রতিপক্ষকে তোলার চেষ্টা করছে</t>
  </si>
  <si>
    <t>পেছনের দর্শকদের প্রতিক্রিয়া কী?</t>
  </si>
  <si>
    <t>pic21</t>
  </si>
  <si>
    <t>ছবিতে প্রধান কুস্তিগীর কী প্রদর্শন করছে?</t>
  </si>
  <si>
    <t>হাত তোলা</t>
  </si>
  <si>
    <t>পেছনের দর্শকদের ভূমিকা কী?</t>
  </si>
  <si>
    <t>ছবিতে বিজয় প্রকাশের দৃশ্য কী?</t>
  </si>
  <si>
    <t>লাঠি খেলায় অংশগ্রহণকারীদের ব্যবহৃত কৌশল কী?</t>
  </si>
  <si>
    <t>ছিনতাই</t>
  </si>
  <si>
    <t>ব্লকিং</t>
  </si>
  <si>
    <t>অংশগ্রহণকারী</t>
  </si>
  <si>
    <t>আয়োজক</t>
  </si>
  <si>
    <t>সামনের প্ল্যানে কোন কাজটি প্রদর্শিত হচ্ছে?</t>
  </si>
  <si>
    <t>লড়াই</t>
  </si>
  <si>
    <t>আচার অনুষ্ঠান</t>
  </si>
  <si>
    <t>পিছনের দর্শকদের কী দেখানো হয়েছে?</t>
  </si>
  <si>
    <t>সমর্থন</t>
  </si>
  <si>
    <t>আগ্রহ</t>
  </si>
  <si>
    <t>একঘেয়েমি</t>
  </si>
  <si>
    <t>নিষ্ক্রিয়তা</t>
  </si>
  <si>
    <t>প্রতিরক্ষার জন্য কোন কৌশলটি ব্যবহৃত হয়?</t>
  </si>
  <si>
    <t>পিছনের ড্রামের ব্যক্তির ভূমিকা কী?</t>
  </si>
  <si>
    <t>অংশগ্রহণকারীদের সমর্থন</t>
  </si>
  <si>
    <t>এই মুহূর্তে কোন কাজটি করা হচ্ছে?</t>
  </si>
  <si>
    <t>প্রতিরক্ষা</t>
  </si>
  <si>
    <t>পিছনের দর্শকরা কী করছে?</t>
  </si>
  <si>
    <t>লাঠি খেলায় অংশগ্রহণকারীদের মূল উদ্দেশ্য কী?</t>
  </si>
  <si>
    <t>জয়</t>
  </si>
  <si>
    <t>বিনোদন</t>
  </si>
  <si>
    <t>স্ব-প্রতিরক্ষা</t>
  </si>
  <si>
    <t>সামনের দর্শকদের প্রতিক্রিয়া কী?</t>
  </si>
  <si>
    <t>উচ্ছ্বাস</t>
  </si>
  <si>
    <t>আক্রমণের জন্য কোন কৌশলটি ব্যবহৃত হয়?</t>
  </si>
  <si>
    <t>পিছলানো</t>
  </si>
  <si>
    <t>ইভেন্টের উপস্থাপকের ভূমিকা কী?</t>
  </si>
  <si>
    <t>নিয়ম ঘোষণা</t>
  </si>
  <si>
    <t>অংশগ্রহণকারীদের প্রশিক্ষণ</t>
  </si>
  <si>
    <t>ইভেন্ট সংগঠন</t>
  </si>
  <si>
    <t>বিজয়ীদের পুরস্কার</t>
  </si>
  <si>
    <t>ছবিতে কী প্রদর্শিত হচ্ছে?</t>
  </si>
  <si>
    <t>দুইজন লাঠি সহ অংশগ্রহণকারী</t>
  </si>
  <si>
    <t>পাহলওয়ানের প্রশিক্ষণ</t>
  </si>
  <si>
    <t>নৃত্য প্রতিযোগিতা</t>
  </si>
  <si>
    <t>লড়াইয়ে দর্শকদের প্রতিক্রিয়া কী?</t>
  </si>
  <si>
    <t>লাঠি খেলায় অংশগ্রহণকারীরা কী প্রদর্শন করে?</t>
  </si>
  <si>
    <t>অস্ত্র পরিচালনার দক্ষতা</t>
  </si>
  <si>
    <t>সামনের প্ল্যানে কোন কাজটি করা হচ্ছে?</t>
  </si>
  <si>
    <t>অংশগ্রহণকারীরা কোন কৌশলটি ব্যবহার করছে?</t>
  </si>
  <si>
    <t>প্রতিযোগিতার উপস্থাপকের ভূমিকা কী?</t>
  </si>
  <si>
    <t>খেলার পরিচালক</t>
  </si>
  <si>
    <t>সামনের প্ল্যানে কী দেখানো হয়েছে?</t>
  </si>
  <si>
    <t>ফুটবল ম্যাচ</t>
  </si>
  <si>
    <t>প্রতিযোগিতার প্রতি দর্শকদের প্রতিক্রিয়া কী?</t>
  </si>
  <si>
    <t>সামনের অংশগ্রহণকারীরা কী প্রদর্শন করে?</t>
  </si>
  <si>
    <t>পিছনের দর্শকদের প্রতিক্রিয়া কী?</t>
  </si>
  <si>
    <t>সামনের অংশগ্রহণকারীরা কী করছে?</t>
  </si>
  <si>
    <t>যুদ্ধের কৌশল প্রদর্শন করছে</t>
  </si>
  <si>
    <t>বিরক্তি</t>
  </si>
  <si>
    <t>লাঠি খেলায় আক্রমণের জন্য কোন কৌশলটি ব্যবহৃত হয়?</t>
  </si>
  <si>
    <t>সামনের দর্শকদের ভূমিকা কী?</t>
  </si>
  <si>
    <t>পর্যবেক্ষণ</t>
  </si>
  <si>
    <t>ছবি তোলা</t>
  </si>
  <si>
    <t>গান গাওয়া</t>
  </si>
  <si>
    <t>কোন উপাদানটি সংস্কৃতির ইঙ্গিত দেয়?</t>
  </si>
  <si>
    <t>অলংকৃত স্থাপনা</t>
  </si>
  <si>
    <t>দেয়াল</t>
  </si>
  <si>
    <t>গাছ</t>
  </si>
  <si>
    <t>গাড়ি</t>
  </si>
  <si>
    <t>পিছনের ড্রামবাদকের ভূমিকা কী?</t>
  </si>
  <si>
    <t>ছন্দ প্রদান</t>
  </si>
  <si>
    <t>সামনের অংশগ্রহণকারীরা কোন কৌশলটি ব্যবহার করছে?</t>
  </si>
  <si>
    <t>লাঠি খেলায় যুদ্ধের দিকটি কী তুলে ধরে?</t>
  </si>
  <si>
    <t>লাঠি</t>
  </si>
  <si>
    <t>ঢাল</t>
  </si>
  <si>
    <t>তলোয়ার</t>
  </si>
  <si>
    <t>ঘোড়া</t>
  </si>
  <si>
    <t>সামনের উপস্থাপক কী করছে?</t>
  </si>
  <si>
    <t>প্রদর্শন পরিচালনা করছে</t>
  </si>
  <si>
    <t>লাঠি দিয়ে আঘাত করছে</t>
  </si>
  <si>
    <t>ড্রাম বাজাচ্ছে</t>
  </si>
  <si>
    <t>স্ব-প্রতিরক্ষার জন্য কোন কৌশলটি ব্যবহৃত হয়?</t>
  </si>
  <si>
    <t>সামনের অংশগ্রহণকারীদের ভূমিকা কী?</t>
  </si>
  <si>
    <t>প্রদর্শনীতে অংশগ্রহণ</t>
  </si>
  <si>
    <t>নবীনদের প্রশিক্ষণ</t>
  </si>
  <si>
    <t>অস্ত্র ব্যবহারের দক্ষতা</t>
  </si>
  <si>
    <t>বিশ্রাম</t>
  </si>
  <si>
    <t>সহানুভূতি</t>
  </si>
  <si>
    <t>লাঠি খেলায় যুদ্ধের দিকটি কোন উপাদান তুলে ধরে?</t>
  </si>
  <si>
    <t>অস্ত্র</t>
  </si>
  <si>
    <t>হেলমেট</t>
  </si>
  <si>
    <t>প্রশিক্ষণ করছে</t>
  </si>
  <si>
    <t>পিছনের দর্শকদের ভূমিকা কী?</t>
  </si>
  <si>
    <t>অংশগ্রহণকারীরা কী প্রদর্শন করছে?</t>
  </si>
  <si>
    <t>What is the purpose of the round objects held by the participants on the ground?</t>
  </si>
  <si>
    <t>To block incoming strikes</t>
  </si>
  <si>
    <t>To be thrown at opponents</t>
  </si>
  <si>
    <t>To be used as a shield</t>
  </si>
  <si>
    <t>To deflect attacks</t>
  </si>
  <si>
    <t>How are the participants dressed for the performance?</t>
  </si>
  <si>
    <t>Formal attire</t>
  </si>
  <si>
    <t>Casual clothing</t>
  </si>
  <si>
    <t>Traditional performance garments</t>
  </si>
  <si>
    <t>Sports uniforms</t>
  </si>
  <si>
    <t>What material are the sticks most likely made from?</t>
  </si>
  <si>
    <t>Plastic</t>
  </si>
  <si>
    <t>Metal</t>
  </si>
  <si>
    <t>Wood or bamboo</t>
  </si>
  <si>
    <t>Fiberglass</t>
  </si>
  <si>
    <t>What is the man on the right holding to accompany the performance?</t>
  </si>
  <si>
    <t>A trumpet</t>
  </si>
  <si>
    <t>A large drum (dhol)</t>
  </si>
  <si>
    <t>A sitar</t>
  </si>
  <si>
    <t>A flute</t>
  </si>
  <si>
    <t>What is the overall mood of the crowd in the background?</t>
  </si>
  <si>
    <t>Bored and uninterested</t>
  </si>
  <si>
    <t>Tense and fearful</t>
  </si>
  <si>
    <t>Engaged and watching intently</t>
  </si>
  <si>
    <t>Confused</t>
  </si>
  <si>
    <t>What is the primary stance of the two main participants in the foreground?</t>
  </si>
  <si>
    <t>Crouching or kneeling</t>
  </si>
  <si>
    <t>Lying down</t>
  </si>
  <si>
    <t>Jumping</t>
  </si>
  <si>
    <t>What seems to be the main focus of the man on the left who is on his knees?</t>
  </si>
  <si>
    <t>His opponent's stick</t>
  </si>
  <si>
    <t>The ground</t>
  </si>
  <si>
    <t>The crowd</t>
  </si>
  <si>
    <t>The drum</t>
  </si>
  <si>
    <t>What is a possible name for the type of stick fighting shown in the image?</t>
  </si>
  <si>
    <t>Karate</t>
  </si>
  <si>
    <t>Lathi Khela</t>
  </si>
  <si>
    <t>Taekwondo</t>
  </si>
  <si>
    <t>Fencing</t>
  </si>
  <si>
    <t>Based on the photo, what is a key element of the lathi khela performance?</t>
  </si>
  <si>
    <t>High-speed running</t>
  </si>
  <si>
    <t>Elaborate choreography</t>
  </si>
  <si>
    <t>Gymnastics</t>
  </si>
  <si>
    <t>Singing</t>
  </si>
  <si>
    <t>What is the likely setting for this event?</t>
  </si>
  <si>
    <t>An indoor gymnasium</t>
  </si>
  <si>
    <t>A city street</t>
  </si>
  <si>
    <t>A rural open field or village fair</t>
  </si>
  <si>
    <t>What is the likely age range of the two main participants in the foreground?</t>
  </si>
  <si>
    <t>Teenagers</t>
  </si>
  <si>
    <t>Young adults</t>
  </si>
  <si>
    <t>Middle-aged</t>
  </si>
  <si>
    <t>Elderly</t>
  </si>
  <si>
    <t>What type of setting does the image depict?</t>
  </si>
  <si>
    <t>An urban city center</t>
  </si>
  <si>
    <t>A rural, outdoor gathering</t>
  </si>
  <si>
    <t>A desert</t>
  </si>
  <si>
    <t>What is the main prop being used by the two men in the foreground?</t>
  </si>
  <si>
    <t>A sword</t>
  </si>
  <si>
    <t>A stick or lathi</t>
  </si>
  <si>
    <t>A rope</t>
  </si>
  <si>
    <t>A ball</t>
  </si>
  <si>
    <t>What is the expression of the man on the right?</t>
  </si>
  <si>
    <t>Sad and defeated</t>
  </si>
  <si>
    <t>Happy and joyful</t>
  </si>
  <si>
    <t>Focused and determined</t>
  </si>
  <si>
    <t>Scared</t>
  </si>
  <si>
    <t>What is the color of the pants worn by the man on the left?</t>
  </si>
  <si>
    <t>Black</t>
  </si>
  <si>
    <t>What can be inferred about the cultural significance of this event?</t>
  </si>
  <si>
    <t>It's a spontaneous gathering</t>
  </si>
  <si>
    <t>It's a traditional cultural sport or festival</t>
  </si>
  <si>
    <t>It's a military drill</t>
  </si>
  <si>
    <t>It's a modern competitive sport</t>
  </si>
  <si>
    <t>What is the gender of most of the people in the crowd?</t>
  </si>
  <si>
    <t>Only men</t>
  </si>
  <si>
    <t>Only women</t>
  </si>
  <si>
    <t>Both men and women</t>
  </si>
  <si>
    <t>Mostly children</t>
  </si>
  <si>
    <t>What is the role of the people sitting or squatting in the front row of the crowd?</t>
  </si>
  <si>
    <t>They are also performers</t>
  </si>
  <si>
    <t>They are judges</t>
  </si>
  <si>
    <t>They are audience members with a closer view</t>
  </si>
  <si>
    <t>They are security guards</t>
  </si>
  <si>
    <t>What type of clothing are the participants wearing?</t>
  </si>
  <si>
    <t>Heavy, protective armor</t>
  </si>
  <si>
    <t>T-shirts and jeans</t>
  </si>
  <si>
    <t>Simple, everyday clothes</t>
  </si>
  <si>
    <t>Suits</t>
  </si>
  <si>
    <t>Based on the crowd and setting, what time of day is the event likely taking place?</t>
  </si>
  <si>
    <t>Late at night</t>
  </si>
  <si>
    <t>Early morning</t>
  </si>
  <si>
    <t>During the day</t>
  </si>
  <si>
    <t>At dusk</t>
  </si>
  <si>
    <t>What is the posture of the man on the right?</t>
  </si>
  <si>
    <t>Crouching low with arms extended</t>
  </si>
  <si>
    <t>Standing tall and straight</t>
  </si>
  <si>
    <t>Lying on the ground</t>
  </si>
  <si>
    <t>Sitting on a chair</t>
  </si>
  <si>
    <t>What is the main action being performed by the two men in the foreground?</t>
  </si>
  <si>
    <t>A duel with sticks</t>
  </si>
  <si>
    <t>A friendly handshake</t>
  </si>
  <si>
    <t>A race</t>
  </si>
  <si>
    <t>A dance with scarves</t>
  </si>
  <si>
    <t>What is the likely age of the participants in this particular display of Lathi Khela?</t>
  </si>
  <si>
    <t>In their twenties</t>
  </si>
  <si>
    <t>In their forties</t>
  </si>
  <si>
    <t>Elderly men</t>
  </si>
  <si>
    <t>Children</t>
  </si>
  <si>
    <t>What can be inferred about the clothing worn by the man on the left?</t>
  </si>
  <si>
    <t>It is a modern athletic uniform</t>
  </si>
  <si>
    <t>It is a traditional Bengali lungi</t>
  </si>
  <si>
    <t>It is a formal suit</t>
  </si>
  <si>
    <t>It is a military uniform</t>
  </si>
  <si>
    <t>What is the general mood of the children in the audience?</t>
  </si>
  <si>
    <t>Scared and hiding</t>
  </si>
  <si>
    <t>Engaged and watching attentively</t>
  </si>
  <si>
    <t>Bored and looking away</t>
  </si>
  <si>
    <t>Sleeping</t>
  </si>
  <si>
    <t>What kind of environment is the event taking place in?</t>
  </si>
  <si>
    <t>A city park</t>
  </si>
  <si>
    <t>An indoor arena</t>
  </si>
  <si>
    <t>A rural village field</t>
  </si>
  <si>
    <t>A crowded street</t>
  </si>
  <si>
    <t>What does the extended arm posture of the participants suggest about their technique?</t>
  </si>
  <si>
    <t>They are preparing to hug</t>
  </si>
  <si>
    <t>They are blocking or striking</t>
  </si>
  <si>
    <t>They are signaling to someone</t>
  </si>
  <si>
    <t>They are stretching</t>
  </si>
  <si>
    <t>What is a visible detail about the sticks being used?</t>
  </si>
  <si>
    <t>They are very long and heavy</t>
  </si>
  <si>
    <t>They are short and thin</t>
  </si>
  <si>
    <t>They are made of metal</t>
  </si>
  <si>
    <t>They have flags attached to them</t>
  </si>
  <si>
    <t>Based on the surrounding buildings, what is the most likely setting?</t>
  </si>
  <si>
    <t>A schoolyard or community center</t>
  </si>
  <si>
    <t>A sports complex</t>
  </si>
  <si>
    <t>A commercial parking lot</t>
  </si>
  <si>
    <t>An open-air theater</t>
  </si>
  <si>
    <t>What is a core element of the lathi khela performance shown here?</t>
  </si>
  <si>
    <t>Running a race</t>
  </si>
  <si>
    <t>Display of strength and skill</t>
  </si>
  <si>
    <t>A dramatic play</t>
  </si>
  <si>
    <t>A singing competition</t>
  </si>
  <si>
    <t>What is the main attire of the two central performers?</t>
  </si>
  <si>
    <t>Suits and ties</t>
  </si>
  <si>
    <t>T-shirts and shorts</t>
  </si>
  <si>
    <t>Colorful, frilled skirts and tank tops</t>
  </si>
  <si>
    <t>Military uniforms</t>
  </si>
  <si>
    <t>What instrument is the person in the middle, behind the performers, playing?</t>
  </si>
  <si>
    <t>A guitar</t>
  </si>
  <si>
    <t>What is the posture of the two main performers?</t>
  </si>
  <si>
    <t>Crouching and moving dynamically</t>
  </si>
  <si>
    <t>Sitting</t>
  </si>
  <si>
    <t>What can be inferred about the location of this event?</t>
  </si>
  <si>
    <t>An open, rural area</t>
  </si>
  <si>
    <t>A concert hall</t>
  </si>
  <si>
    <t>What is the likely purpose of the musical instruments in the performance?</t>
  </si>
  <si>
    <t>To entertain the performers</t>
  </si>
  <si>
    <t>To create a rhythm and enhance the performance</t>
  </si>
  <si>
    <t>To distract the crowd</t>
  </si>
  <si>
    <t>To signal the end of the show</t>
  </si>
  <si>
    <t>What kind of sticks are the performers using?</t>
  </si>
  <si>
    <t>Heavy wooden logs</t>
  </si>
  <si>
    <t>Thin bamboo sticks</t>
  </si>
  <si>
    <t>Metal rods</t>
  </si>
  <si>
    <t>Plastic poles</t>
  </si>
  <si>
    <t>What is the expression of the man on the right, in the blue shirt?</t>
  </si>
  <si>
    <t>Boredom</t>
  </si>
  <si>
    <t>Confusion</t>
  </si>
  <si>
    <t>Happiness and engagement</t>
  </si>
  <si>
    <t>Anger</t>
  </si>
  <si>
    <t>What is the overall atmosphere of the event?</t>
  </si>
  <si>
    <t>Solemn and serious</t>
  </si>
  <si>
    <t>Cheerful and festive</t>
  </si>
  <si>
    <t>Quiet and reflective</t>
  </si>
  <si>
    <t>Tense and confrontational</t>
  </si>
  <si>
    <t>What are the two men on the far right and left of the central performers doing?</t>
  </si>
  <si>
    <t>Dancing</t>
  </si>
  <si>
    <t>Playing instruments and watching</t>
  </si>
  <si>
    <t>Sitting idly</t>
  </si>
  <si>
    <t>Talking on the phone</t>
  </si>
  <si>
    <t>What is a visible difference in the clothing of the central performers?</t>
  </si>
  <si>
    <t>One has a green shirt, the other has a white tank top</t>
  </si>
  <si>
    <t>One wears shoes, the other is barefoot</t>
  </si>
  <si>
    <t>One has a hat, the other doesn't</t>
  </si>
  <si>
    <t>Both are wearing the exact same outfit</t>
  </si>
  <si>
    <t>What is the main prop held in the left hand of the participant on the right?</t>
  </si>
  <si>
    <t>A round shield</t>
  </si>
  <si>
    <t>A hat</t>
  </si>
  <si>
    <t>What is the main weapon being used by the participant on the left?</t>
  </si>
  <si>
    <t>A straight staff</t>
  </si>
  <si>
    <t>A bent staff with a hook</t>
  </si>
  <si>
    <t>A spear</t>
  </si>
  <si>
    <t>What is the purpose of the round objects held by the participants?</t>
  </si>
  <si>
    <t>To serve food</t>
  </si>
  <si>
    <t>To be thrown as a weapon</t>
  </si>
  <si>
    <t>To protect against strikes</t>
  </si>
  <si>
    <t>To signal to the crowd</t>
  </si>
  <si>
    <t>What is the attire of the two main participants?</t>
  </si>
  <si>
    <t>Traditional Bengali clothing</t>
  </si>
  <si>
    <t>Sportswear</t>
  </si>
  <si>
    <t>What is the likely setting of this event?</t>
  </si>
  <si>
    <t>An open, dirt field in a rural area</t>
  </si>
  <si>
    <t>What can be inferred about the age of the two main participants?</t>
  </si>
  <si>
    <t>They are young adults</t>
  </si>
  <si>
    <t>They are teenagers</t>
  </si>
  <si>
    <t>They are elderly</t>
  </si>
  <si>
    <t>They are middle-aged</t>
  </si>
  <si>
    <t>What is the man on the right with a black beard and a red sash doing?</t>
  </si>
  <si>
    <t>Watching the performance</t>
  </si>
  <si>
    <t>Playing an instrument</t>
  </si>
  <si>
    <t>Selling food</t>
  </si>
  <si>
    <t>Directing traffic</t>
  </si>
  <si>
    <t>What is the posture of the man on the left?</t>
  </si>
  <si>
    <t>Standing straight</t>
  </si>
  <si>
    <t>Crouching low with legs spread</t>
  </si>
  <si>
    <t>What can be said about the level of protection used by the performers?</t>
  </si>
  <si>
    <t>They are wearing full body armor</t>
  </si>
  <si>
    <t>They are using padded gear</t>
  </si>
  <si>
    <t>They have minimal protective gear</t>
  </si>
  <si>
    <t>They are using helmets</t>
  </si>
  <si>
    <t>What is a visible difference in the sticks used by the two performers?</t>
  </si>
  <si>
    <t>One is a stick, the other is a metal rod</t>
  </si>
  <si>
    <t>One is straight, the other is bent</t>
  </si>
  <si>
    <t>One is long, the other is short</t>
  </si>
  <si>
    <t>They are identical</t>
  </si>
  <si>
    <t>What is the posture of the performers in the foreground?</t>
  </si>
  <si>
    <t>Crouching low to the ground</t>
  </si>
  <si>
    <t>What is the main prop being used by all the performers?</t>
  </si>
  <si>
    <t>A long bamboo stick</t>
  </si>
  <si>
    <t>A metal rod</t>
  </si>
  <si>
    <t>What is a notable feature of the ground where the event is taking place?</t>
  </si>
  <si>
    <t>It is covered in lush green grass</t>
  </si>
  <si>
    <t>It is a muddy field</t>
  </si>
  <si>
    <t>It is a dusty, barren field</t>
  </si>
  <si>
    <t>It is a paved road</t>
  </si>
  <si>
    <t>What is the most common color of shorts worn by the performers?</t>
  </si>
  <si>
    <t>A shopping mall</t>
  </si>
  <si>
    <t>What can be inferred about the size of the crowd?</t>
  </si>
  <si>
    <t>It is very small, only a few people</t>
  </si>
  <si>
    <t>It is a large gathering of people</t>
  </si>
  <si>
    <t>It is only children</t>
  </si>
  <si>
    <t>It is only men</t>
  </si>
  <si>
    <t>What is a key element of the lathi khela performance shown in this photo?</t>
  </si>
  <si>
    <t>Individual duels</t>
  </si>
  <si>
    <t>Group synchronized movements</t>
  </si>
  <si>
    <t>A one-on-one fight</t>
  </si>
  <si>
    <t>A relay race</t>
  </si>
  <si>
    <t>What is a visible difference between the man in the foreground and the other performers?</t>
  </si>
  <si>
    <t>He is wearing a different color shirt</t>
  </si>
  <si>
    <t>He is older than the others</t>
  </si>
  <si>
    <t>He is taller than the others</t>
  </si>
  <si>
    <t>He is not holding a stick</t>
  </si>
  <si>
    <t>What are some of the performers on the right and left wearing on their legs?</t>
  </si>
  <si>
    <t>Socks and shoes</t>
  </si>
  <si>
    <t>Leg guards or wraps</t>
  </si>
  <si>
    <t>Nothing on their legs</t>
  </si>
  <si>
    <t>Long pants</t>
  </si>
  <si>
    <t>What does the wide, open-field setting suggest about the nature of the performance?</t>
  </si>
  <si>
    <t>It is a private event</t>
  </si>
  <si>
    <t>It is a large, community-oriented festival</t>
  </si>
  <si>
    <t>It is a formal competition</t>
  </si>
  <si>
    <t>It is a secret ritual</t>
  </si>
  <si>
    <t>What is the purpose of the woven circular objects held by both participants?</t>
  </si>
  <si>
    <t>To collect money</t>
  </si>
  <si>
    <t>What is the gender of the participant on the right?</t>
  </si>
  <si>
    <t>Male</t>
  </si>
  <si>
    <t>Female</t>
  </si>
  <si>
    <t>Undetermined</t>
  </si>
  <si>
    <t>Non-binary</t>
  </si>
  <si>
    <t>What is the dominant color of the clothing worn by the participant on the left?</t>
  </si>
  <si>
    <t>What can be said about the crowd's engagement in the background?</t>
  </si>
  <si>
    <t>They appear uninterested</t>
  </si>
  <si>
    <t>They are actively watching the event</t>
  </si>
  <si>
    <t>They are leaving the area</t>
  </si>
  <si>
    <t>They are protesting</t>
  </si>
  <si>
    <t>What is the main weapon being used by both participants?</t>
  </si>
  <si>
    <t>A bamboo stick</t>
  </si>
  <si>
    <t>What is the hairstyle of the female participant?</t>
  </si>
  <si>
    <t>Tied back in a bun</t>
  </si>
  <si>
    <t>Long, flowing hair</t>
  </si>
  <si>
    <t>Shaved head</t>
  </si>
  <si>
    <t>What is the overall posture of the two main participants?</t>
  </si>
  <si>
    <t>Relaxed and casual</t>
  </si>
  <si>
    <t>Aggressive and ready for action</t>
  </si>
  <si>
    <t>Strolling leisurely</t>
  </si>
  <si>
    <t>Sitting and resting</t>
  </si>
  <si>
    <t>What can be inferred about the cultural significance of this performance?</t>
  </si>
  <si>
    <t>It is a recent invention</t>
  </si>
  <si>
    <t>It is a traditional sport involving both genders</t>
  </si>
  <si>
    <t>It is a men-only sport</t>
  </si>
  <si>
    <t>It is an Olympic sport</t>
  </si>
  <si>
    <t>What type of setting is the event taking place in?</t>
  </si>
  <si>
    <t>A schoolyard or open field</t>
  </si>
  <si>
    <t>A mountain top</t>
  </si>
  <si>
    <t>What is a notable detail about the shield of the female participant?</t>
  </si>
  <si>
    <t>It is made of metal</t>
  </si>
  <si>
    <t>It has a painted logo</t>
  </si>
  <si>
    <t>It is made of a woven material</t>
  </si>
  <si>
    <t>It is transparent</t>
  </si>
  <si>
    <t>What is the main prop or weapon being used by the two characters?</t>
  </si>
  <si>
    <t>A lathi or stick</t>
  </si>
  <si>
    <t>A bow and arrow</t>
  </si>
  <si>
    <t>A shield</t>
  </si>
  <si>
    <t>What famous structure is shown in the background of the image?</t>
  </si>
  <si>
    <t>The Eiffel Tower</t>
  </si>
  <si>
    <t>The Great Wall of China</t>
  </si>
  <si>
    <t>The Howrah Bridge</t>
  </si>
  <si>
    <t>The Golden Gate Bridge</t>
  </si>
  <si>
    <t>What is the central message of the text "WHOEVER WEILDS THE LATHI... KEEPS THE COW!"?</t>
  </si>
  <si>
    <t>The sticks are used to herd cows</t>
  </si>
  <si>
    <t>The winner of the fight gets to keep a cow</t>
  </si>
  <si>
    <t>The sport is for farmers</t>
  </si>
  <si>
    <t>The cow is a symbol of victory or power</t>
  </si>
  <si>
    <t>What can be inferred about the cultural origin of the sport based on the background?</t>
  </si>
  <si>
    <t>It is from France</t>
  </si>
  <si>
    <t>It is from West Bengal, India</t>
  </si>
  <si>
    <t>It is from the United States</t>
  </si>
  <si>
    <t>It is from Japan</t>
  </si>
  <si>
    <t>What is the sound effect "CLAT!" likely meant to represent?</t>
  </si>
  <si>
    <t>The sound of applause</t>
  </si>
  <si>
    <t>The sound of the sticks hitting each other</t>
  </si>
  <si>
    <t>The sound of a bell ringing</t>
  </si>
  <si>
    <t>The sound of a horn</t>
  </si>
  <si>
    <t>নৌকা বাইচ প্রতিযোগিতায় কৌশলটি কী?</t>
  </si>
  <si>
    <t>একযোগে ছাঁটা</t>
  </si>
  <si>
    <t>বাধা দেওয়া</t>
  </si>
  <si>
    <t>পাল্টা আক্রমণ</t>
  </si>
  <si>
    <t>পাল তোলা</t>
  </si>
  <si>
    <t>ছবিতে নৌকাগুলি কীভাবে সজ্জিত?</t>
  </si>
  <si>
    <t>পাল</t>
  </si>
  <si>
    <t>রং</t>
  </si>
  <si>
    <t>পতাকা</t>
  </si>
  <si>
    <t>ছাতা</t>
  </si>
  <si>
    <t>নৌকা বাইচ প্রতিযোগিতায় অংশগ্রহণকারীরা কিসের উপর নির্ভর করে?</t>
  </si>
  <si>
    <t>সমন্বয়</t>
  </si>
  <si>
    <t>ছবিতে প্রতিযোগিতার পরিবেশ কেমন?</t>
  </si>
  <si>
    <t>উত্সাহী</t>
  </si>
  <si>
    <t>বিরক্তিকর</t>
  </si>
  <si>
    <t>সাধারণ</t>
  </si>
  <si>
    <t>নৈঃশব্দ্যপূর্ণ</t>
  </si>
  <si>
    <t>উচ্ছ্বসিত</t>
  </si>
  <si>
    <t>স্বাভাবিক</t>
  </si>
  <si>
    <t>নৌকা বাইচ প্রতিযোগিতায় অংশগ্রহণকারীরা কোন পদ্ধতি ব্যবহার করছেন?</t>
  </si>
  <si>
    <t>সিঙ্ক্রোনাইজড রোয়িং</t>
  </si>
  <si>
    <t>ব্যক্তিগত স্ট্রোক</t>
  </si>
  <si>
    <t>ছবিতে নৌকাগুলি কীভাবে সাজানো হয়েছে?</t>
  </si>
  <si>
    <t>ড্রাম</t>
  </si>
  <si>
    <t>নৌকা বাইচ প্রতিযোগিতার অন্যতম বৈশিষ্ট্য কী?</t>
  </si>
  <si>
    <t>সমন্বিত রোয়িং</t>
  </si>
  <si>
    <t>পালের ব্যবহার</t>
  </si>
  <si>
    <t>সিঙ্ক্রোনাইজড ছড়ানো</t>
  </si>
  <si>
    <t>ড্রাম বাজানো</t>
  </si>
  <si>
    <t>ছবিতে দর্শকদের প্রতিক্রিয়া কেমন?</t>
  </si>
  <si>
    <t>উদ্দীপনা</t>
  </si>
  <si>
    <t>নির্বিকার</t>
  </si>
  <si>
    <t>নৈঃশব্দ্য</t>
  </si>
  <si>
    <t>নৌকা বাইচ প্রতিযোগিতায় অংশগ্রহণকারীদের শক্তি কীভাবে ব্যবহার করা হয়?</t>
  </si>
  <si>
    <t>সমন্বয় সহকারে</t>
  </si>
  <si>
    <t>পালের প্রয়োগ</t>
  </si>
  <si>
    <t>ছবিতে প্রদর্শিত নৌকাগুলির মধ্যে কোনটি এগিয়ে রয়েছে?</t>
  </si>
  <si>
    <t>সবুজ নৌকা</t>
  </si>
  <si>
    <t>লাল নৌকা</t>
  </si>
  <si>
    <t>নীল নৌকা</t>
  </si>
  <si>
    <t>হলুদ নৌকা</t>
  </si>
  <si>
    <t>নৌকা বাইচ প্রতিযোগিতায় দলের মধ্যে কোনটি এগিয়ে?</t>
  </si>
  <si>
    <t>পতাকাবাহী নৌকা</t>
  </si>
  <si>
    <t>ছবিতে কোন উপাদানটি প্রতিযোগিতার তীব্রতা প্রকাশ করে?</t>
  </si>
  <si>
    <t>দ্রুত গতি</t>
  </si>
  <si>
    <t>উত্সাহী দর্শক</t>
  </si>
  <si>
    <t>নৌকার নকশা</t>
  </si>
  <si>
    <t>নৌকা বাইচ প্রতিযোগিতায় অংশগ্রহণকারীরা কী ধরনের নৌকা ব্যবহার করছেন?</t>
  </si>
  <si>
    <t>প্রচলিত নৌকা</t>
  </si>
  <si>
    <t>মোটর নৌকা</t>
  </si>
  <si>
    <t>পালতোলা নৌকা</t>
  </si>
  <si>
    <t>ছবিতে দর্শকদের চিত্রিত করা হয়েছে কীভাবে?</t>
  </si>
  <si>
    <t>নীরব</t>
  </si>
  <si>
    <t>বিরক্ত</t>
  </si>
  <si>
    <t>নৌকা বাইচ প্রতিযোগিতায় কোন উপাদানগুলি প্রতিযোগিতার উৎসাহ বাড়ায়?</t>
  </si>
  <si>
    <t>রঙিন নৌকা</t>
  </si>
  <si>
    <t>দর্শকদের উল্লাস</t>
  </si>
  <si>
    <t>সাঁতার</t>
  </si>
  <si>
    <t>ঘণ্টাধ্বনি</t>
  </si>
  <si>
    <t>রঙিন পতাকা</t>
  </si>
  <si>
    <t>রঙিন কাপড়</t>
  </si>
  <si>
    <t>আলো</t>
  </si>
  <si>
    <t>নৌকা বাইচ প্রতিযোগিতায় অংশগ্রহণকারীরা কী ধরনের সংগতি প্রদর্শন করছেন?</t>
  </si>
  <si>
    <t>টানা ছড়ানো</t>
  </si>
  <si>
    <t>পাল উড়ানো</t>
  </si>
  <si>
    <t>ছবিতে দর্শকদের প্রতিক্রিয়া কীভাবে প্রকাশ করা হয়েছে?</t>
  </si>
  <si>
    <t>নৌকা বাইচ প্রতিযোগিতায় অংশগ্রহণকারীরা কোন ধরনের কৌশল দেখাচ্ছে?</t>
  </si>
  <si>
    <t>ছবিতে প্রতিযোগিতার উৎসাহ কীভাবে প্রকাশ করা হয়েছে?</t>
  </si>
  <si>
    <t>ছবিতে প্রতিযোগীদের মধ্যে সমন্বয় কেমন?</t>
  </si>
  <si>
    <t>উচ্চ</t>
  </si>
  <si>
    <t>নিম্ন</t>
  </si>
  <si>
    <t>মাঝারি</t>
  </si>
  <si>
    <t>পরিবর্তনশীল</t>
  </si>
  <si>
    <t>নৌকা বাইচ প্রতিযোগিতায় কোন উপাদানটি প্রতিযোগিতার চেয়েও মজাদার?</t>
  </si>
  <si>
    <t>নৌকার ডিজাইন</t>
  </si>
  <si>
    <t>নৌকা বাইচ প্রতিযোগিতায় কোন দিকটি বেশি গুরুত্ব পায়?</t>
  </si>
  <si>
    <t>সহনশীলতা</t>
  </si>
  <si>
    <t>ছবিতে অংশগ্রহণকারীরা কেমন মনোযোগ দিচ্ছেন?</t>
  </si>
  <si>
    <t>নৌকা বাইচ প্রতিযোগিতায় কোন উপাদানটি প্রতিযোগিতার সাফল্যের জন্য সবচেয়ে গুরুত্বপূর্ণ?</t>
  </si>
  <si>
    <t>দৃষ্টিশক্তি</t>
  </si>
  <si>
    <t>ছবিতে প্রতিযোগীরা কীভাবে প্রতিযোগিতার জন্য প্রস্তুত হচ্ছে?</t>
  </si>
  <si>
    <t>ব্যস্ত</t>
  </si>
  <si>
    <t>নৌকা বাইচ প্রতিযোগিতায় অংশগ্রহণকারীরা কী ধরনের কৌশল ব্যবহার করছেন?</t>
  </si>
  <si>
    <t>নৌকা বাইচ প্রতিযোগিতায় অংশগ্রহণকারীরা কোন ধরনের নৌকা ব্যবহার করছেন?</t>
  </si>
  <si>
    <t>রোয়িং নৌকা</t>
  </si>
  <si>
    <t>ডিঙি নৌকা</t>
  </si>
  <si>
    <t>নৌকা বাইচ প্রতিযোগিতায় কোন উপাদানটি প্রতিযোগিতার সুন্দরতা বৃদ্ধি করে?</t>
  </si>
  <si>
    <t>ছবিতে প্রতিযোগিতার স্পৃহা কেমন?</t>
  </si>
  <si>
    <t>উৎফুল্ল</t>
  </si>
  <si>
    <t>নৌকা বাইচ প্রতিযোগিতায় কোন পদ্ধতি দিয়ে রোয়িং করা হচ্ছে?</t>
  </si>
  <si>
    <t>একযোগে রোয়িং</t>
  </si>
  <si>
    <t>ছবিতে নৌকা চালানোর সময় অংশগ্রহণকারীদের অভিব্যক্তি কেমন?</t>
  </si>
  <si>
    <t>গম্ভীর</t>
  </si>
  <si>
    <t>উদ্দীপিত</t>
  </si>
  <si>
    <t>নৌকা বাইচ প্রতিযোগিতার মধ্যে কোন উপাদানটি প্রতিযোগিতার স্পৃহা বৃদ্ধি করে?</t>
  </si>
  <si>
    <t>ছবিতে প্রতিযোগীদের মধ্যে কোন ধরনের শৃঙ্খলা প্রদর্শিত হচ্ছে?</t>
  </si>
  <si>
    <t>নৌকা বাইচ প্রতিযোগিতায় অংশগ্রহণকারীদের মধ্যে কোন গুণটি প্রকাশ পায়?</t>
  </si>
  <si>
    <t>টিমওয়ার্ক</t>
  </si>
  <si>
    <t>স্বতন্ত্র দক্ষতা</t>
  </si>
  <si>
    <t>ছবিতে প্রতিযোগীদের মধ্যে কী ধরনের মনোভাব দেখানো হয়েছে?</t>
  </si>
  <si>
    <t>উদ্যম</t>
  </si>
  <si>
    <t>নৌকা বাইচ প্রতিযোগিতায় অংশগ্রহণকারীরা কীভাবে তাদের গতি নিয়ন্ত্রণ করছে?</t>
  </si>
  <si>
    <t>ছবিতে প্রতিযোগিতার দৃশ্য কীভাবে প্রদর্শিত হয়েছে?</t>
  </si>
  <si>
    <t>নৌকা বাইচ প্রতিযোগিতায় অংশগ্রহণকারীরা কীভাবে তাদের শক্তি পরিচালনা করছে?</t>
  </si>
  <si>
    <t>ব্যক্তিগত শক্তি</t>
  </si>
  <si>
    <t>ছবিতে অংশগ্রহণকারীদের কৌশল কী?</t>
  </si>
  <si>
    <t>সমন্বয়িত রোয়িং</t>
  </si>
  <si>
    <t>চিৎকার</t>
  </si>
  <si>
    <t>নৌকা বাইচ প্রতিযোগিতায় কোনটি প্রতিযোগিতার সময়সূচী নির্ধারণ করে?</t>
  </si>
  <si>
    <t>উচ্চ স্বরের গান</t>
  </si>
  <si>
    <t>দর্শকদের চিৎকার</t>
  </si>
  <si>
    <t>ছবিতে প্রতিযোগীদের উদ্যম কীভাবে প্রদর্শিত হচ্ছে?</t>
  </si>
  <si>
    <t>জোরালো রোয়িং</t>
  </si>
  <si>
    <t>শক্তির প্রদর্শন</t>
  </si>
  <si>
    <t>What is the primary method of propulsion for the boats in the image?</t>
  </si>
  <si>
    <t>Paddles</t>
  </si>
  <si>
    <t>Sails</t>
  </si>
  <si>
    <t>Engines</t>
  </si>
  <si>
    <t>Oars</t>
  </si>
  <si>
    <t>What is the approximate number of rowers in the boat on the left?</t>
  </si>
  <si>
    <t>15-20</t>
  </si>
  <si>
    <t>25-30</t>
  </si>
  <si>
    <t>35-40</t>
  </si>
  <si>
    <t>What is the purpose of the long sticks held by the standing individuals in the boats?</t>
  </si>
  <si>
    <t>To steer the boat</t>
  </si>
  <si>
    <t>To hit other boats</t>
  </si>
  <si>
    <t>To guide and encourage the rowers</t>
  </si>
  <si>
    <t>To use as a weapon</t>
  </si>
  <si>
    <t>Based on the image, what is the most likely state of the river?</t>
  </si>
  <si>
    <t>Calm and still</t>
  </si>
  <si>
    <t>Fast-flowing and turbulent</t>
  </si>
  <si>
    <t>Full and high</t>
  </si>
  <si>
    <t>Low and dry</t>
  </si>
  <si>
    <t>What time of year is Nouka Baich typically held in Bangladesh?</t>
  </si>
  <si>
    <t>Winter</t>
  </si>
  <si>
    <t>Monsoon</t>
  </si>
  <si>
    <t>Spring</t>
  </si>
  <si>
    <t>Autumn</t>
  </si>
  <si>
    <t>What type of songs are traditionally sung by the rowers during the race?</t>
  </si>
  <si>
    <t>Pop songs</t>
  </si>
  <si>
    <t>Folk songs known as 'Sari gan'</t>
  </si>
  <si>
    <t>Classical music</t>
  </si>
  <si>
    <t>Religious hymns</t>
  </si>
  <si>
    <t>Besides the racers, what other group of people is highly visible in the image?</t>
  </si>
  <si>
    <t>Fishermen</t>
  </si>
  <si>
    <t>Vendors</t>
  </si>
  <si>
    <t>Spectators on the riverbank</t>
  </si>
  <si>
    <t>Other boat racers</t>
  </si>
  <si>
    <t>What does the term "Nouka Baich" translate to in English?</t>
  </si>
  <si>
    <t>Boat Ride</t>
  </si>
  <si>
    <t>Water Festival</t>
  </si>
  <si>
    <t>Boat Race</t>
  </si>
  <si>
    <t>River Challenge</t>
  </si>
  <si>
    <t>What is the main material used to construct the racing boats?</t>
  </si>
  <si>
    <t>Wood</t>
  </si>
  <si>
    <t>What does the expression on the participants' faces suggest about the nature of the event?</t>
  </si>
  <si>
    <t>It is a leisure activity</t>
  </si>
  <si>
    <t>It is a tense competition</t>
  </si>
  <si>
    <t>It is a religious ceremony</t>
  </si>
  <si>
    <t>It is a team exercise</t>
  </si>
  <si>
    <t>What is the main characteristic of the boats in the image?</t>
  </si>
  <si>
    <t>They are short and wide</t>
  </si>
  <si>
    <t>They are long and narrow</t>
  </si>
  <si>
    <t>They have engines</t>
  </si>
  <si>
    <t>They are sailboats</t>
  </si>
  <si>
    <t>What is the rowers' attire in the foreground boat?</t>
  </si>
  <si>
    <t>Black pants and white shirts</t>
  </si>
  <si>
    <t>Green shirts and white shorts</t>
  </si>
  <si>
    <t>Jeans and t-shirts</t>
  </si>
  <si>
    <t>Traditional long robes</t>
  </si>
  <si>
    <t>What is the purpose of the individual standing at the front of the boats?</t>
  </si>
  <si>
    <t>To act as a lookout</t>
  </si>
  <si>
    <t>To steer the boat with a long oar</t>
  </si>
  <si>
    <t>To direct the rhythm and tempo of the rowers</t>
  </si>
  <si>
    <t>To take pictures of the race</t>
  </si>
  <si>
    <t>How many rowers are in the boat in the foreground?</t>
  </si>
  <si>
    <t>Approximately 10</t>
  </si>
  <si>
    <t>Approximately 20</t>
  </si>
  <si>
    <t>Approximately 30-40</t>
  </si>
  <si>
    <t>Approximately 50 or more</t>
  </si>
  <si>
    <t>What is the significance of the flags attached to the boats?</t>
  </si>
  <si>
    <t>They represent different countries</t>
  </si>
  <si>
    <t>They show the boat's home district or team</t>
  </si>
  <si>
    <t>They are for decoration only</t>
  </si>
  <si>
    <t>They are a safety measure</t>
  </si>
  <si>
    <t>What type of river setting is depicted in the image?</t>
  </si>
  <si>
    <t>A small creek</t>
  </si>
  <si>
    <t>A wide, bustling river</t>
  </si>
  <si>
    <t>A dry riverbed</t>
  </si>
  <si>
    <t>A mountainous stream</t>
  </si>
  <si>
    <t>What structures can be seen in the background of the image?</t>
  </si>
  <si>
    <t>Traditional villages</t>
  </si>
  <si>
    <t>Modern buildings</t>
  </si>
  <si>
    <t>Hills and forests</t>
  </si>
  <si>
    <t>Ancient ruins</t>
  </si>
  <si>
    <t>What is the role of the individual standing in the middle of the boat in the background?</t>
  </si>
  <si>
    <t>To collect money from spectators</t>
  </si>
  <si>
    <t>To hand out water to the rowers</t>
  </si>
  <si>
    <t>To sing to motivate the rowers</t>
  </si>
  <si>
    <t>To take a break from rowing</t>
  </si>
  <si>
    <t>What does the splashing water around the boats indicate?</t>
  </si>
  <si>
    <t>The rowers are slowing down</t>
  </si>
  <si>
    <t>The boats are moving at a high speed</t>
  </si>
  <si>
    <t>There is a storm approaching</t>
  </si>
  <si>
    <t>The boats have leaks</t>
  </si>
  <si>
    <t>What is a common name for the folk songs sung by the rowers during the race?</t>
  </si>
  <si>
    <t>Baul gaan</t>
  </si>
  <si>
    <t>Sari gan</t>
  </si>
  <si>
    <t>Lalon git</t>
  </si>
  <si>
    <t>Dhrupadi</t>
  </si>
  <si>
    <t>What is the main objective of the participants?</t>
  </si>
  <si>
    <t>To race against each other</t>
  </si>
  <si>
    <t>To sing folk songs</t>
  </si>
  <si>
    <t>To find a new route</t>
  </si>
  <si>
    <t>To relax on the river</t>
  </si>
  <si>
    <t>What is the approximate number of rowers in the middle boat?</t>
  </si>
  <si>
    <t>Less than 20</t>
  </si>
  <si>
    <t>More than 40</t>
  </si>
  <si>
    <t>What is the main color of the uniforms worn by the participants?</t>
  </si>
  <si>
    <t>Orange</t>
  </si>
  <si>
    <t>How many boats are visibly competing in the race?</t>
  </si>
  <si>
    <t>What is the primary characteristic of the boats' design?</t>
  </si>
  <si>
    <t>Short and wide</t>
  </si>
  <si>
    <t>Round and flat</t>
  </si>
  <si>
    <t>Long and slender</t>
  </si>
  <si>
    <t>Square and bulky</t>
  </si>
  <si>
    <t>What can be inferred about the water based on its color?</t>
  </si>
  <si>
    <t>It's a clear, shallow river</t>
  </si>
  <si>
    <t>It's a clean, deep lake</t>
  </si>
  <si>
    <t>It's a muddy, river</t>
  </si>
  <si>
    <t>It's a polluted canal</t>
  </si>
  <si>
    <t>What is the role of the individual standing at the front of each boat?</t>
  </si>
  <si>
    <t>To steer the boat with an oar</t>
  </si>
  <si>
    <t>To give a signal to other boats</t>
  </si>
  <si>
    <t>To beat a drum for rhythm</t>
  </si>
  <si>
    <t>What is a common name for the folk songs sung by the rowers to synchronize their strokes?</t>
  </si>
  <si>
    <t>What tool are the participants using to propel the boats?</t>
  </si>
  <si>
    <t>Poles</t>
  </si>
  <si>
    <t>Motors</t>
  </si>
  <si>
    <t>What does the arrangement of the boats suggest about the race?</t>
  </si>
  <si>
    <t>They are spaced out for safety</t>
  </si>
  <si>
    <t>They are in different stages of a competition</t>
  </si>
  <si>
    <t>They are traveling together for fun</t>
  </si>
  <si>
    <t>They are getting ready to start</t>
  </si>
  <si>
    <t>They have motors</t>
  </si>
  <si>
    <t>Black shirts</t>
  </si>
  <si>
    <t>Green and white shirts</t>
  </si>
  <si>
    <t>Green shirts and blue shorts</t>
  </si>
  <si>
    <t>What is the approximate number of rowers in the boat in the foreground?</t>
  </si>
  <si>
    <t>What is the role of the individual standing in the middle of each boat?</t>
  </si>
  <si>
    <t>What is the approximate number of rowers in the boat?</t>
  </si>
  <si>
    <t>40-50</t>
  </si>
  <si>
    <t>50+</t>
  </si>
  <si>
    <t>What is the primary method of propulsion for the boat?</t>
  </si>
  <si>
    <t>What is the role of the individual standing at the front and back of the boat?</t>
  </si>
  <si>
    <t>To steer the boat and keep rhythm</t>
  </si>
  <si>
    <t>What is the significance of the flags attached to the boat?</t>
  </si>
  <si>
    <t>How are the oars arranged in the boat?</t>
  </si>
  <si>
    <t>In a single row</t>
  </si>
  <si>
    <t>In a double row</t>
  </si>
  <si>
    <t>In a triple row</t>
  </si>
  <si>
    <t>In a single line</t>
  </si>
  <si>
    <t>What does the name "Nouka Baich" translate to in English?</t>
  </si>
  <si>
    <t>Blue and yellow shirts</t>
  </si>
  <si>
    <t>গোল্লাছুট প্রতিযোগিতায় অংশগ্রহণকারীদের লক্ষ্য কী?</t>
  </si>
  <si>
    <t>লক্ষ্যবস্তুতে পৌঁছানো</t>
  </si>
  <si>
    <t>সংকেত পাওয়া</t>
  </si>
  <si>
    <t>পালানো</t>
  </si>
  <si>
    <t>সংকেত দেওয়া</t>
  </si>
  <si>
    <t>গোল্লাছুট প্রতিযোগিতায় কোন কৌশলটি সবচেয়ে কার্যকর?</t>
  </si>
  <si>
    <t>দ্রুত দৌড়ানো</t>
  </si>
  <si>
    <t>ধৈর্য</t>
  </si>
  <si>
    <t>ছবিতে প্রতিযোগীদের মনোভাব কীভাবে প্রদর্শিত হচ্ছে?</t>
  </si>
  <si>
    <t>উৎসাহী</t>
  </si>
  <si>
    <t>গোল্লাছুট প্রতিযোগিতায় অংশগ্রহণকারীরা কীভাবে একসঙ্গে কাজ করছে?</t>
  </si>
  <si>
    <t>ছবিতে প্রতিযোগিতার উত্তেজনা কেমন?</t>
  </si>
  <si>
    <t>গোল্লাছুট প্রতিযোগিতায় অংশগ্রহণকারীরা কীভাবে তাদের কৌশল পরিচালনা করছে?</t>
  </si>
  <si>
    <t>গোল্লাছুট প্রতিযোগিতায় অংশগ্রহণকারীরা কীভাবে তাদের কৌশল ব্যবহার করছে?</t>
  </si>
  <si>
    <t>ছবিতে প্রতিযোগীদের উদ্যম কেমন?</t>
  </si>
  <si>
    <t>গোল্লাছুট প্রতিযোগিতায় অংশগ্রহণকারীরা কীভাবে তাদের সেরা প্রচেষ্টা প্রদর্শন করছে?</t>
  </si>
  <si>
    <t>গোল্লাছুট প্রতিযোগিতায় অংশগ্রহণকারীরা কীভাবে তাদের গতি নিয়ন্ত্রণ করছে?</t>
  </si>
  <si>
    <t>গোল্লাছুট প্রতিযোগিতায় অংশগ্রহণকারীরা কীভাবে তাদের শক্তি ব্যবহার করছে?</t>
  </si>
  <si>
    <t>শক্তি সংরক্ষণ</t>
  </si>
  <si>
    <t>ছবিতে প্রতিযোগীদের মনোভাব কেমন?</t>
  </si>
  <si>
    <t>গোল্লাছুট প্রতিযোগিতায় অংশগ্রহণকারীরা কীভাবে তাদের শক্তি পরিচালনা করছে?</t>
  </si>
  <si>
    <t>গোল্লাছুট প্রতিযোগিতায় অংশগ্রহণকারীরা কীভাবে তাদের দৌড়ানো কৌশল ব্যবহার করছে?</t>
  </si>
  <si>
    <t>গোল্লাছুট প্রতিযোগিতায় অংশগ্রহণকারীরা কীভাবে তাদের উদ্যম ব্যবহার করছে?</t>
  </si>
  <si>
    <t>What is the central element the players are rotating around?</t>
  </si>
  <si>
    <t>A tree</t>
  </si>
  <si>
    <t>A stick</t>
  </si>
  <si>
    <t>A person</t>
  </si>
  <si>
    <t>A flag</t>
  </si>
  <si>
    <t>What action are the players in the front of the line performing?</t>
  </si>
  <si>
    <t>Running</t>
  </si>
  <si>
    <t>Walking</t>
  </si>
  <si>
    <t>What is the weather like in the image?</t>
  </si>
  <si>
    <t>Raining</t>
  </si>
  <si>
    <t>Snowy</t>
  </si>
  <si>
    <t>Sunny</t>
  </si>
  <si>
    <t>Overcast</t>
  </si>
  <si>
    <t>What type of footwear are the children wearing?</t>
  </si>
  <si>
    <t>Flip-flops</t>
  </si>
  <si>
    <t>Barefoot</t>
  </si>
  <si>
    <t>What are the players forming by holding hands?</t>
  </si>
  <si>
    <t>A circle</t>
  </si>
  <si>
    <t>A square</t>
  </si>
  <si>
    <t>A line</t>
  </si>
  <si>
    <t>A chain</t>
  </si>
  <si>
    <t>What is the objective of the team in the circle?</t>
  </si>
  <si>
    <t>To stay in the circle</t>
  </si>
  <si>
    <t>To run away from the circle</t>
  </si>
  <si>
    <t>To tag opponents</t>
  </si>
  <si>
    <t>To sing a song</t>
  </si>
  <si>
    <t>What is the environment where the game is being played?</t>
  </si>
  <si>
    <t>A playground</t>
  </si>
  <si>
    <t>A concrete park</t>
  </si>
  <si>
    <t>A school field</t>
  </si>
  <si>
    <t>How many players can be seen in the game's main action?</t>
  </si>
  <si>
    <t>What is the emotion of the players in the image?</t>
  </si>
  <si>
    <t>Sadness</t>
  </si>
  <si>
    <t>Happiness</t>
  </si>
  <si>
    <t>What colors are most prominent in the players' clothing?</t>
  </si>
  <si>
    <t>Red and white</t>
  </si>
  <si>
    <t>Yellow and green</t>
  </si>
  <si>
    <t>Black and grey</t>
  </si>
  <si>
    <t>What is the age group of the children playing?</t>
  </si>
  <si>
    <t>Toddlers</t>
  </si>
  <si>
    <t>Elementary school-aged</t>
  </si>
  <si>
    <t>What time of day is the game being played?</t>
  </si>
  <si>
    <t>Night</t>
  </si>
  <si>
    <t>Evening</t>
  </si>
  <si>
    <t>Mid-day</t>
  </si>
  <si>
    <t>What is the main action of the boys in the center?</t>
  </si>
  <si>
    <t>Running in a line</t>
  </si>
  <si>
    <t>Kicking a ball</t>
  </si>
  <si>
    <t>Catching a fish</t>
  </si>
  <si>
    <t>Singing a song</t>
  </si>
  <si>
    <t>What is the texture of the ground where the boys are playing?</t>
  </si>
  <si>
    <t>Sandy</t>
  </si>
  <si>
    <t>Muddy</t>
  </si>
  <si>
    <t>Bare dirt</t>
  </si>
  <si>
    <t>What are the boys wearing on their feet?</t>
  </si>
  <si>
    <t>Foggy</t>
  </si>
  <si>
    <t>How many boys are actively participating in the "chain"?</t>
  </si>
  <si>
    <t>What is the setting of the game?</t>
  </si>
  <si>
    <t>An urban park</t>
  </si>
  <si>
    <t>A rural village</t>
  </si>
  <si>
    <t>A school playground</t>
  </si>
  <si>
    <t>A beach</t>
  </si>
  <si>
    <t>What is the expression of the boy in the blue shirt?</t>
  </si>
  <si>
    <t>Sad</t>
  </si>
  <si>
    <t>Focused</t>
  </si>
  <si>
    <t>Angry</t>
  </si>
  <si>
    <t>What is the primary color of the shirt of the boy in the front of the line?</t>
  </si>
  <si>
    <t>What type of structures are visible in the background?</t>
  </si>
  <si>
    <t>Skyscrapers</t>
  </si>
  <si>
    <t>Brick houses</t>
  </si>
  <si>
    <t>Metal sheds</t>
  </si>
  <si>
    <t>Wooden cabins</t>
  </si>
  <si>
    <t>What is the most noticeable feature of the trees?</t>
  </si>
  <si>
    <t>They have no leaves</t>
  </si>
  <si>
    <t>They are very tall</t>
  </si>
  <si>
    <t>They are full of fruit</t>
  </si>
  <si>
    <t>They are covered in snow</t>
  </si>
  <si>
    <t>How many opponents can be seen?</t>
  </si>
  <si>
    <t>Three</t>
  </si>
  <si>
    <t>Four</t>
  </si>
  <si>
    <t>What is the main objective of the "tagger" team?</t>
  </si>
  <si>
    <t>To tag the runners</t>
  </si>
  <si>
    <t>To run away</t>
  </si>
  <si>
    <t>To hold hands</t>
  </si>
  <si>
    <t>To sit down</t>
  </si>
  <si>
    <t>What is the time of day the photo was taken?</t>
  </si>
  <si>
    <t>Morning</t>
  </si>
  <si>
    <t>Noon</t>
  </si>
  <si>
    <t>What are the general clothes worn by the boys?</t>
  </si>
  <si>
    <t>Jeans and shirts</t>
  </si>
  <si>
    <t>Shorts and t-shirts</t>
  </si>
  <si>
    <t>Trousers and jackets</t>
  </si>
  <si>
    <t>What can be seen tied to the tree in the background?</t>
  </si>
  <si>
    <t>A piece of cloth</t>
  </si>
  <si>
    <t>A plastic bag</t>
  </si>
  <si>
    <t>A sign</t>
  </si>
  <si>
    <t>The game promotes which of the following?</t>
  </si>
  <si>
    <t>Social distancing</t>
  </si>
  <si>
    <t>Individual competition</t>
  </si>
  <si>
    <t>Teamwork and cooperation</t>
  </si>
  <si>
    <t>Solitary play</t>
  </si>
  <si>
    <t>What is the ground covered with besides dirt?</t>
  </si>
  <si>
    <t>Leaves and grass</t>
  </si>
  <si>
    <t>Rocks and sticks</t>
  </si>
  <si>
    <t>Snow and ice</t>
  </si>
  <si>
    <t>What is the pose of the boy in the red shirt?</t>
  </si>
  <si>
    <t>Running with his arms swinging</t>
  </si>
  <si>
    <t>Jumping in the air</t>
  </si>
  <si>
    <t>What is the probable purpose of the fence-like structure in the background?</t>
  </si>
  <si>
    <t>To protect animals</t>
  </si>
  <si>
    <t>To mark a boundary</t>
  </si>
  <si>
    <t>To block the road</t>
  </si>
  <si>
    <t>To serve as a goalpost</t>
  </si>
  <si>
    <t>What is the age range of the players?</t>
  </si>
  <si>
    <t>5-8 years old</t>
  </si>
  <si>
    <t>9-14 years old</t>
  </si>
  <si>
    <t>15-20 years old</t>
  </si>
  <si>
    <t>20+ years old</t>
  </si>
  <si>
    <t>What are the children in the image doing with their hands?</t>
  </si>
  <si>
    <t>Waving</t>
  </si>
  <si>
    <t>Holding hands</t>
  </si>
  <si>
    <t>Clapping</t>
  </si>
  <si>
    <t>Giving high fives</t>
  </si>
  <si>
    <t>How many children are visible playing the game?</t>
  </si>
  <si>
    <t>What is the likely setting of the photo?</t>
  </si>
  <si>
    <t>A school cafeteria</t>
  </si>
  <si>
    <t>A sports stadium</t>
  </si>
  <si>
    <t>Somber and serious</t>
  </si>
  <si>
    <t>Intense and focused</t>
  </si>
  <si>
    <t>Playful and joyous</t>
  </si>
  <si>
    <t>Calm and relaxed</t>
  </si>
  <si>
    <t>What type of clothing are the children wearing?</t>
  </si>
  <si>
    <t>Modern sportswear</t>
  </si>
  <si>
    <t>Traditional rural clothing</t>
  </si>
  <si>
    <t>What is the expression on the faces of the children?</t>
  </si>
  <si>
    <t>Neutral</t>
  </si>
  <si>
    <t>Happy and excited</t>
  </si>
  <si>
    <t>Tired</t>
  </si>
  <si>
    <t>What is the central action of the game in this image?</t>
  </si>
  <si>
    <t>Running in a circle</t>
  </si>
  <si>
    <t>Jumping over an obstacle</t>
  </si>
  <si>
    <t>Throwing a ball</t>
  </si>
  <si>
    <t>Chasing an opponent</t>
  </si>
  <si>
    <t>Based on the sunlight, what time of day is it?</t>
  </si>
  <si>
    <t>Late evening</t>
  </si>
  <si>
    <t>What is the terrain like where they are playing?</t>
  </si>
  <si>
    <t>Grassy with a few trees</t>
  </si>
  <si>
    <t>Dirt ground with some plants</t>
  </si>
  <si>
    <t>Rocky and uneven</t>
  </si>
  <si>
    <t>The game primarily relies on which physical ability?</t>
  </si>
  <si>
    <t>Strength</t>
  </si>
  <si>
    <t>Agility and speed</t>
  </si>
  <si>
    <t>Endurance</t>
  </si>
  <si>
    <t>Flexibility</t>
  </si>
  <si>
    <t>What is the main element of the environment visible in the image?</t>
  </si>
  <si>
    <t>A paved road</t>
  </si>
  <si>
    <t>A muddy field</t>
  </si>
  <si>
    <t>A sandy beach</t>
  </si>
  <si>
    <t>How many children are playing in the main line?</t>
  </si>
  <si>
    <t>What are the children's legs covered in?</t>
  </si>
  <si>
    <t>Grass stains</t>
  </si>
  <si>
    <t>What is the weather likely to be, based on the setting?</t>
  </si>
  <si>
    <t>Rainy</t>
  </si>
  <si>
    <t>Windy</t>
  </si>
  <si>
    <t>What kind of plants are visible in the foreground of the image?</t>
  </si>
  <si>
    <t>Short grass</t>
  </si>
  <si>
    <t>Palm fronds and tall grass</t>
  </si>
  <si>
    <t>Flowers</t>
  </si>
  <si>
    <t>Cactus</t>
  </si>
  <si>
    <t>What is the likely age range of the children?</t>
  </si>
  <si>
    <t>What is the expression of the boy second from the left?</t>
  </si>
  <si>
    <t>Happy and energetic</t>
  </si>
  <si>
    <t>What is the color of the shirt of the boy at the end of the line on the right?</t>
  </si>
  <si>
    <t>What is the most significant challenge of playing on this field?</t>
  </si>
  <si>
    <t>The sunlight</t>
  </si>
  <si>
    <t>The muddy ground</t>
  </si>
  <si>
    <t>The wind</t>
  </si>
  <si>
    <t>The cold</t>
  </si>
  <si>
    <t>How would you describe the overall condition of the children's clothes?</t>
  </si>
  <si>
    <t>Clean and neat</t>
  </si>
  <si>
    <t>New and vibrant</t>
  </si>
  <si>
    <t>Worn and dirty</t>
  </si>
  <si>
    <t>Old but well-kept</t>
  </si>
  <si>
    <t>What is the setting of the game being played by the children?</t>
  </si>
  <si>
    <t>A harvested crop field</t>
  </si>
  <si>
    <t>A schoolyard</t>
  </si>
  <si>
    <t>What is the primary purpose of the book mentioned in the text?</t>
  </si>
  <si>
    <t>To sell traditional games</t>
  </si>
  <si>
    <t>To document traditional games</t>
  </si>
  <si>
    <t>To teach English</t>
  </si>
  <si>
    <t>To promote tourism</t>
  </si>
  <si>
    <t>How many children are participating in the main group action?</t>
  </si>
  <si>
    <t>According to the text, which international organization is collaborating on the project?</t>
  </si>
  <si>
    <t>UNESCO</t>
  </si>
  <si>
    <t>UNICEF</t>
  </si>
  <si>
    <t>WHO</t>
  </si>
  <si>
    <t>WWF</t>
  </si>
  <si>
    <t>What does the book aim to establish?</t>
  </si>
  <si>
    <t>A new game league</t>
  </si>
  <si>
    <t>An online digital library</t>
  </si>
  <si>
    <t>A television show</t>
  </si>
  <si>
    <t>A museum</t>
  </si>
  <si>
    <t>What is the overall mood or atmosphere of the photo on the book cover?</t>
  </si>
  <si>
    <t>Somber</t>
  </si>
  <si>
    <t>Energetic and joyful</t>
  </si>
  <si>
    <t>What is the main color of the clothing worn by the girl with the big smile?</t>
  </si>
  <si>
    <t>Pink</t>
  </si>
  <si>
    <t>What does the book title say in English?</t>
  </si>
  <si>
    <t>Bangladeshi Traditional Sports</t>
  </si>
  <si>
    <t>Traditional Games of Bangladesh</t>
  </si>
  <si>
    <t>Games and Sports of Bangladesh</t>
  </si>
  <si>
    <t>Traditional Culture of Bangladesh</t>
  </si>
  <si>
    <t>What type of heritage is Bangladesh proud of, as mentioned in the text?</t>
  </si>
  <si>
    <t>Tangible and intangible culture</t>
  </si>
  <si>
    <t>Only intangible culture</t>
  </si>
  <si>
    <t>Only tangible culture</t>
  </si>
  <si>
    <t>Modern culture</t>
  </si>
  <si>
    <t>Which of the following is NOT listed as a game explored in the book?</t>
  </si>
  <si>
    <t>Bau-bandha</t>
  </si>
  <si>
    <t>Cricket</t>
  </si>
  <si>
    <t>Golla Chut</t>
  </si>
  <si>
    <t>What sport are the players engaged in?</t>
  </si>
  <si>
    <t>Rugby</t>
  </si>
  <si>
    <t>Volleyball</t>
  </si>
  <si>
    <t>Football (Soccer)</t>
  </si>
  <si>
    <t>What is a notable detail about the players' feet?</t>
  </si>
  <si>
    <t>They are wearing cleats</t>
  </si>
  <si>
    <t>They are wearing sneakers</t>
  </si>
  <si>
    <t>They are wearing sandals</t>
  </si>
  <si>
    <t>What is the main color of the jersey worn by the player on the far left, facing the ball?</t>
  </si>
  <si>
    <t>What structure is visible on the right side of the field?</t>
  </si>
  <si>
    <t>A fence</t>
  </si>
  <si>
    <t>A water fountain</t>
  </si>
  <si>
    <t>A goal post</t>
  </si>
  <si>
    <t>A scoreboard</t>
  </si>
  <si>
    <t>How many players are actively visible in the game?</t>
  </si>
  <si>
    <t>What is the object in the air in the center of the image?</t>
  </si>
  <si>
    <t>A bird</t>
  </si>
  <si>
    <t>A kite</t>
  </si>
  <si>
    <t>A football</t>
  </si>
  <si>
    <t>A frisbee</t>
  </si>
  <si>
    <t>What is the physical condition of the playing field?</t>
  </si>
  <si>
    <t>It is a well-maintained turf field</t>
  </si>
  <si>
    <t>It is a grassy field with patches of dirt</t>
  </si>
  <si>
    <t>It is a rocky field</t>
  </si>
  <si>
    <t>What kind of building is visible in the background on the left side?</t>
  </si>
  <si>
    <t>A residential home</t>
  </si>
  <si>
    <t>A high-rise apartment</t>
  </si>
  <si>
    <t>A school or community center</t>
  </si>
  <si>
    <t>A store</t>
  </si>
  <si>
    <t>What are the players doing with their hands?</t>
  </si>
  <si>
    <t>Waving to the camera</t>
  </si>
  <si>
    <t>Throwing the ball</t>
  </si>
  <si>
    <t>Holding hands in a line</t>
  </si>
  <si>
    <t>Nothing in particular, they are running</t>
  </si>
  <si>
    <t>Based on the photo, what is the formality of the game?</t>
  </si>
  <si>
    <t>A professional match</t>
  </si>
  <si>
    <t>A school tournament</t>
  </si>
  <si>
    <t>A casual game</t>
  </si>
  <si>
    <t>A local championship</t>
  </si>
  <si>
    <t>What is the gender composition of the players in the image?</t>
  </si>
  <si>
    <t>All male</t>
  </si>
  <si>
    <t>All female</t>
  </si>
  <si>
    <t>A mix of male and female</t>
  </si>
  <si>
    <t>Mostly male</t>
  </si>
  <si>
    <t>What is written in Bengali on the image?</t>
  </si>
  <si>
    <t>Football</t>
  </si>
  <si>
    <t>Golla Chut Khela (The Game of Golla Chut)</t>
  </si>
  <si>
    <t>A song</t>
  </si>
  <si>
    <t>A poem</t>
  </si>
  <si>
    <t>How many people are forming the central chain?</t>
  </si>
  <si>
    <t>What is the dominant color of the clothing worn by the person in the middle of the chain?</t>
  </si>
  <si>
    <t>What kind of clothing is the player on the far left wearing?</t>
  </si>
  <si>
    <t>A suit</t>
  </si>
  <si>
    <t>A t-shirt and jeans</t>
  </si>
  <si>
    <t>A saree</t>
  </si>
  <si>
    <t>A dress</t>
  </si>
  <si>
    <t>What is the physical state of the field where the game is being played?</t>
  </si>
  <si>
    <t>Perfectly dry</t>
  </si>
  <si>
    <t>Covered in a paved road</t>
  </si>
  <si>
    <t>Muddy with a lot of water</t>
  </si>
  <si>
    <t>Muddy and grassy</t>
  </si>
  <si>
    <t>What is the background of the image mostly composed of?</t>
  </si>
  <si>
    <t>Buildings and cars</t>
  </si>
  <si>
    <t>Sand and rocks</t>
  </si>
  <si>
    <t>Lush green trees and bushes</t>
  </si>
  <si>
    <t>Tall fences</t>
  </si>
  <si>
    <t>What is the expression of the players in the chain?</t>
  </si>
  <si>
    <t>Focused and energetic</t>
  </si>
  <si>
    <t>How many players appear to be chasing the chain?</t>
  </si>
  <si>
    <t>What is the likely age group of the players?</t>
  </si>
  <si>
    <t>Elders</t>
  </si>
  <si>
    <t>What is the dominant color of the Bengali text in the image?</t>
  </si>
  <si>
    <t>How many children are forming the running chain on the right?</t>
  </si>
  <si>
    <t>What is the main color of the shirt worn by the boy in the center of the image?</t>
  </si>
  <si>
    <t>What is the terrain of the field where the game is being played?</t>
  </si>
  <si>
    <t>How would you describe the expression of the boy in the orange shirt?</t>
  </si>
  <si>
    <t>What pattern is visible on the pants of the boy second from the right?</t>
  </si>
  <si>
    <t>Polka dots</t>
  </si>
  <si>
    <t>Camouflage</t>
  </si>
  <si>
    <t>Striped</t>
  </si>
  <si>
    <t>Plaid</t>
  </si>
  <si>
    <t>What is the primary characteristic of the background environment?</t>
  </si>
  <si>
    <t>A large building</t>
  </si>
  <si>
    <t>A thick forest</t>
  </si>
  <si>
    <t>A simple fence and scattered trees</t>
  </si>
  <si>
    <t>A large body of water</t>
  </si>
  <si>
    <t>What is the key action being performed by the group on the left side of the image?</t>
  </si>
  <si>
    <t>What is the approximate number of children visible in the entire scene?</t>
  </si>
  <si>
    <t>Based on the image, what is the main objective of the group on the left?</t>
  </si>
  <si>
    <t>To chase the other group</t>
  </si>
  <si>
    <t>To catch a ball</t>
  </si>
  <si>
    <t>To stand in a circle</t>
  </si>
  <si>
    <t>To throw something</t>
  </si>
  <si>
    <t>What is the young man in the foreground likely doing?</t>
  </si>
  <si>
    <t>Playing the game</t>
  </si>
  <si>
    <t>Observing the game</t>
  </si>
  <si>
    <t>Filming or reporting</t>
  </si>
  <si>
    <t>Selling goods</t>
  </si>
  <si>
    <t>What does the Bengali text in purple at the top of the image mean?</t>
  </si>
  <si>
    <t>Men's</t>
  </si>
  <si>
    <t>Children's</t>
  </si>
  <si>
    <t>Women's</t>
  </si>
  <si>
    <t>Elderly's</t>
  </si>
  <si>
    <t>How many distinct groups of players are visible on the field?</t>
  </si>
  <si>
    <t>What is the dominant color of the saree worn by the woman in the center of the right team?</t>
  </si>
  <si>
    <t>What are the people on the sidelines in the background doing?</t>
  </si>
  <si>
    <t>Playing another game</t>
  </si>
  <si>
    <t>Waiting for their turn</t>
  </si>
  <si>
    <t>Spectating</t>
  </si>
  <si>
    <t>Practicing</t>
  </si>
  <si>
    <t>দাড়িয়াবান্ধা প্রতিযোগিতায় প্রতিযোগীদের লক্ষ্য কী?</t>
  </si>
  <si>
    <t>নির্ধারিত লাইন অতিক্রম করা</t>
  </si>
  <si>
    <t>দাড়িয়াবান্ধা প্রতিযোগিতায় অংশগ্রহণকারীদের মধ্যে কোন গুণটি প্রকাশ পায়?</t>
  </si>
  <si>
    <t>দাড়িয়াবান্ধা প্রতিযোগিতায় কোন কৌশলটি সর্বাধিক কার্যকর?</t>
  </si>
  <si>
    <t>ঝুঁকি নেওয়া</t>
  </si>
  <si>
    <t>সঠিক লক্ষ্য স্থাপন</t>
  </si>
  <si>
    <t>ছবিতে প্রতিযোগীদের মধ্যে কোন গুণটি প্রদর্শিত হচ্ছে?</t>
  </si>
  <si>
    <t>দলগত কাজ</t>
  </si>
  <si>
    <t>দাড়িয়াবান্ধা প্রতিযোগিতায় কোন দিকটি গুরুত্বপূর্ণ?</t>
  </si>
  <si>
    <t>মনোযোগ</t>
  </si>
  <si>
    <t>দাড়িয়াবান্ধা প্রতিযোগিতায় অংশগ্রহণকারীরা কোন পদ্ধতি ব্যবহার করছেন?</t>
  </si>
  <si>
    <t>পরিকল্পনা</t>
  </si>
  <si>
    <t>দাড়িয়াবান্ধা প্রতিযোগিতায় কোন দিকটি সবচেয়ে গুরুত্বপূর্ণ?</t>
  </si>
  <si>
    <t>দাড়িয়াবান্ধা প্রতিযোগিতায় প্রতিযোগীরা কীভাবে তাদের কৌশল ব্যবহার করছে?</t>
  </si>
  <si>
    <t>অবিচল মনোযোগ</t>
  </si>
  <si>
    <t>উৎসাহিত</t>
  </si>
  <si>
    <t>দাড়িয়াবান্ধা প্রতিযোগিতায় কোন কৌশলটি সফলতার চাবিকাঠি?</t>
  </si>
  <si>
    <t>ছবিতে প্রতিযোগীদের উত্তেজনা কীভাবে প্রদর্শিত হচ্ছে?</t>
  </si>
  <si>
    <t>দাড়িয়াবান্ধা প্রতিযোগিতায় অংশগ্রহণকারীরা কোন দিকটি উন্নত করতে কাজ করছে?</t>
  </si>
  <si>
    <t>ছবিতে প্রতিযোগীদের মধ্যে কোন অভিব্যক্তি প্রদর্শিত হচ্ছে?</t>
  </si>
  <si>
    <t>দাড়িয়াবান্ধা প্রতিযোগিতায় অংশগ্রহণকারীদের মধ্যে কোন দক্ষতা সবচেয়ে গুরুত্বপূর্ণ?</t>
  </si>
  <si>
    <t>ছবিতে প্রতিযোগীরা কীভাবে তাদের কৌশল প্রদর্শন করছে?</t>
  </si>
  <si>
    <t>সমন্বয়িত পদক্ষেপ</t>
  </si>
  <si>
    <t>কৌশলী ঘূর্ণন</t>
  </si>
  <si>
    <t>ধৈর্যশীল পরিকল্পনা</t>
  </si>
  <si>
    <t>দাড়িয়াবান্ধা প্রতিযোগিতায় কোন ধরনের কৌশল প্রয়োজন?</t>
  </si>
  <si>
    <t>নির্ভুলতা</t>
  </si>
  <si>
    <t>ছবিতে প্রতিযোগীরা কী ধরনের মনোযোগ দিচ্ছে?</t>
  </si>
  <si>
    <t>দাড়িয়াবান্ধা প্রতিযোগিতায় অংশগ্রহণকারীরা কীভাবে তাদের লক্ষ্য অর্জন করছে?</t>
  </si>
  <si>
    <t>দাড়িয়াবান্ধা প্রতিযোগিতায় প্রতিযোগীরা কোন ধরনের প্রতিযোগিতার মুখোমুখি হচ্ছে?</t>
  </si>
  <si>
    <t>দাড়িয়াবান্ধা প্রতিযোগিতায় কোন দক্ষতাটি সবচেয়ে গুরুত্বপূর্ণ?</t>
  </si>
  <si>
    <t>ছবিতে প্রতিযোগিতার পরিবেশ কীভাবে প্রদর্শিত হয়েছে?</t>
  </si>
  <si>
    <t>দাড়িয়াবান্ধা প্রতিযোগিতায় অংশগ্রহণকারীরা কীভাবে তাদের গতি নিয়ন্ত্রণ করছে?</t>
  </si>
  <si>
    <t>দাড়িয়াবান্ধা প্রতিযোগিতায় প্রতিযোগীরা কীভাবে তাদের গতি বৃদ্ধি করছে?</t>
  </si>
  <si>
    <t>ছবিতে প্রতিযোগীদের দেহভঙ্গি কীভাবে প্রদর্শিত হচ্ছে?</t>
  </si>
  <si>
    <t>দাড়িয়াবান্ধা প্রতিযোগিতায় প্রতিযোগীরা কীভাবে তাদের গতি বজায় রাখছে?</t>
  </si>
  <si>
    <t>দাড়িয়াবান্ধা প্রতিযোগিতায় অংশগ্রহণকারীরা কীভাবে তাদের কৌশল কার্যকর করছে?</t>
  </si>
  <si>
    <t>ছবিতে প্রতিযোগীদের মনোভাব কীভাবে প্রকাশ পাচ্ছে?</t>
  </si>
  <si>
    <t>দাড়িয়াবান্ধা প্রতিযোগিতায় অংশগ্রহণকারীরা কীভাবে তাদের শক্তি পরিচালনা করছে?</t>
  </si>
  <si>
    <t>জোরালো দৌড়ানো</t>
  </si>
  <si>
    <t>সমন্বিত পদক্ষেপ</t>
  </si>
  <si>
    <t>দাড়িয়াবান্ধা প্রতিযোগিতায় অংশগ্রহণকারীরা কোন কৌশলটি ব্যবহার করছে?</t>
  </si>
  <si>
    <t>দাড়িয়াবান্ধা প্রতিযোগিতায় কোন কৌশলটি ব্যবহার করছে?</t>
  </si>
  <si>
    <t>What type of field is being used for the competition in the image?</t>
  </si>
  <si>
    <t>A concrete court</t>
  </si>
  <si>
    <t>An indoor gym</t>
  </si>
  <si>
    <t>What is the number of players visible in the image?</t>
  </si>
  <si>
    <t>More than 10</t>
  </si>
  <si>
    <t>Less than 5</t>
  </si>
  <si>
    <t>Exactly 5</t>
  </si>
  <si>
    <t>What are the players on both sides doing in the image?</t>
  </si>
  <si>
    <t>Playing different games</t>
  </si>
  <si>
    <t>Engaged in a sport</t>
  </si>
  <si>
    <t>Talking to each other</t>
  </si>
  <si>
    <t>What is the sport being played in the image?</t>
  </si>
  <si>
    <t>Kabbadi</t>
  </si>
  <si>
    <t>Dariyabandha</t>
  </si>
  <si>
    <t>Which country is this traditional sport, Dariyabandha, played in?</t>
  </si>
  <si>
    <t>India</t>
  </si>
  <si>
    <t>Bangladesh</t>
  </si>
  <si>
    <t>Pakistan</t>
  </si>
  <si>
    <t>Afghanistan</t>
  </si>
  <si>
    <t>What type of field is the game being played on in this image?</t>
  </si>
  <si>
    <t>Based on the image, what is the gender of the players participating?</t>
  </si>
  <si>
    <t>Exclusively male</t>
  </si>
  <si>
    <t>Exclusively female</t>
  </si>
  <si>
    <t>Both male and female</t>
  </si>
  <si>
    <t>Can't be determined</t>
  </si>
  <si>
    <t>What are the spectators in the foreground of the image doing?</t>
  </si>
  <si>
    <t>Watching the game</t>
  </si>
  <si>
    <t>Playing their own game</t>
  </si>
  <si>
    <t>Talking on their phones</t>
  </si>
  <si>
    <t>What is the typical attire of the players in this traditional sport?</t>
  </si>
  <si>
    <t>Formal wear</t>
  </si>
  <si>
    <t>Jeans and jackets</t>
  </si>
  <si>
    <t>Traditional attire</t>
  </si>
  <si>
    <t>What is the primary method of play in this traditional sport?</t>
  </si>
  <si>
    <t>Chasing and tagging</t>
  </si>
  <si>
    <t>Hitting with a stick</t>
  </si>
  <si>
    <t>What is the age group of the participants visible in the image?</t>
  </si>
  <si>
    <t>All children</t>
  </si>
  <si>
    <t>Mixed age group</t>
  </si>
  <si>
    <t>Primarily teenagers</t>
  </si>
  <si>
    <t>What is the field's surface type in this competition?</t>
  </si>
  <si>
    <t>A sandy/muddy ground</t>
  </si>
  <si>
    <t>An asphalt road</t>
  </si>
  <si>
    <t>What are the lines on the ground used for in the game?</t>
  </si>
  <si>
    <t>To mark out the court</t>
  </si>
  <si>
    <t>To separate spectators</t>
  </si>
  <si>
    <t>To indicate foul play</t>
  </si>
  <si>
    <t>To show the finish line</t>
  </si>
  <si>
    <t>What can be inferred about the weather conditions from the image?</t>
  </si>
  <si>
    <t>It is raining</t>
  </si>
  <si>
    <t>It is cloudy</t>
  </si>
  <si>
    <t>It is a sunny day</t>
  </si>
  <si>
    <t>It is snowing</t>
  </si>
  <si>
    <t>What is the role of the individual in the white shirt standing in the middle?</t>
  </si>
  <si>
    <t>A spectator</t>
  </si>
  <si>
    <t>An official or referee</t>
  </si>
  <si>
    <t>A coach</t>
  </si>
  <si>
    <t>A player on break</t>
  </si>
  <si>
    <t>What can be inferred about the time of day the game is being played?</t>
  </si>
  <si>
    <t>In the morning</t>
  </si>
  <si>
    <t>At night</t>
  </si>
  <si>
    <t>In the evening</t>
  </si>
  <si>
    <t>At noon</t>
  </si>
  <si>
    <t>What is the primary characteristic of the playing surface?</t>
  </si>
  <si>
    <t>Packed dirt ground</t>
  </si>
  <si>
    <t>What is the general mood of the crowd watching the competition?</t>
  </si>
  <si>
    <t>Indifferent</t>
  </si>
  <si>
    <t>What are the players wearing?</t>
  </si>
  <si>
    <t>Long pants and shirts</t>
  </si>
  <si>
    <t>Shorts and vests</t>
  </si>
  <si>
    <t>Tracksuits</t>
  </si>
  <si>
    <t>What is the role of the people sitting in a circle around the field?</t>
  </si>
  <si>
    <t>Contestants</t>
  </si>
  <si>
    <t>Referees</t>
  </si>
  <si>
    <t>Spectators</t>
  </si>
  <si>
    <t>Coaches</t>
  </si>
  <si>
    <t>What can be inferred about the location of this competition?</t>
  </si>
  <si>
    <t>A rural field</t>
  </si>
  <si>
    <t>A school gymnasium</t>
  </si>
  <si>
    <t>A professional stadium</t>
  </si>
  <si>
    <t>Based on the markings, what is the shape of the court used for the game?</t>
  </si>
  <si>
    <t>Square</t>
  </si>
  <si>
    <t>Oval</t>
  </si>
  <si>
    <t>Rectangle</t>
  </si>
  <si>
    <t>Circle</t>
  </si>
  <si>
    <t>What is the number of players visible on the court?</t>
  </si>
  <si>
    <t>Six</t>
  </si>
  <si>
    <t>Ten</t>
  </si>
  <si>
    <t>More than ten</t>
  </si>
  <si>
    <t>What is the color of the shorts worn by most players?</t>
  </si>
  <si>
    <t>A casual, local event</t>
  </si>
  <si>
    <t>A formal, professional tournament</t>
  </si>
  <si>
    <t>A school sports day</t>
  </si>
  <si>
    <t>A practice session</t>
  </si>
  <si>
    <t>What can be inferred about the setting of the competition?</t>
  </si>
  <si>
    <t>A rural area</t>
  </si>
  <si>
    <t>A sports arena</t>
  </si>
  <si>
    <t>What is the age range of the players shown in the picture?</t>
  </si>
  <si>
    <t>Children and teenagers</t>
  </si>
  <si>
    <t>Adults only</t>
  </si>
  <si>
    <t>What is the primary function of the lines drawn on the grass?</t>
  </si>
  <si>
    <t>To delineate the playing area</t>
  </si>
  <si>
    <t>To show where to stand</t>
  </si>
  <si>
    <t>To indicate a finish line</t>
  </si>
  <si>
    <t>What is the number of players actively participating in the game?</t>
  </si>
  <si>
    <t>What is the predominant color of the attire of the players?</t>
  </si>
  <si>
    <t>Varied colors</t>
  </si>
  <si>
    <t>10 to 15</t>
  </si>
  <si>
    <t>15 to 20</t>
  </si>
  <si>
    <t>More than 20</t>
  </si>
  <si>
    <t>Traditional clothes</t>
  </si>
  <si>
    <t>Athletic wear</t>
  </si>
  <si>
    <t>Based on the image, what is the mood of the players?</t>
  </si>
  <si>
    <t>Playful</t>
  </si>
  <si>
    <t>Serious</t>
  </si>
  <si>
    <t>Competitive</t>
  </si>
  <si>
    <t>What is the field marked with?</t>
  </si>
  <si>
    <t>Chalk</t>
  </si>
  <si>
    <t>A stick on the ground</t>
  </si>
  <si>
    <t>Paint</t>
  </si>
  <si>
    <t>A rural landscape</t>
  </si>
  <si>
    <t>A small group</t>
  </si>
  <si>
    <t>A large crowd</t>
  </si>
  <si>
    <t>A few people</t>
  </si>
  <si>
    <t>No one</t>
  </si>
  <si>
    <t>What is the primary role of the people on the sideline?</t>
  </si>
  <si>
    <t>Players waiting to play</t>
  </si>
  <si>
    <t>What is the position of the player in the foreground?</t>
  </si>
  <si>
    <t>Crouched and ready</t>
  </si>
  <si>
    <t>Sitting on the ground</t>
  </si>
  <si>
    <t>What is the nature of the setting in the image?</t>
  </si>
  <si>
    <t>A rural outdoor field</t>
  </si>
  <si>
    <t>What is the primary action of the players in the center?</t>
  </si>
  <si>
    <t>Waiting for instructions</t>
  </si>
  <si>
    <t>Engaged in a struggle</t>
  </si>
  <si>
    <t>Resting on the ground</t>
  </si>
  <si>
    <t>Leaving the court</t>
  </si>
  <si>
    <t>What can be inferred about the playing surface?</t>
  </si>
  <si>
    <t>It is a grassy field</t>
  </si>
  <si>
    <t>It is a dirt or muddy area</t>
  </si>
  <si>
    <t>It is an indoor court</t>
  </si>
  <si>
    <t>What is the age group of the participants?</t>
  </si>
  <si>
    <t>Young children</t>
  </si>
  <si>
    <t>Adults</t>
  </si>
  <si>
    <t>Mixed ages</t>
  </si>
  <si>
    <t>What is the role of the individual holding the stick?</t>
  </si>
  <si>
    <t>A player</t>
  </si>
  <si>
    <t>A referee</t>
  </si>
  <si>
    <t>What is the overall atmosphere of the game?</t>
  </si>
  <si>
    <t>Casual and relaxed</t>
  </si>
  <si>
    <t>Formal and competitive</t>
  </si>
  <si>
    <t>Uninterested and slow</t>
  </si>
  <si>
    <t>Very aggressive</t>
  </si>
  <si>
    <t>Casual shirts and pants</t>
  </si>
  <si>
    <t>5 to 10</t>
  </si>
  <si>
    <t>What is the state of the playing surface?</t>
  </si>
  <si>
    <t>Grassy and well-maintained</t>
  </si>
  <si>
    <t>Concrete and smooth</t>
  </si>
  <si>
    <t>Dirt and uneven</t>
  </si>
  <si>
    <t>Sand and rocky</t>
  </si>
  <si>
    <t>What are the bystanders doing?</t>
  </si>
  <si>
    <t>Sitting and sleeping</t>
  </si>
  <si>
    <t>What can be inferred about the playing field?</t>
  </si>
  <si>
    <t>A grassy/dirt area</t>
  </si>
  <si>
    <t>A professional arena</t>
  </si>
  <si>
    <t>More than four</t>
  </si>
  <si>
    <t>Less than two</t>
  </si>
  <si>
    <t>What is the primary role of the individual in the background?</t>
  </si>
  <si>
    <t>What is the nature of the game being played?</t>
  </si>
  <si>
    <t>A casual, informal game</t>
  </si>
  <si>
    <t>What can be inferred about the participants' attire?</t>
  </si>
  <si>
    <t>They are wearing uniforms</t>
  </si>
  <si>
    <t>They are wearing casual clothes</t>
  </si>
  <si>
    <t>They are wearing traditional clothes</t>
  </si>
  <si>
    <t>They are wearing suits</t>
  </si>
  <si>
    <t>What is the age group of the players visible in the foreground?</t>
  </si>
  <si>
    <t>What is the primary role of the people in the background?</t>
  </si>
  <si>
    <t>What is the mood of the players in the foreground?</t>
  </si>
  <si>
    <t>Relaxed</t>
  </si>
  <si>
    <t>Focused and ready</t>
  </si>
  <si>
    <t>It is a dirt field</t>
  </si>
  <si>
    <t>What are the players on the court wearing?</t>
  </si>
  <si>
    <t>Casual clothes</t>
  </si>
  <si>
    <t>Eight</t>
  </si>
  <si>
    <t>It is a grassy field with some muddy areas</t>
  </si>
  <si>
    <t>It is a concrete court</t>
  </si>
  <si>
    <t>It is a sandy beach</t>
  </si>
  <si>
    <t>What is the age group of the children playing in the image?</t>
  </si>
  <si>
    <t>What is the general setting of the game?</t>
  </si>
  <si>
    <t>A suburban area</t>
  </si>
  <si>
    <t>A rural or village area</t>
  </si>
  <si>
    <t>What can be inferred about the event from the backdrop?</t>
  </si>
  <si>
    <t>It's a casual game</t>
  </si>
  <si>
    <t>It's a formal tournament</t>
  </si>
  <si>
    <t>It's a school practice</t>
  </si>
  <si>
    <t>It's a family gathering</t>
  </si>
  <si>
    <t>What is the dominant color of the players' jerseys?</t>
  </si>
  <si>
    <t>Orange and black</t>
  </si>
  <si>
    <t>White and blue</t>
  </si>
  <si>
    <t>What is the physical state of the playing field?</t>
  </si>
  <si>
    <t>A well-maintained grassy lawn</t>
  </si>
  <si>
    <t>A dirt field with minimal grass</t>
  </si>
  <si>
    <t>What is the primary method of play for the attacking team?</t>
  </si>
  <si>
    <t>To run fast and tag the defender</t>
  </si>
  <si>
    <t>To strategically cross lines without being tagged</t>
  </si>
  <si>
    <t>To throw a ball at the opponent</t>
  </si>
  <si>
    <t>To knock over the opponent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</si>
</sst>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1B1C1D"/>
      <name val="&quot;Google Sans Text&quot;"/>
    </font>
    <font>
      <sz val="10.0"/>
      <color rgb="FF1B1C1D"/>
      <name val="Arial"/>
      <scheme val="minor"/>
    </font>
    <font>
      <sz val="10.0"/>
      <color theme="1"/>
      <name val="Arial"/>
      <scheme val="minor"/>
    </font>
    <font>
      <color rgb="FF1B1C1D"/>
      <name val="Arial"/>
      <scheme val="minor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0" xfId="0" applyFont="1"/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7" numFmtId="0" xfId="0" applyFont="1"/>
    <xf borderId="0" fillId="0" fontId="7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Ha du d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 du du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li Khe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li Khe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thi Khe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thi Khe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uka Bai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uka Baich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lla Ch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lla Chu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riaband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riabandha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26" displayName="Table1" name="Table1" id="1">
  <tableColumns count="8">
    <tableColumn name="প্রশ্ন নম্বর" id="1"/>
    <tableColumn name="প্রশ্ন" id="2"/>
    <tableColumn name="বিকল্প ১" id="3"/>
    <tableColumn name="বিকল্প ২" id="4"/>
    <tableColumn name="বিকল্প ৩" id="5"/>
    <tableColumn name="বিকল্প ৪" id="6"/>
    <tableColumn name="সঠিক বিকল্প" id="7"/>
    <tableColumn name="ছবি" id="8"/>
  </tableColumns>
  <tableStyleInfo name="Ha du du-style" showColumnStripes="0" showFirstColumn="1" showLastColumn="1" showRowStripes="1"/>
</table>
</file>

<file path=xl/tables/table2.xml><?xml version="1.0" encoding="utf-8"?>
<table xmlns="http://schemas.openxmlformats.org/spreadsheetml/2006/main" ref="J1:Q126" displayName="Table2" name="Table2" id="2">
  <tableColumns count="8">
    <tableColumn name="Question no" id="1"/>
    <tableColumn name="question" id="2"/>
    <tableColumn name="Option 1" id="3"/>
    <tableColumn name="Option 2" id="4"/>
    <tableColumn name="Option 3" id="5"/>
    <tableColumn name="Option 4" id="6"/>
    <tableColumn name="correct option" id="7"/>
    <tableColumn name="picture" id="8"/>
  </tableColumns>
  <tableStyleInfo name="Ha du du-style 2" showColumnStripes="0" showFirstColumn="1" showLastColumn="1" showRowStripes="1"/>
</table>
</file>

<file path=xl/tables/table3.xml><?xml version="1.0" encoding="utf-8"?>
<table xmlns="http://schemas.openxmlformats.org/spreadsheetml/2006/main" ref="A1:H51" displayName="Table4" name="Table4" id="3">
  <tableColumns count="8">
    <tableColumn name="প্রশ্ন নম্বর" id="1"/>
    <tableColumn name="প্রশ্ন" id="2"/>
    <tableColumn name="বিকল্প ১" id="3"/>
    <tableColumn name="বিকল্প ২" id="4"/>
    <tableColumn name="বিকল্প ৩" id="5"/>
    <tableColumn name="বিকল্প ৪" id="6"/>
    <tableColumn name="সঠিক বিকল্প" id="7"/>
    <tableColumn name="ছবি" id="8"/>
  </tableColumns>
  <tableStyleInfo name="Boli Khela-style" showColumnStripes="0" showFirstColumn="1" showLastColumn="1" showRowStripes="1"/>
</table>
</file>

<file path=xl/tables/table4.xml><?xml version="1.0" encoding="utf-8"?>
<table xmlns="http://schemas.openxmlformats.org/spreadsheetml/2006/main" ref="J1:Q51" displayName="Table3" name="Table3" id="4">
  <tableColumns count="8">
    <tableColumn name="Question no" id="1"/>
    <tableColumn name="question" id="2"/>
    <tableColumn name="Option 1" id="3"/>
    <tableColumn name="Option 2" id="4"/>
    <tableColumn name="Option 3" id="5"/>
    <tableColumn name="Option 4" id="6"/>
    <tableColumn name="correct option" id="7"/>
    <tableColumn name="picture" id="8"/>
  </tableColumns>
  <tableStyleInfo name="Boli Khela-style 2" showColumnStripes="0" showFirstColumn="1" showLastColumn="1" showRowStripes="1"/>
</table>
</file>

<file path=xl/tables/table5.xml><?xml version="1.0" encoding="utf-8"?>
<table xmlns="http://schemas.openxmlformats.org/spreadsheetml/2006/main" ref="A1:H126" displayName="Table6" name="Table6" id="5">
  <tableColumns count="8">
    <tableColumn name="প্রশ্ন নম্বর" id="1"/>
    <tableColumn name="প্রশ্ন" id="2"/>
    <tableColumn name="বিকল্প ১" id="3"/>
    <tableColumn name="বিকল্প ২" id="4"/>
    <tableColumn name="বিকল্প ৩" id="5"/>
    <tableColumn name="বিকল্প ৪" id="6"/>
    <tableColumn name="সঠিক বিকল্প" id="7"/>
    <tableColumn name="ছবি" id="8"/>
  </tableColumns>
  <tableStyleInfo name="Lathi Khela-style" showColumnStripes="0" showFirstColumn="1" showLastColumn="1" showRowStripes="1"/>
</table>
</file>

<file path=xl/tables/table6.xml><?xml version="1.0" encoding="utf-8"?>
<table xmlns="http://schemas.openxmlformats.org/spreadsheetml/2006/main" ref="J1:Q126" displayName="Table5" name="Table5" id="6">
  <tableColumns count="8">
    <tableColumn name="Question no" id="1"/>
    <tableColumn name="question" id="2"/>
    <tableColumn name="Option 1" id="3"/>
    <tableColumn name="Option 2" id="4"/>
    <tableColumn name="Option 3" id="5"/>
    <tableColumn name="Option 4" id="6"/>
    <tableColumn name="correct option" id="7"/>
    <tableColumn name="picture" id="8"/>
  </tableColumns>
  <tableStyleInfo name="Lathi Khela-style 2" showColumnStripes="0" showFirstColumn="1" showLastColumn="1" showRowStripes="1"/>
</table>
</file>

<file path=xl/tables/table7.xml><?xml version="1.0" encoding="utf-8"?>
<table xmlns="http://schemas.openxmlformats.org/spreadsheetml/2006/main" ref="A1:H126" displayName="Table8" name="Table8" id="7">
  <tableColumns count="8">
    <tableColumn name="প্রশ্ন নম্বর" id="1"/>
    <tableColumn name="প্রশ্ন" id="2"/>
    <tableColumn name="বিকল্প ১" id="3"/>
    <tableColumn name="বিকল্প ২" id="4"/>
    <tableColumn name="বিকল্প ৩" id="5"/>
    <tableColumn name="বিকল্প ৪" id="6"/>
    <tableColumn name="সঠিক বিকল্প" id="7"/>
    <tableColumn name="ছবি" id="8"/>
  </tableColumns>
  <tableStyleInfo name="Nouka Baich-style" showColumnStripes="0" showFirstColumn="1" showLastColumn="1" showRowStripes="1"/>
</table>
</file>

<file path=xl/tables/table8.xml><?xml version="1.0" encoding="utf-8"?>
<table xmlns="http://schemas.openxmlformats.org/spreadsheetml/2006/main" ref="J1:Q126" displayName="Table7" name="Table7" id="8">
  <tableColumns count="8">
    <tableColumn name="Question no" id="1"/>
    <tableColumn name="question" id="2"/>
    <tableColumn name="Option 1" id="3"/>
    <tableColumn name="Option 2" id="4"/>
    <tableColumn name="Option 3" id="5"/>
    <tableColumn name="Option 4" id="6"/>
    <tableColumn name="correct option" id="7"/>
    <tableColumn name="picture" id="8"/>
  </tableColumns>
  <tableStyleInfo name="Nouka Baich-style 2" showColumnStripes="0" showFirstColumn="1" showLastColumn="1" showRowStripes="1"/>
</table>
</file>

<file path=xl/tables/table9.xml><?xml version="1.0" encoding="utf-8"?>
<table xmlns="http://schemas.openxmlformats.org/spreadsheetml/2006/main" ref="A1:H126" displayName="Table10" name="Table10" id="9">
  <tableColumns count="8">
    <tableColumn name="প্রশ্ন নম্বর" id="1"/>
    <tableColumn name="প্রশ্ন" id="2"/>
    <tableColumn name="বিকল্প ১" id="3"/>
    <tableColumn name="বিকল্প ২" id="4"/>
    <tableColumn name="বিকল্প ৩" id="5"/>
    <tableColumn name="বিকল্প ৪" id="6"/>
    <tableColumn name="সঠিক বিকল্প" id="7"/>
    <tableColumn name="ছবি" id="8"/>
  </tableColumns>
  <tableStyleInfo name="Golla Chut-style" showColumnStripes="0" showFirstColumn="1" showLastColumn="1" showRowStripes="1"/>
</table>
</file>

<file path=xl/tables/table10.xml><?xml version="1.0" encoding="utf-8"?>
<table xmlns="http://schemas.openxmlformats.org/spreadsheetml/2006/main" ref="J1:Q126" displayName="Table9" name="Table9" id="10">
  <tableColumns count="8">
    <tableColumn name="Question no" id="1"/>
    <tableColumn name="question" id="2"/>
    <tableColumn name="Option 1" id="3"/>
    <tableColumn name="Option 2" id="4"/>
    <tableColumn name="Option 3" id="5"/>
    <tableColumn name="Option 4" id="6"/>
    <tableColumn name="correct option" id="7"/>
    <tableColumn name="picture" id="8"/>
  </tableColumns>
  <tableStyleInfo name="Golla Chut-style 2" showColumnStripes="0" showFirstColumn="1" showLastColumn="1" showRowStripes="1"/>
</table>
</file>

<file path=xl/tables/table11.xml><?xml version="1.0" encoding="utf-8"?>
<table xmlns="http://schemas.openxmlformats.org/spreadsheetml/2006/main" ref="A1:H126" displayName="Table12" name="Table12" id="11">
  <tableColumns count="8">
    <tableColumn name="প্রশ্ন নম্বর" id="1"/>
    <tableColumn name="প্রশ্ন" id="2"/>
    <tableColumn name="বিকল্প ১" id="3"/>
    <tableColumn name="বিকল্প ২" id="4"/>
    <tableColumn name="বিকল্প ৩" id="5"/>
    <tableColumn name="বিকল্প ৪" id="6"/>
    <tableColumn name="সঠিক বিকল্প" id="7"/>
    <tableColumn name="ছবি" id="8"/>
  </tableColumns>
  <tableStyleInfo name="Dariabandha-style" showColumnStripes="0" showFirstColumn="1" showLastColumn="1" showRowStripes="1"/>
</table>
</file>

<file path=xl/tables/table12.xml><?xml version="1.0" encoding="utf-8"?>
<table xmlns="http://schemas.openxmlformats.org/spreadsheetml/2006/main" ref="J1:Q126" displayName="Table11" name="Table11" id="12">
  <tableColumns count="8">
    <tableColumn name="Question no" id="1"/>
    <tableColumn name="question" id="2"/>
    <tableColumn name="Option 1" id="3"/>
    <tableColumn name="Option 2" id="4"/>
    <tableColumn name="Option 3" id="5"/>
    <tableColumn name="Option 4" id="6"/>
    <tableColumn name="correct option" id="7"/>
    <tableColumn name="picture" id="8"/>
  </tableColumns>
  <tableStyleInfo name="Dariabandh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0.38"/>
    <col customWidth="1" min="4" max="4" width="25.63"/>
    <col customWidth="1" min="5" max="5" width="23.75"/>
    <col customWidth="1" min="6" max="7" width="25.63"/>
    <col customWidth="1" min="10" max="10" width="14.38"/>
    <col customWidth="1" min="11" max="11" width="37.63"/>
    <col customWidth="1" min="12" max="12" width="18.75"/>
    <col customWidth="1" min="13" max="13" width="29.63"/>
    <col customWidth="1" min="14" max="14" width="30.13"/>
    <col customWidth="1" min="15" max="16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1.0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20</v>
      </c>
      <c r="H2" s="4" t="s">
        <v>21</v>
      </c>
      <c r="J2" s="5" t="str">
        <f>IFERROR(__xludf.DUMMYFUNCTION("GOOGLETRANSLATE(A2, ""bn"", ""en"")"),"1")</f>
        <v>1</v>
      </c>
      <c r="K2" s="5" t="str">
        <f>IFERROR(__xludf.DUMMYFUNCTION("GOOGLETRANSLATE(B2, ""bn"", ""en"")"),"Which game is shown in the picture?")</f>
        <v>Which game is shown in the picture?</v>
      </c>
      <c r="L2" s="5" t="str">
        <f>IFERROR(__xludf.DUMMYFUNCTION("GOOGLETRANSLATE(C2, ""bn"", ""en"")"),"Fencing")</f>
        <v>Fencing</v>
      </c>
      <c r="M2" s="5" t="str">
        <f>IFERROR(__xludf.DUMMYFUNCTION("GOOGLETRANSLATE(D2, ""bn"", ""en"")"),"Boxing")</f>
        <v>Boxing</v>
      </c>
      <c r="N2" s="5" t="str">
        <f>IFERROR(__xludf.DUMMYFUNCTION("GOOGLETRANSLATE(E2, ""bn"", ""en"")"),"tennis")</f>
        <v>tennis</v>
      </c>
      <c r="O2" s="5" t="str">
        <f>IFERROR(__xludf.DUMMYFUNCTION("GOOGLETRANSLATE(F2, ""bn"", ""en"")"),"Ha-doo-doo")</f>
        <v>Ha-doo-doo</v>
      </c>
      <c r="P2" s="5" t="str">
        <f>IFERROR(__xludf.DUMMYFUNCTION("GOOGLETRANSLATE(G2, ""bn"", ""en"")"),"Ha-doo-doo")</f>
        <v>Ha-doo-doo</v>
      </c>
      <c r="Q2" s="5" t="str">
        <f>IFERROR(__xludf.DUMMYFUNCTION("GOOGLETRANSLATE(H2, ""bn"", ""en"")"),"pic1")</f>
        <v>pic1</v>
      </c>
    </row>
    <row r="3">
      <c r="A3" s="3">
        <v>2.0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24</v>
      </c>
      <c r="H3" s="4" t="s">
        <v>21</v>
      </c>
      <c r="J3" s="5" t="str">
        <f>IFERROR(__xludf.DUMMYFUNCTION("GOOGLETRANSLATE(A3, ""bn"", ""en"")"),"2")</f>
        <v>2</v>
      </c>
      <c r="K3" s="5" t="str">
        <f>IFERROR(__xludf.DUMMYFUNCTION("GOOGLETRANSLATE(B3, ""bn"", ""en"")"),"What is the type of competition?")</f>
        <v>What is the type of competition?</v>
      </c>
      <c r="L3" s="5" t="str">
        <f>IFERROR(__xludf.DUMMYFUNCTION("GOOGLETRANSLATE(C3, ""bn"", ""en"")"),"Personal")</f>
        <v>Personal</v>
      </c>
      <c r="M3" s="5" t="str">
        <f>IFERROR(__xludf.DUMMYFUNCTION("GOOGLETRANSLATE(D3, ""bn"", ""en"")"),"Party")</f>
        <v>Party</v>
      </c>
      <c r="N3" s="5" t="str">
        <f>IFERROR(__xludf.DUMMYFUNCTION("GOOGLETRANSLATE(E3, ""bn"", ""en"")"),"International")</f>
        <v>International</v>
      </c>
      <c r="O3" s="5" t="str">
        <f>IFERROR(__xludf.DUMMYFUNCTION("GOOGLETRANSLATE(F3, ""bn"", ""en"")"),"regional")</f>
        <v>regional</v>
      </c>
      <c r="P3" s="5" t="str">
        <f>IFERROR(__xludf.DUMMYFUNCTION("GOOGLETRANSLATE(G3, ""bn"", ""en"")"),"Party")</f>
        <v>Party</v>
      </c>
      <c r="Q3" s="5" t="str">
        <f>IFERROR(__xludf.DUMMYFUNCTION("GOOGLETRANSLATE(H3, ""bn"", ""en"")"),"pic1")</f>
        <v>pic1</v>
      </c>
    </row>
    <row r="4">
      <c r="A4" s="3">
        <v>3.0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29</v>
      </c>
      <c r="H4" s="4" t="s">
        <v>32</v>
      </c>
      <c r="J4" s="5" t="str">
        <f>IFERROR(__xludf.DUMMYFUNCTION("GOOGLETRANSLATE(A4, ""bn"", ""en"")"),"3")</f>
        <v>3</v>
      </c>
      <c r="K4" s="5" t="str">
        <f>IFERROR(__xludf.DUMMYFUNCTION("GOOGLETRANSLATE(B4, ""bn"", ""en"")"),"What is a contestant doing in the film?")</f>
        <v>What is a contestant doing in the film?</v>
      </c>
      <c r="L4" s="5" t="str">
        <f>IFERROR(__xludf.DUMMYFUNCTION("GOOGLETRANSLATE(C4, ""bn"", ""en"")"),"He is throwing the ball.")</f>
        <v>He is throwing the ball.</v>
      </c>
      <c r="M4" s="5" t="str">
        <f>IFERROR(__xludf.DUMMYFUNCTION("GOOGLETRANSLATE(D4, ""bn"", ""en"")"),"He jumps in the air")</f>
        <v>He jumps in the air</v>
      </c>
      <c r="N4" s="5" t="str">
        <f>IFERROR(__xludf.DUMMYFUNCTION("GOOGLETRANSLATE(E4, ""bn"", ""en"")"),"He stands still")</f>
        <v>He stands still</v>
      </c>
      <c r="O4" s="5" t="str">
        <f>IFERROR(__xludf.DUMMYFUNCTION("GOOGLETRANSLATE(F4, ""bn"", ""en"")"),"He holds the rival")</f>
        <v>He holds the rival</v>
      </c>
      <c r="P4" s="5" t="str">
        <f>IFERROR(__xludf.DUMMYFUNCTION("GOOGLETRANSLATE(G4, ""bn"", ""en"")"),"He jumps in the air")</f>
        <v>He jumps in the air</v>
      </c>
      <c r="Q4" s="5" t="str">
        <f>IFERROR(__xludf.DUMMYFUNCTION("GOOGLETRANSLATE(H4, ""bn"", ""en"")"),"pic2")</f>
        <v>pic2</v>
      </c>
    </row>
    <row r="5">
      <c r="A5" s="3">
        <v>4.0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37</v>
      </c>
      <c r="H5" s="4" t="s">
        <v>32</v>
      </c>
      <c r="J5" s="5" t="str">
        <f>IFERROR(__xludf.DUMMYFUNCTION("GOOGLETRANSLATE(A5, ""bn"", ""en"")"),"4")</f>
        <v>4</v>
      </c>
      <c r="K5" s="5" t="str">
        <f>IFERROR(__xludf.DUMMYFUNCTION("GOOGLETRANSLATE(B5, ""bn"", ""en"")"),"What is the main goal of the competition shown in the picture?")</f>
        <v>What is the main goal of the competition shown in the picture?</v>
      </c>
      <c r="L5" s="5" t="str">
        <f>IFERROR(__xludf.DUMMYFUNCTION("GOOGLETRANSLATE(C5, ""bn"", ""en"")"),"possession of the ball")</f>
        <v>possession of the ball</v>
      </c>
      <c r="M5" s="5" t="str">
        <f>IFERROR(__xludf.DUMMYFUNCTION("GOOGLETRANSLATE(D5, ""bn"", ""en"")"),"Hit the target")</f>
        <v>Hit the target</v>
      </c>
      <c r="N5" s="5" t="str">
        <f>IFERROR(__xludf.DUMMYFUNCTION("GOOGLETRANSLATE(E5, ""bn"", ""en"")"),"Reaching the opposite end of the field")</f>
        <v>Reaching the opposite end of the field</v>
      </c>
      <c r="O5" s="5" t="str">
        <f>IFERROR(__xludf.DUMMYFUNCTION("GOOGLETRANSLATE(F5, ""bn"", ""en"")"),"Avoid touching rivals")</f>
        <v>Avoid touching rivals</v>
      </c>
      <c r="P5" s="5" t="str">
        <f>IFERROR(__xludf.DUMMYFUNCTION("GOOGLETRANSLATE(G5, ""bn"", ""en"")"),"Avoid touching rivals")</f>
        <v>Avoid touching rivals</v>
      </c>
      <c r="Q5" s="5" t="str">
        <f>IFERROR(__xludf.DUMMYFUNCTION("GOOGLETRANSLATE(H5, ""bn"", ""en"")"),"pic2")</f>
        <v>pic2</v>
      </c>
    </row>
    <row r="6">
      <c r="A6" s="3">
        <v>5.0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38</v>
      </c>
      <c r="G6" s="4" t="s">
        <v>38</v>
      </c>
      <c r="H6" s="4" t="s">
        <v>39</v>
      </c>
      <c r="J6" s="5" t="str">
        <f>IFERROR(__xludf.DUMMYFUNCTION("GOOGLETRANSLATE(A6, ""bn"", ""en"")"),"5")</f>
        <v>5</v>
      </c>
      <c r="K6" s="5" t="str">
        <f>IFERROR(__xludf.DUMMYFUNCTION("GOOGLETRANSLATE(B6, ""bn"", ""en"")"),"Which game is shown in the picture?")</f>
        <v>Which game is shown in the picture?</v>
      </c>
      <c r="L6" s="5" t="str">
        <f>IFERROR(__xludf.DUMMYFUNCTION("GOOGLETRANSLATE(C6, ""bn"", ""en"")"),"Fencing")</f>
        <v>Fencing</v>
      </c>
      <c r="M6" s="5" t="str">
        <f>IFERROR(__xludf.DUMMYFUNCTION("GOOGLETRANSLATE(D6, ""bn"", ""en"")"),"Boxing")</f>
        <v>Boxing</v>
      </c>
      <c r="N6" s="5" t="str">
        <f>IFERROR(__xludf.DUMMYFUNCTION("GOOGLETRANSLATE(E6, ""bn"", ""en"")"),"tennis")</f>
        <v>tennis</v>
      </c>
      <c r="O6" s="5" t="str">
        <f>IFERROR(__xludf.DUMMYFUNCTION("GOOGLETRANSLATE(F6, ""bn"", ""en"")"),"wrestling")</f>
        <v>wrestling</v>
      </c>
      <c r="P6" s="5" t="str">
        <f>IFERROR(__xludf.DUMMYFUNCTION("GOOGLETRANSLATE(G6, ""bn"", ""en"")"),"wrestling")</f>
        <v>wrestling</v>
      </c>
      <c r="Q6" s="5" t="str">
        <f>IFERROR(__xludf.DUMMYFUNCTION("GOOGLETRANSLATE(H6, ""bn"", ""en"")"),"pic3")</f>
        <v>pic3</v>
      </c>
    </row>
    <row r="7">
      <c r="A7" s="3">
        <v>6.0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40</v>
      </c>
      <c r="G7" s="4" t="s">
        <v>40</v>
      </c>
      <c r="H7" s="4" t="s">
        <v>39</v>
      </c>
      <c r="J7" s="5" t="str">
        <f>IFERROR(__xludf.DUMMYFUNCTION("GOOGLETRANSLATE(A7, ""bn"", ""en"")"),"6")</f>
        <v>6</v>
      </c>
      <c r="K7" s="5" t="str">
        <f>IFERROR(__xludf.DUMMYFUNCTION("GOOGLETRANSLATE(B7, ""bn"", ""en"")"),"What is the main goal of the competition shown in the picture?")</f>
        <v>What is the main goal of the competition shown in the picture?</v>
      </c>
      <c r="L7" s="5" t="str">
        <f>IFERROR(__xludf.DUMMYFUNCTION("GOOGLETRANSLATE(C7, ""bn"", ""en"")"),"possession of the ball")</f>
        <v>possession of the ball</v>
      </c>
      <c r="M7" s="5" t="str">
        <f>IFERROR(__xludf.DUMMYFUNCTION("GOOGLETRANSLATE(D7, ""bn"", ""en"")"),"Hit the target")</f>
        <v>Hit the target</v>
      </c>
      <c r="N7" s="5" t="str">
        <f>IFERROR(__xludf.DUMMYFUNCTION("GOOGLETRANSLATE(E7, ""bn"", ""en"")"),"Reaching the opposite end of the field")</f>
        <v>Reaching the opposite end of the field</v>
      </c>
      <c r="O7" s="5" t="str">
        <f>IFERROR(__xludf.DUMMYFUNCTION("GOOGLETRANSLATE(F7, ""bn"", ""en"")"),"Throwing the opponent to the ground")</f>
        <v>Throwing the opponent to the ground</v>
      </c>
      <c r="P7" s="5" t="str">
        <f>IFERROR(__xludf.DUMMYFUNCTION("GOOGLETRANSLATE(G7, ""bn"", ""en"")"),"Throwing the opponent to the ground")</f>
        <v>Throwing the opponent to the ground</v>
      </c>
      <c r="Q7" s="5" t="str">
        <f>IFERROR(__xludf.DUMMYFUNCTION("GOOGLETRANSLATE(H7, ""bn"", ""en"")"),"pic3")</f>
        <v>pic3</v>
      </c>
    </row>
    <row r="8">
      <c r="A8" s="3">
        <v>7.0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43</v>
      </c>
      <c r="H8" s="4" t="s">
        <v>46</v>
      </c>
      <c r="J8" s="5" t="str">
        <f>IFERROR(__xludf.DUMMYFUNCTION("GOOGLETRANSLATE(A8, ""bn"", ""en"")"),"7")</f>
        <v>7</v>
      </c>
      <c r="K8" s="5" t="str">
        <f>IFERROR(__xludf.DUMMYFUNCTION("GOOGLETRANSLATE(B8, ""bn"", ""en"")"),"What kind of event is shown in the picture?")</f>
        <v>What kind of event is shown in the picture?</v>
      </c>
      <c r="L8" s="5" t="str">
        <f>IFERROR(__xludf.DUMMYFUNCTION("GOOGLETRANSLATE(C8, ""bn"", ""en"")"),"Personal events")</f>
        <v>Personal events</v>
      </c>
      <c r="M8" s="5" t="str">
        <f>IFERROR(__xludf.DUMMYFUNCTION("GOOGLETRANSLATE(D8, ""bn"", ""en"")"),"Social events")</f>
        <v>Social events</v>
      </c>
      <c r="N8" s="5" t="str">
        <f>IFERROR(__xludf.DUMMYFUNCTION("GOOGLETRANSLATE(E8, ""bn"", ""en"")"),"family festival")</f>
        <v>family festival</v>
      </c>
      <c r="O8" s="5" t="str">
        <f>IFERROR(__xludf.DUMMYFUNCTION("GOOGLETRANSLATE(F8, ""bn"", ""en"")"),"Training")</f>
        <v>Training</v>
      </c>
      <c r="P8" s="5" t="str">
        <f>IFERROR(__xludf.DUMMYFUNCTION("GOOGLETRANSLATE(G8, ""bn"", ""en"")"),"Social events")</f>
        <v>Social events</v>
      </c>
      <c r="Q8" s="5" t="str">
        <f>IFERROR(__xludf.DUMMYFUNCTION("GOOGLETRANSLATE(H8, ""bn"", ""en"")"),"pic4")</f>
        <v>pic4</v>
      </c>
    </row>
    <row r="9">
      <c r="A9" s="3">
        <v>8.0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50</v>
      </c>
      <c r="H9" s="4" t="s">
        <v>46</v>
      </c>
      <c r="J9" s="5" t="str">
        <f>IFERROR(__xludf.DUMMYFUNCTION("GOOGLETRANSLATE(A9, ""bn"", ""en"")"),"8")</f>
        <v>8</v>
      </c>
      <c r="K9" s="5" t="str">
        <f>IFERROR(__xludf.DUMMYFUNCTION("GOOGLETRANSLATE(B9, ""bn"", ""en"")"),"What are most of the viewers doing in the film?")</f>
        <v>What are most of the viewers doing in the film?</v>
      </c>
      <c r="L9" s="5" t="str">
        <f>IFERROR(__xludf.DUMMYFUNCTION("GOOGLETRANSLATE(C9, ""bn"", ""en"")"),"Sitting")</f>
        <v>Sitting</v>
      </c>
      <c r="M9" s="5" t="str">
        <f>IFERROR(__xludf.DUMMYFUNCTION("GOOGLETRANSLATE(D9, ""bn"", ""en"")"),"Reading")</f>
        <v>Reading</v>
      </c>
      <c r="N9" s="5" t="str">
        <f>IFERROR(__xludf.DUMMYFUNCTION("GOOGLETRANSLATE(E9, ""bn"", ""en"")"),"watching the game")</f>
        <v>watching the game</v>
      </c>
      <c r="O9" s="5" t="str">
        <f>IFERROR(__xludf.DUMMYFUNCTION("GOOGLETRANSLATE(F9, ""bn"", ""en"")"),"Another game is playing")</f>
        <v>Another game is playing</v>
      </c>
      <c r="P9" s="5" t="str">
        <f>IFERROR(__xludf.DUMMYFUNCTION("GOOGLETRANSLATE(G9, ""bn"", ""en"")"),"watching the game")</f>
        <v>watching the game</v>
      </c>
      <c r="Q9" s="5" t="str">
        <f>IFERROR(__xludf.DUMMYFUNCTION("GOOGLETRANSLATE(H9, ""bn"", ""en"")"),"pic4")</f>
        <v>pic4</v>
      </c>
    </row>
    <row r="10">
      <c r="A10" s="3">
        <v>9.0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56</v>
      </c>
      <c r="H10" s="4" t="s">
        <v>57</v>
      </c>
      <c r="J10" s="5" t="str">
        <f>IFERROR(__xludf.DUMMYFUNCTION("GOOGLETRANSLATE(A10, ""bn"", ""en"")"),"9")</f>
        <v>9</v>
      </c>
      <c r="K10" s="5" t="str">
        <f>IFERROR(__xludf.DUMMYFUNCTION("GOOGLETRANSLATE(B10, ""bn"", ""en"")"),"What is happening in the picture?")</f>
        <v>What is happening in the picture?</v>
      </c>
      <c r="L10" s="5" t="str">
        <f>IFERROR(__xludf.DUMMYFUNCTION("GOOGLETRANSLATE(C10, ""bn"", ""en"")"),"Group activity")</f>
        <v>Group activity</v>
      </c>
      <c r="M10" s="5" t="str">
        <f>IFERROR(__xludf.DUMMYFUNCTION("GOOGLETRANSLATE(D10, ""bn"", ""en"")"),"Personal training")</f>
        <v>Personal training</v>
      </c>
      <c r="N10" s="5" t="str">
        <f>IFERROR(__xludf.DUMMYFUNCTION("GOOGLETRANSLATE(E10, ""bn"", ""en"")"),"Work related events")</f>
        <v>Work related events</v>
      </c>
      <c r="O10" s="5" t="str">
        <f>IFERROR(__xludf.DUMMYFUNCTION("GOOGLETRANSLATE(F10, ""bn"", ""en"")"),"social competition")</f>
        <v>social competition</v>
      </c>
      <c r="P10" s="5" t="str">
        <f>IFERROR(__xludf.DUMMYFUNCTION("GOOGLETRANSLATE(G10, ""bn"", ""en"")"),"social competition")</f>
        <v>social competition</v>
      </c>
      <c r="Q10" s="5" t="str">
        <f>IFERROR(__xludf.DUMMYFUNCTION("GOOGLETRANSLATE(H10, ""bn"", ""en"")"),"pic5")</f>
        <v>pic5</v>
      </c>
    </row>
    <row r="11">
      <c r="A11" s="3">
        <v>10.0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60</v>
      </c>
      <c r="H11" s="4" t="s">
        <v>57</v>
      </c>
      <c r="J11" s="5" t="str">
        <f>IFERROR(__xludf.DUMMYFUNCTION("GOOGLETRANSLATE(A11, ""bn"", ""en"")"),"10")</f>
        <v>10</v>
      </c>
      <c r="K11" s="5" t="str">
        <f>IFERROR(__xludf.DUMMYFUNCTION("GOOGLETRANSLATE(B11, ""bn"", ""en"")"),"Where is the event taking place in the picture?")</f>
        <v>Where is the event taking place in the picture?</v>
      </c>
      <c r="L11" s="5" t="str">
        <f>IFERROR(__xludf.DUMMYFUNCTION("GOOGLETRANSLATE(C11, ""bn"", ""en"")"),"inside the house")</f>
        <v>inside the house</v>
      </c>
      <c r="M11" s="5" t="str">
        <f>IFERROR(__xludf.DUMMYFUNCTION("GOOGLETRANSLATE(D11, ""bn"", ""en"")"),"in the open")</f>
        <v>in the open</v>
      </c>
      <c r="N11" s="5" t="str">
        <f>IFERROR(__xludf.DUMMYFUNCTION("GOOGLETRANSLATE(E11, ""bn"", ""en"")"),"at the stadium")</f>
        <v>at the stadium</v>
      </c>
      <c r="O11" s="5" t="str">
        <f>IFERROR(__xludf.DUMMYFUNCTION("GOOGLETRANSLATE(F11, ""bn"", ""en"")"),"in the gym")</f>
        <v>in the gym</v>
      </c>
      <c r="P11" s="5" t="str">
        <f>IFERROR(__xludf.DUMMYFUNCTION("GOOGLETRANSLATE(G11, ""bn"", ""en"")"),"in the open")</f>
        <v>in the open</v>
      </c>
      <c r="Q11" s="5" t="str">
        <f>IFERROR(__xludf.DUMMYFUNCTION("GOOGLETRANSLATE(H11, ""bn"", ""en"")"),"pic5")</f>
        <v>pic5</v>
      </c>
    </row>
    <row r="12">
      <c r="A12" s="3">
        <v>11.0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67</v>
      </c>
      <c r="H12" s="4" t="s">
        <v>68</v>
      </c>
      <c r="J12" s="5" t="str">
        <f>IFERROR(__xludf.DUMMYFUNCTION("GOOGLETRANSLATE(A12, ""bn"", ""en"")"),"11")</f>
        <v>11</v>
      </c>
      <c r="K12" s="5" t="str">
        <f>IFERROR(__xludf.DUMMYFUNCTION("GOOGLETRANSLATE(B12, ""bn"", ""en"")"),"What are the players doing in the picture?")</f>
        <v>What are the players doing in the picture?</v>
      </c>
      <c r="L12" s="5" t="str">
        <f>IFERROR(__xludf.DUMMYFUNCTION("GOOGLETRANSLATE(C12, ""bn"", ""en"")"),"fighting each other")</f>
        <v>fighting each other</v>
      </c>
      <c r="M12" s="5" t="str">
        <f>IFERROR(__xludf.DUMMYFUNCTION("GOOGLETRANSLATE(D12, ""bn"", ""en"")"),"singing")</f>
        <v>singing</v>
      </c>
      <c r="N12" s="5" t="str">
        <f>IFERROR(__xludf.DUMMYFUNCTION("GOOGLETRANSLATE(E12, ""bn"", ""en"")"),"playing football")</f>
        <v>playing football</v>
      </c>
      <c r="O12" s="5" t="str">
        <f>IFERROR(__xludf.DUMMYFUNCTION("GOOGLETRANSLATE(F12, ""bn"", ""en"")"),"Playing Kabaddi")</f>
        <v>Playing Kabaddi</v>
      </c>
      <c r="P12" s="5" t="str">
        <f>IFERROR(__xludf.DUMMYFUNCTION("GOOGLETRANSLATE(G12, ""bn"", ""en"")"),"Playing Kabaddi")</f>
        <v>Playing Kabaddi</v>
      </c>
      <c r="Q12" s="5" t="str">
        <f>IFERROR(__xludf.DUMMYFUNCTION("GOOGLETRANSLATE(H12, ""bn"", ""en"")"),"pic6")</f>
        <v>pic6</v>
      </c>
    </row>
    <row r="13">
      <c r="A13" s="3">
        <v>12.0</v>
      </c>
      <c r="B13" s="4" t="s">
        <v>69</v>
      </c>
      <c r="C13" s="4" t="s">
        <v>34</v>
      </c>
      <c r="D13" s="4" t="s">
        <v>40</v>
      </c>
      <c r="E13" s="4" t="s">
        <v>70</v>
      </c>
      <c r="F13" s="4" t="s">
        <v>71</v>
      </c>
      <c r="G13" s="4" t="s">
        <v>71</v>
      </c>
      <c r="H13" s="4" t="s">
        <v>68</v>
      </c>
      <c r="J13" s="5" t="str">
        <f>IFERROR(__xludf.DUMMYFUNCTION("GOOGLETRANSLATE(A13, ""bn"", ""en"")"),"12")</f>
        <v>12</v>
      </c>
      <c r="K13" s="5" t="str">
        <f>IFERROR(__xludf.DUMMYFUNCTION("GOOGLETRANSLATE(B13, ""bn"", ""en"")"),"What is the main goal of the game shown in the picture?")</f>
        <v>What is the main goal of the game shown in the picture?</v>
      </c>
      <c r="L13" s="5" t="str">
        <f>IFERROR(__xludf.DUMMYFUNCTION("GOOGLETRANSLATE(C13, ""bn"", ""en"")"),"possession of the ball")</f>
        <v>possession of the ball</v>
      </c>
      <c r="M13" s="5" t="str">
        <f>IFERROR(__xludf.DUMMYFUNCTION("GOOGLETRANSLATE(D13, ""bn"", ""en"")"),"Throwing the opponent to the ground")</f>
        <v>Throwing the opponent to the ground</v>
      </c>
      <c r="N13" s="5" t="str">
        <f>IFERROR(__xludf.DUMMYFUNCTION("GOOGLETRANSLATE(E13, ""bn"", ""en"")"),"capture the flag")</f>
        <v>capture the flag</v>
      </c>
      <c r="O13" s="5" t="str">
        <f>IFERROR(__xludf.DUMMYFUNCTION("GOOGLETRANSLATE(F13, ""bn"", ""en"")"),"Avoid touching")</f>
        <v>Avoid touching</v>
      </c>
      <c r="P13" s="5" t="str">
        <f>IFERROR(__xludf.DUMMYFUNCTION("GOOGLETRANSLATE(G13, ""bn"", ""en"")"),"Avoid touching")</f>
        <v>Avoid touching</v>
      </c>
      <c r="Q13" s="5" t="str">
        <f>IFERROR(__xludf.DUMMYFUNCTION("GOOGLETRANSLATE(H13, ""bn"", ""en"")"),"pic6")</f>
        <v>pic6</v>
      </c>
    </row>
    <row r="14">
      <c r="A14" s="3">
        <v>13.0</v>
      </c>
      <c r="B14" s="4" t="s">
        <v>63</v>
      </c>
      <c r="C14" s="4" t="s">
        <v>64</v>
      </c>
      <c r="D14" s="4" t="s">
        <v>65</v>
      </c>
      <c r="E14" s="4" t="s">
        <v>66</v>
      </c>
      <c r="F14" s="4" t="s">
        <v>67</v>
      </c>
      <c r="G14" s="4" t="s">
        <v>67</v>
      </c>
      <c r="H14" s="4" t="s">
        <v>68</v>
      </c>
      <c r="J14" s="5" t="str">
        <f>IFERROR(__xludf.DUMMYFUNCTION("GOOGLETRANSLATE(A14, ""bn"", ""en"")"),"13")</f>
        <v>13</v>
      </c>
      <c r="K14" s="5" t="str">
        <f>IFERROR(__xludf.DUMMYFUNCTION("GOOGLETRANSLATE(B14, ""bn"", ""en"")"),"What are the players doing in the picture?")</f>
        <v>What are the players doing in the picture?</v>
      </c>
      <c r="L14" s="5" t="str">
        <f>IFERROR(__xludf.DUMMYFUNCTION("GOOGLETRANSLATE(C14, ""bn"", ""en"")"),"fighting each other")</f>
        <v>fighting each other</v>
      </c>
      <c r="M14" s="5" t="str">
        <f>IFERROR(__xludf.DUMMYFUNCTION("GOOGLETRANSLATE(D14, ""bn"", ""en"")"),"singing")</f>
        <v>singing</v>
      </c>
      <c r="N14" s="5" t="str">
        <f>IFERROR(__xludf.DUMMYFUNCTION("GOOGLETRANSLATE(E14, ""bn"", ""en"")"),"playing football")</f>
        <v>playing football</v>
      </c>
      <c r="O14" s="5" t="str">
        <f>IFERROR(__xludf.DUMMYFUNCTION("GOOGLETRANSLATE(F14, ""bn"", ""en"")"),"Playing Kabaddi")</f>
        <v>Playing Kabaddi</v>
      </c>
      <c r="P14" s="5" t="str">
        <f>IFERROR(__xludf.DUMMYFUNCTION("GOOGLETRANSLATE(G14, ""bn"", ""en"")"),"Playing Kabaddi")</f>
        <v>Playing Kabaddi</v>
      </c>
      <c r="Q14" s="5" t="str">
        <f>IFERROR(__xludf.DUMMYFUNCTION("GOOGLETRANSLATE(H14, ""bn"", ""en"")"),"pic6")</f>
        <v>pic6</v>
      </c>
    </row>
    <row r="15">
      <c r="A15" s="3">
        <v>14.0</v>
      </c>
      <c r="B15" s="4" t="s">
        <v>69</v>
      </c>
      <c r="C15" s="4" t="s">
        <v>34</v>
      </c>
      <c r="D15" s="4" t="s">
        <v>40</v>
      </c>
      <c r="E15" s="4" t="s">
        <v>70</v>
      </c>
      <c r="F15" s="4" t="s">
        <v>71</v>
      </c>
      <c r="G15" s="4" t="s">
        <v>71</v>
      </c>
      <c r="H15" s="4" t="s">
        <v>72</v>
      </c>
      <c r="J15" s="5" t="str">
        <f>IFERROR(__xludf.DUMMYFUNCTION("GOOGLETRANSLATE(A15, ""bn"", ""en"")"),"14")</f>
        <v>14</v>
      </c>
      <c r="K15" s="5" t="str">
        <f>IFERROR(__xludf.DUMMYFUNCTION("GOOGLETRANSLATE(B15, ""bn"", ""en"")"),"What is the main goal of the game shown in the picture?")</f>
        <v>What is the main goal of the game shown in the picture?</v>
      </c>
      <c r="L15" s="5" t="str">
        <f>IFERROR(__xludf.DUMMYFUNCTION("GOOGLETRANSLATE(C15, ""bn"", ""en"")"),"possession of the ball")</f>
        <v>possession of the ball</v>
      </c>
      <c r="M15" s="5" t="str">
        <f>IFERROR(__xludf.DUMMYFUNCTION("GOOGLETRANSLATE(D15, ""bn"", ""en"")"),"Throwing the opponent to the ground")</f>
        <v>Throwing the opponent to the ground</v>
      </c>
      <c r="N15" s="5" t="str">
        <f>IFERROR(__xludf.DUMMYFUNCTION("GOOGLETRANSLATE(E15, ""bn"", ""en"")"),"capture the flag")</f>
        <v>capture the flag</v>
      </c>
      <c r="O15" s="5" t="str">
        <f>IFERROR(__xludf.DUMMYFUNCTION("GOOGLETRANSLATE(F15, ""bn"", ""en"")"),"Avoid touching")</f>
        <v>Avoid touching</v>
      </c>
      <c r="P15" s="5" t="str">
        <f>IFERROR(__xludf.DUMMYFUNCTION("GOOGLETRANSLATE(G15, ""bn"", ""en"")"),"Avoid touching")</f>
        <v>Avoid touching</v>
      </c>
      <c r="Q15" s="5" t="str">
        <f>IFERROR(__xludf.DUMMYFUNCTION("GOOGLETRANSLATE(H15, ""bn"", ""en"")"),"pic7")</f>
        <v>pic7</v>
      </c>
    </row>
    <row r="16">
      <c r="A16" s="3">
        <v>15.0</v>
      </c>
      <c r="B16" s="4" t="s">
        <v>73</v>
      </c>
      <c r="C16" s="4" t="s">
        <v>74</v>
      </c>
      <c r="D16" s="4" t="s">
        <v>75</v>
      </c>
      <c r="E16" s="4" t="s">
        <v>71</v>
      </c>
      <c r="F16" s="4" t="s">
        <v>34</v>
      </c>
      <c r="G16" s="4" t="s">
        <v>71</v>
      </c>
      <c r="H16" s="4" t="s">
        <v>72</v>
      </c>
      <c r="J16" s="5" t="str">
        <f>IFERROR(__xludf.DUMMYFUNCTION("GOOGLETRANSLATE(A16, ""bn"", ""en"")"),"15")</f>
        <v>15</v>
      </c>
      <c r="K16" s="5" t="str">
        <f>IFERROR(__xludf.DUMMYFUNCTION("GOOGLETRANSLATE(B16, ""bn"", ""en"")"),"What strategy are the players using in the picture?")</f>
        <v>What strategy are the players using in the picture?</v>
      </c>
      <c r="L16" s="5" t="str">
        <f>IFERROR(__xludf.DUMMYFUNCTION("GOOGLETRANSLATE(C16, ""bn"", ""en"")"),"Attack from all sides")</f>
        <v>Attack from all sides</v>
      </c>
      <c r="M16" s="5" t="str">
        <f>IFERROR(__xludf.DUMMYFUNCTION("GOOGLETRANSLATE(D16, ""bn"", ""en"")"),"Defending your turf")</f>
        <v>Defending your turf</v>
      </c>
      <c r="N16" s="5" t="str">
        <f>IFERROR(__xludf.DUMMYFUNCTION("GOOGLETRANSLATE(E16, ""bn"", ""en"")"),"Avoid touching")</f>
        <v>Avoid touching</v>
      </c>
      <c r="O16" s="5" t="str">
        <f>IFERROR(__xludf.DUMMYFUNCTION("GOOGLETRANSLATE(F16, ""bn"", ""en"")"),"possession of the ball")</f>
        <v>possession of the ball</v>
      </c>
      <c r="P16" s="5" t="str">
        <f>IFERROR(__xludf.DUMMYFUNCTION("GOOGLETRANSLATE(G16, ""bn"", ""en"")"),"Avoid touching")</f>
        <v>Avoid touching</v>
      </c>
      <c r="Q16" s="5" t="str">
        <f>IFERROR(__xludf.DUMMYFUNCTION("GOOGLETRANSLATE(H16, ""bn"", ""en"")"),"pic7")</f>
        <v>pic7</v>
      </c>
    </row>
    <row r="17">
      <c r="A17" s="3">
        <v>16.0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80</v>
      </c>
      <c r="G17" s="4" t="s">
        <v>78</v>
      </c>
      <c r="H17" s="4" t="s">
        <v>81</v>
      </c>
      <c r="J17" s="5" t="str">
        <f>IFERROR(__xludf.DUMMYFUNCTION("GOOGLETRANSLATE(A17, ""bn"", ""en"")"),"16")</f>
        <v>16</v>
      </c>
      <c r="K17" s="5" t="str">
        <f>IFERROR(__xludf.DUMMYFUNCTION("GOOGLETRANSLATE(B17, ""bn"", ""en"")"),"How many players participated in the film?")</f>
        <v>How many players participated in the film?</v>
      </c>
      <c r="L17" s="5" t="str">
        <f>IFERROR(__xludf.DUMMYFUNCTION("GOOGLETRANSLATE(C17, ""bn"", ""en"")"),"5 people")</f>
        <v>5 people</v>
      </c>
      <c r="M17" s="5" t="str">
        <f>IFERROR(__xludf.DUMMYFUNCTION("GOOGLETRANSLATE(D17, ""bn"", ""en"")"),"7 people")</f>
        <v>7 people</v>
      </c>
      <c r="N17" s="5" t="str">
        <f>IFERROR(__xludf.DUMMYFUNCTION("GOOGLETRANSLATE(E17, ""bn"", ""en"")"),"9 people")</f>
        <v>9 people</v>
      </c>
      <c r="O17" s="5" t="str">
        <f>IFERROR(__xludf.DUMMYFUNCTION("GOOGLETRANSLATE(F17, ""bn"", ""en"")"),"11 people")</f>
        <v>11 people</v>
      </c>
      <c r="P17" s="5" t="str">
        <f>IFERROR(__xludf.DUMMYFUNCTION("GOOGLETRANSLATE(G17, ""bn"", ""en"")"),"7 people")</f>
        <v>7 people</v>
      </c>
      <c r="Q17" s="5" t="str">
        <f>IFERROR(__xludf.DUMMYFUNCTION("GOOGLETRANSLATE(H17, ""bn"", ""en"")"),"pic8")</f>
        <v>pic8</v>
      </c>
    </row>
    <row r="18">
      <c r="A18" s="3">
        <v>17.0</v>
      </c>
      <c r="B18" s="4" t="s">
        <v>41</v>
      </c>
      <c r="C18" s="4" t="s">
        <v>56</v>
      </c>
      <c r="D18" s="4" t="s">
        <v>54</v>
      </c>
      <c r="E18" s="4" t="s">
        <v>44</v>
      </c>
      <c r="F18" s="4" t="s">
        <v>82</v>
      </c>
      <c r="G18" s="4" t="s">
        <v>56</v>
      </c>
      <c r="H18" s="4" t="s">
        <v>81</v>
      </c>
      <c r="J18" s="5" t="str">
        <f>IFERROR(__xludf.DUMMYFUNCTION("GOOGLETRANSLATE(A18, ""bn"", ""en"")"),"17")</f>
        <v>17</v>
      </c>
      <c r="K18" s="5" t="str">
        <f>IFERROR(__xludf.DUMMYFUNCTION("GOOGLETRANSLATE(B18, ""bn"", ""en"")"),"What kind of event is shown in the picture?")</f>
        <v>What kind of event is shown in the picture?</v>
      </c>
      <c r="L18" s="5" t="str">
        <f>IFERROR(__xludf.DUMMYFUNCTION("GOOGLETRANSLATE(C18, ""bn"", ""en"")"),"social competition")</f>
        <v>social competition</v>
      </c>
      <c r="M18" s="5" t="str">
        <f>IFERROR(__xludf.DUMMYFUNCTION("GOOGLETRANSLATE(D18, ""bn"", ""en"")"),"Personal training")</f>
        <v>Personal training</v>
      </c>
      <c r="N18" s="5" t="str">
        <f>IFERROR(__xludf.DUMMYFUNCTION("GOOGLETRANSLATE(E18, ""bn"", ""en"")"),"family festival")</f>
        <v>family festival</v>
      </c>
      <c r="O18" s="5" t="str">
        <f>IFERROR(__xludf.DUMMYFUNCTION("GOOGLETRANSLATE(F18, ""bn"", ""en"")"),"Sports festival")</f>
        <v>Sports festival</v>
      </c>
      <c r="P18" s="5" t="str">
        <f>IFERROR(__xludf.DUMMYFUNCTION("GOOGLETRANSLATE(G18, ""bn"", ""en"")"),"social competition")</f>
        <v>social competition</v>
      </c>
      <c r="Q18" s="5" t="str">
        <f>IFERROR(__xludf.DUMMYFUNCTION("GOOGLETRANSLATE(H18, ""bn"", ""en"")"),"pic8")</f>
        <v>pic8</v>
      </c>
    </row>
    <row r="19">
      <c r="A19" s="3">
        <v>18.0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  <c r="G19" s="4" t="s">
        <v>86</v>
      </c>
      <c r="H19" s="4" t="s">
        <v>88</v>
      </c>
      <c r="J19" s="5" t="str">
        <f>IFERROR(__xludf.DUMMYFUNCTION("GOOGLETRANSLATE(A19, ""bn"", ""en"")"),"18")</f>
        <v>18</v>
      </c>
      <c r="K19" s="5" t="str">
        <f>IFERROR(__xludf.DUMMYFUNCTION("GOOGLETRANSLATE(B19, ""bn"", ""en"")"),"What is the crowd doing in the picture?")</f>
        <v>What is the crowd doing in the picture?</v>
      </c>
      <c r="L19" s="5" t="str">
        <f>IFERROR(__xludf.DUMMYFUNCTION("GOOGLETRANSLATE(C19, ""bn"", ""en"")"),"Playing the game")</f>
        <v>Playing the game</v>
      </c>
      <c r="M19" s="5" t="str">
        <f>IFERROR(__xludf.DUMMYFUNCTION("GOOGLETRANSLATE(D19, ""bn"", ""en"")"),"Selling food")</f>
        <v>Selling food</v>
      </c>
      <c r="N19" s="5" t="str">
        <f>IFERROR(__xludf.DUMMYFUNCTION("GOOGLETRANSLATE(E19, ""bn"", ""en"")"),"watching the match")</f>
        <v>watching the match</v>
      </c>
      <c r="O19" s="5" t="str">
        <f>IFERROR(__xludf.DUMMYFUNCTION("GOOGLETRANSLATE(F19, ""bn"", ""en"")"),"reading book")</f>
        <v>reading book</v>
      </c>
      <c r="P19" s="5" t="str">
        <f>IFERROR(__xludf.DUMMYFUNCTION("GOOGLETRANSLATE(G19, ""bn"", ""en"")"),"watching the match")</f>
        <v>watching the match</v>
      </c>
      <c r="Q19" s="5" t="str">
        <f>IFERROR(__xludf.DUMMYFUNCTION("GOOGLETRANSLATE(H19, ""bn"", ""en"")"),"pic9")</f>
        <v>pic9</v>
      </c>
    </row>
    <row r="20">
      <c r="A20" s="3">
        <v>19.0</v>
      </c>
      <c r="B20" s="4" t="s">
        <v>89</v>
      </c>
      <c r="C20" s="4" t="s">
        <v>90</v>
      </c>
      <c r="D20" s="4" t="s">
        <v>87</v>
      </c>
      <c r="E20" s="4" t="s">
        <v>91</v>
      </c>
      <c r="F20" s="4" t="s">
        <v>92</v>
      </c>
      <c r="G20" s="4" t="s">
        <v>91</v>
      </c>
      <c r="H20" s="4" t="s">
        <v>88</v>
      </c>
      <c r="J20" s="5" t="str">
        <f>IFERROR(__xludf.DUMMYFUNCTION("GOOGLETRANSLATE(A20, ""bn"", ""en"")"),"19")</f>
        <v>19</v>
      </c>
      <c r="K20" s="5" t="str">
        <f>IFERROR(__xludf.DUMMYFUNCTION("GOOGLETRANSLATE(B20, ""bn"", ""en"")"),"What are the children showing in the picture?")</f>
        <v>What are the children showing in the picture?</v>
      </c>
      <c r="L20" s="5" t="str">
        <f>IFERROR(__xludf.DUMMYFUNCTION("GOOGLETRANSLATE(C20, ""bn"", ""en"")"),"Playing video games")</f>
        <v>Playing video games</v>
      </c>
      <c r="M20" s="5" t="str">
        <f>IFERROR(__xludf.DUMMYFUNCTION("GOOGLETRANSLATE(D20, ""bn"", ""en"")"),"reading book")</f>
        <v>reading book</v>
      </c>
      <c r="N20" s="5" t="str">
        <f>IFERROR(__xludf.DUMMYFUNCTION("GOOGLETRANSLATE(E20, ""bn"", ""en"")"),"Playing traditional games")</f>
        <v>Playing traditional games</v>
      </c>
      <c r="O20" s="5" t="str">
        <f>IFERROR(__xludf.DUMMYFUNCTION("GOOGLETRANSLATE(F20, ""bn"", ""en"")"),"dancing")</f>
        <v>dancing</v>
      </c>
      <c r="P20" s="5" t="str">
        <f>IFERROR(__xludf.DUMMYFUNCTION("GOOGLETRANSLATE(G20, ""bn"", ""en"")"),"Playing traditional games")</f>
        <v>Playing traditional games</v>
      </c>
      <c r="Q20" s="5" t="str">
        <f>IFERROR(__xludf.DUMMYFUNCTION("GOOGLETRANSLATE(H20, ""bn"", ""en"")"),"pic9")</f>
        <v>pic9</v>
      </c>
    </row>
    <row r="21">
      <c r="A21" s="3">
        <v>20.0</v>
      </c>
      <c r="B21" s="4" t="s">
        <v>93</v>
      </c>
      <c r="C21" s="4" t="s">
        <v>94</v>
      </c>
      <c r="D21" s="4" t="s">
        <v>95</v>
      </c>
      <c r="E21" s="4" t="s">
        <v>96</v>
      </c>
      <c r="F21" s="4" t="s">
        <v>97</v>
      </c>
      <c r="G21" s="4" t="s">
        <v>96</v>
      </c>
      <c r="H21" s="4" t="s">
        <v>98</v>
      </c>
      <c r="J21" s="5" t="str">
        <f>IFERROR(__xludf.DUMMYFUNCTION("GOOGLETRANSLATE(A21, ""bn"", ""en"")"),"20")</f>
        <v>20</v>
      </c>
      <c r="K21" s="5" t="str">
        <f>IFERROR(__xludf.DUMMYFUNCTION("GOOGLETRANSLATE(B21, ""bn"", ""en"")"),"What is the weather shown in the picture?")</f>
        <v>What is the weather shown in the picture?</v>
      </c>
      <c r="L21" s="5" t="str">
        <f>IFERROR(__xludf.DUMMYFUNCTION("GOOGLETRANSLATE(C21, ""bn"", ""en"")"),"official")</f>
        <v>official</v>
      </c>
      <c r="M21" s="5" t="str">
        <f>IFERROR(__xludf.DUMMYFUNCTION("GOOGLETRANSLATE(D21, ""bn"", ""en"")"),"sad")</f>
        <v>sad</v>
      </c>
      <c r="N21" s="5" t="str">
        <f>IFERROR(__xludf.DUMMYFUNCTION("GOOGLETRANSLATE(E21, ""bn"", ""en"")"),"Cheerful")</f>
        <v>Cheerful</v>
      </c>
      <c r="O21" s="5" t="str">
        <f>IFERROR(__xludf.DUMMYFUNCTION("GOOGLETRANSLATE(F21, ""bn"", ""en"")"),"Exciting")</f>
        <v>Exciting</v>
      </c>
      <c r="P21" s="5" t="str">
        <f>IFERROR(__xludf.DUMMYFUNCTION("GOOGLETRANSLATE(G21, ""bn"", ""en"")"),"Cheerful")</f>
        <v>Cheerful</v>
      </c>
      <c r="Q21" s="5" t="str">
        <f>IFERROR(__xludf.DUMMYFUNCTION("GOOGLETRANSLATE(H21, ""bn"", ""en"")"),"pic10")</f>
        <v>pic10</v>
      </c>
    </row>
    <row r="22">
      <c r="A22" s="3">
        <v>21.0</v>
      </c>
      <c r="B22" s="4" t="s">
        <v>99</v>
      </c>
      <c r="C22" s="4" t="s">
        <v>100</v>
      </c>
      <c r="D22" s="4" t="s">
        <v>101</v>
      </c>
      <c r="E22" s="4" t="s">
        <v>102</v>
      </c>
      <c r="F22" s="4" t="s">
        <v>103</v>
      </c>
      <c r="G22" s="4" t="s">
        <v>100</v>
      </c>
      <c r="H22" s="4" t="s">
        <v>98</v>
      </c>
      <c r="J22" s="5" t="str">
        <f>IFERROR(__xludf.DUMMYFUNCTION("GOOGLETRANSLATE(A22, ""bn"", ""en"")"),"21")</f>
        <v>21</v>
      </c>
      <c r="K22" s="5" t="str">
        <f>IFERROR(__xludf.DUMMYFUNCTION("GOOGLETRANSLATE(B22, ""bn"", ""en"")"),"How are the groups separated in the picture?")</f>
        <v>How are the groups separated in the picture?</v>
      </c>
      <c r="L22" s="5" t="str">
        <f>IFERROR(__xludf.DUMMYFUNCTION("GOOGLETRANSLATE(C22, ""bn"", ""en"")"),"Color of jersey")</f>
        <v>Color of jersey</v>
      </c>
      <c r="M22" s="5" t="str">
        <f>IFERROR(__xludf.DUMMYFUNCTION("GOOGLETRANSLATE(D22, ""bn"", ""en"")"),"Size of players")</f>
        <v>Size of players</v>
      </c>
      <c r="N22" s="5" t="str">
        <f>IFERROR(__xludf.DUMMYFUNCTION("GOOGLETRANSLATE(E22, ""bn"", ""en"")"),"Shoe type")</f>
        <v>Shoe type</v>
      </c>
      <c r="O22" s="5" t="str">
        <f>IFERROR(__xludf.DUMMYFUNCTION("GOOGLETRANSLATE(F22, ""bn"", ""en"")"),"Height")</f>
        <v>Height</v>
      </c>
      <c r="P22" s="5" t="str">
        <f>IFERROR(__xludf.DUMMYFUNCTION("GOOGLETRANSLATE(G22, ""bn"", ""en"")"),"Color of jersey")</f>
        <v>Color of jersey</v>
      </c>
      <c r="Q22" s="5" t="str">
        <f>IFERROR(__xludf.DUMMYFUNCTION("GOOGLETRANSLATE(H22, ""bn"", ""en"")"),"pic10")</f>
        <v>pic10</v>
      </c>
    </row>
    <row r="23">
      <c r="A23" s="3">
        <v>22.0</v>
      </c>
      <c r="B23" s="4" t="s">
        <v>104</v>
      </c>
      <c r="C23" s="4" t="s">
        <v>105</v>
      </c>
      <c r="D23" s="4" t="s">
        <v>106</v>
      </c>
      <c r="E23" s="4" t="s">
        <v>107</v>
      </c>
      <c r="F23" s="4" t="s">
        <v>108</v>
      </c>
      <c r="G23" s="4" t="s">
        <v>106</v>
      </c>
      <c r="H23" s="4" t="s">
        <v>109</v>
      </c>
      <c r="J23" s="5" t="str">
        <f>IFERROR(__xludf.DUMMYFUNCTION("GOOGLETRANSLATE(A23, ""bn"", ""en"")"),"22")</f>
        <v>22</v>
      </c>
      <c r="K23" s="5" t="str">
        <f>IFERROR(__xludf.DUMMYFUNCTION("GOOGLETRANSLATE(B23, ""bn"", ""en"")"),"Which country is displayed on the scoreboard?")</f>
        <v>Which country is displayed on the scoreboard?</v>
      </c>
      <c r="L23" s="5" t="str">
        <f>IFERROR(__xludf.DUMMYFUNCTION("GOOGLETRANSLATE(C23, ""bn"", ""en"")"),"India")</f>
        <v>India</v>
      </c>
      <c r="M23" s="5" t="str">
        <f>IFERROR(__xludf.DUMMYFUNCTION("GOOGLETRANSLATE(D23, ""bn"", ""en"")"),"Bangladesh")</f>
        <v>Bangladesh</v>
      </c>
      <c r="N23" s="5" t="str">
        <f>IFERROR(__xludf.DUMMYFUNCTION("GOOGLETRANSLATE(E23, ""bn"", ""en"")"),"Pakistan")</f>
        <v>Pakistan</v>
      </c>
      <c r="O23" s="5" t="str">
        <f>IFERROR(__xludf.DUMMYFUNCTION("GOOGLETRANSLATE(F23, ""bn"", ""en"")"),"Sri Lanka")</f>
        <v>Sri Lanka</v>
      </c>
      <c r="P23" s="5" t="str">
        <f>IFERROR(__xludf.DUMMYFUNCTION("GOOGLETRANSLATE(G23, ""bn"", ""en"")"),"Bangladesh")</f>
        <v>Bangladesh</v>
      </c>
      <c r="Q23" s="5" t="str">
        <f>IFERROR(__xludf.DUMMYFUNCTION("GOOGLETRANSLATE(H23, ""bn"", ""en"")"),"pic11")</f>
        <v>pic11</v>
      </c>
    </row>
    <row r="24">
      <c r="A24" s="3">
        <v>23.0</v>
      </c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114</v>
      </c>
      <c r="G24" s="4" t="s">
        <v>112</v>
      </c>
      <c r="H24" s="4" t="s">
        <v>109</v>
      </c>
      <c r="J24" s="5" t="str">
        <f>IFERROR(__xludf.DUMMYFUNCTION("GOOGLETRANSLATE(A24, ""bn"", ""en"")"),"23")</f>
        <v>23</v>
      </c>
      <c r="K24" s="5" t="str">
        <f>IFERROR(__xludf.DUMMYFUNCTION("GOOGLETRANSLATE(B24, ""bn"", ""en"")"),"What are the players wearing red jerseys doing in the picture?")</f>
        <v>What are the players wearing red jerseys doing in the picture?</v>
      </c>
      <c r="L24" s="5" t="str">
        <f>IFERROR(__xludf.DUMMYFUNCTION("GOOGLETRANSLATE(C24, ""bn"", ""en"")"),"Resting")</f>
        <v>Resting</v>
      </c>
      <c r="M24" s="5" t="str">
        <f>IFERROR(__xludf.DUMMYFUNCTION("GOOGLETRANSLATE(D24, ""bn"", ""en"")"),"Protecting their territory")</f>
        <v>Protecting their territory</v>
      </c>
      <c r="N24" s="5" t="str">
        <f>IFERROR(__xludf.DUMMYFUNCTION("GOOGLETRANSLATE(E24, ""bn"", ""en"")"),"attacking")</f>
        <v>attacking</v>
      </c>
      <c r="O24" s="5" t="str">
        <f>IFERROR(__xludf.DUMMYFUNCTION("GOOGLETRANSLATE(F24, ""bn"", ""en"")"),"Playing another game")</f>
        <v>Playing another game</v>
      </c>
      <c r="P24" s="5" t="str">
        <f>IFERROR(__xludf.DUMMYFUNCTION("GOOGLETRANSLATE(G24, ""bn"", ""en"")"),"Protecting their territory")</f>
        <v>Protecting their territory</v>
      </c>
      <c r="Q24" s="5" t="str">
        <f>IFERROR(__xludf.DUMMYFUNCTION("GOOGLETRANSLATE(H24, ""bn"", ""en"")"),"pic11")</f>
        <v>pic11</v>
      </c>
    </row>
    <row r="25">
      <c r="A25" s="3">
        <v>24.0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  <c r="G25" s="4" t="s">
        <v>116</v>
      </c>
      <c r="H25" s="4" t="s">
        <v>120</v>
      </c>
      <c r="J25" s="5" t="str">
        <f>IFERROR(__xludf.DUMMYFUNCTION("GOOGLETRANSLATE(A25, ""bn"", ""en"")"),"24")</f>
        <v>24</v>
      </c>
      <c r="K25" s="5" t="str">
        <f>IFERROR(__xludf.DUMMYFUNCTION("GOOGLETRANSLATE(B25, ""bn"", ""en"")"),"Which part of the original player wearing the blue jersey is on the ground?")</f>
        <v>Which part of the original player wearing the blue jersey is on the ground?</v>
      </c>
      <c r="L25" s="5" t="str">
        <f>IFERROR(__xludf.DUMMYFUNCTION("GOOGLETRANSLATE(C25, ""bn"", ""en"")"),"hand")</f>
        <v>hand</v>
      </c>
      <c r="M25" s="5" t="str">
        <f>IFERROR(__xludf.DUMMYFUNCTION("GOOGLETRANSLATE(D25, ""bn"", ""en"")"),"Feet")</f>
        <v>Feet</v>
      </c>
      <c r="N25" s="5" t="str">
        <f>IFERROR(__xludf.DUMMYFUNCTION("GOOGLETRANSLATE(E25, ""bn"", ""en"")"),"the head")</f>
        <v>the head</v>
      </c>
      <c r="O25" s="5" t="str">
        <f>IFERROR(__xludf.DUMMYFUNCTION("GOOGLETRANSLATE(F25, ""bn"", ""en"")"),"Middle part")</f>
        <v>Middle part</v>
      </c>
      <c r="P25" s="5" t="str">
        <f>IFERROR(__xludf.DUMMYFUNCTION("GOOGLETRANSLATE(G25, ""bn"", ""en"")"),"hand")</f>
        <v>hand</v>
      </c>
      <c r="Q25" s="5" t="str">
        <f>IFERROR(__xludf.DUMMYFUNCTION("GOOGLETRANSLATE(H25, ""bn"", ""en"")"),"pic12")</f>
        <v>pic12</v>
      </c>
    </row>
    <row r="26">
      <c r="A26" s="3">
        <v>25.0</v>
      </c>
      <c r="B26" s="4" t="s">
        <v>121</v>
      </c>
      <c r="C26" s="4" t="s">
        <v>122</v>
      </c>
      <c r="D26" s="4" t="s">
        <v>123</v>
      </c>
      <c r="E26" s="4" t="s">
        <v>124</v>
      </c>
      <c r="F26" s="4" t="s">
        <v>125</v>
      </c>
      <c r="G26" s="4" t="s">
        <v>123</v>
      </c>
      <c r="H26" s="4" t="s">
        <v>120</v>
      </c>
      <c r="J26" s="5" t="str">
        <f>IFERROR(__xludf.DUMMYFUNCTION("GOOGLETRANSLATE(A26, ""bn"", ""en"")"),"25")</f>
        <v>25</v>
      </c>
      <c r="K26" s="5" t="str">
        <f>IFERROR(__xludf.DUMMYFUNCTION("GOOGLETRANSLATE(B26, ""bn"", ""en"")"),"What is the role of the player wearing the red jersey in the picture?")</f>
        <v>What is the role of the player wearing the red jersey in the picture?</v>
      </c>
      <c r="L26" s="5" t="str">
        <f>IFERROR(__xludf.DUMMYFUNCTION("GOOGLETRANSLATE(C26, ""bn"", ""en"")"),"the protector")</f>
        <v>the protector</v>
      </c>
      <c r="M26" s="5" t="str">
        <f>IFERROR(__xludf.DUMMYFUNCTION("GOOGLETRANSLATE(D26, ""bn"", ""en"")"),"the attacker")</f>
        <v>the attacker</v>
      </c>
      <c r="N26" s="5" t="str">
        <f>IFERROR(__xludf.DUMMYFUNCTION("GOOGLETRANSLATE(E26, ""bn"", ""en"")"),"the referee")</f>
        <v>the referee</v>
      </c>
      <c r="O26" s="5" t="str">
        <f>IFERROR(__xludf.DUMMYFUNCTION("GOOGLETRANSLATE(F26, ""bn"", ""en"")"),"trainer")</f>
        <v>trainer</v>
      </c>
      <c r="P26" s="5" t="str">
        <f>IFERROR(__xludf.DUMMYFUNCTION("GOOGLETRANSLATE(G26, ""bn"", ""en"")"),"the attacker")</f>
        <v>the attacker</v>
      </c>
      <c r="Q26" s="5" t="str">
        <f>IFERROR(__xludf.DUMMYFUNCTION("GOOGLETRANSLATE(H26, ""bn"", ""en"")"),"pic12")</f>
        <v>pic12</v>
      </c>
    </row>
    <row r="27">
      <c r="A27" s="3">
        <v>26.0</v>
      </c>
      <c r="B27" s="4" t="s">
        <v>126</v>
      </c>
      <c r="C27" s="4" t="s">
        <v>127</v>
      </c>
      <c r="D27" s="4" t="s">
        <v>128</v>
      </c>
      <c r="E27" s="4" t="s">
        <v>129</v>
      </c>
      <c r="F27" s="4" t="s">
        <v>130</v>
      </c>
      <c r="G27" s="4" t="s">
        <v>128</v>
      </c>
      <c r="H27" s="4" t="s">
        <v>131</v>
      </c>
      <c r="J27" s="5" t="str">
        <f>IFERROR(__xludf.DUMMYFUNCTION("GOOGLETRANSLATE(A27, ""bn"", ""en"")"),"26")</f>
        <v>26</v>
      </c>
      <c r="K27" s="5" t="str">
        <f>IFERROR(__xludf.DUMMYFUNCTION("GOOGLETRANSLATE(B27, ""bn"", ""en"")"),"What strategy is the player wearing the blue jersey using in the picture?")</f>
        <v>What strategy is the player wearing the blue jersey using in the picture?</v>
      </c>
      <c r="L27" s="5" t="str">
        <f>IFERROR(__xludf.DUMMYFUNCTION("GOOGLETRANSLATE(C27, ""bn"", ""en"")"),"Dive")</f>
        <v>Dive</v>
      </c>
      <c r="M27" s="5" t="str">
        <f>IFERROR(__xludf.DUMMYFUNCTION("GOOGLETRANSLATE(D27, ""bn"", ""en"")"),"caught")</f>
        <v>caught</v>
      </c>
      <c r="N27" s="5" t="str">
        <f>IFERROR(__xludf.DUMMYFUNCTION("GOOGLETRANSLATE(E27, ""bn"", ""en"")"),"injury")</f>
        <v>injury</v>
      </c>
      <c r="O27" s="5" t="str">
        <f>IFERROR(__xludf.DUMMYFUNCTION("GOOGLETRANSLATE(F27, ""bn"", ""en"")"),"Inverted")</f>
        <v>Inverted</v>
      </c>
      <c r="P27" s="5" t="str">
        <f>IFERROR(__xludf.DUMMYFUNCTION("GOOGLETRANSLATE(G27, ""bn"", ""en"")"),"caught")</f>
        <v>caught</v>
      </c>
      <c r="Q27" s="5" t="str">
        <f>IFERROR(__xludf.DUMMYFUNCTION("GOOGLETRANSLATE(H27, ""bn"", ""en"")"),"pic13")</f>
        <v>pic13</v>
      </c>
    </row>
    <row r="28">
      <c r="A28" s="3">
        <v>27.0</v>
      </c>
      <c r="B28" s="4" t="s">
        <v>132</v>
      </c>
      <c r="C28" s="4" t="s">
        <v>71</v>
      </c>
      <c r="D28" s="4" t="s">
        <v>133</v>
      </c>
      <c r="E28" s="4" t="s">
        <v>134</v>
      </c>
      <c r="F28" s="4" t="s">
        <v>135</v>
      </c>
      <c r="G28" s="4" t="s">
        <v>71</v>
      </c>
      <c r="H28" s="4" t="s">
        <v>131</v>
      </c>
      <c r="J28" s="5" t="str">
        <f>IFERROR(__xludf.DUMMYFUNCTION("GOOGLETRANSLATE(A28, ""bn"", ""en"")"),"27")</f>
        <v>27</v>
      </c>
      <c r="K28" s="5" t="str">
        <f>IFERROR(__xludf.DUMMYFUNCTION("GOOGLETRANSLATE(B28, ""bn"", ""en"")"),"What is the main player wearing the red jersey doing in the picture?")</f>
        <v>What is the main player wearing the red jersey doing in the picture?</v>
      </c>
      <c r="L28" s="5" t="str">
        <f>IFERROR(__xludf.DUMMYFUNCTION("GOOGLETRANSLATE(C28, ""bn"", ""en"")"),"Avoid touching")</f>
        <v>Avoid touching</v>
      </c>
      <c r="M28" s="5" t="str">
        <f>IFERROR(__xludf.DUMMYFUNCTION("GOOGLETRANSLATE(D28, ""bn"", ""en"")"),"Attacking the opponent")</f>
        <v>Attacking the opponent</v>
      </c>
      <c r="N28" s="5" t="str">
        <f>IFERROR(__xludf.DUMMYFUNCTION("GOOGLETRANSLATE(E28, ""bn"", ""en"")"),"is fixed")</f>
        <v>is fixed</v>
      </c>
      <c r="O28" s="5" t="str">
        <f>IFERROR(__xludf.DUMMYFUNCTION("GOOGLETRANSLATE(F28, ""bn"", ""en"")"),"Running in the opposite direction")</f>
        <v>Running in the opposite direction</v>
      </c>
      <c r="P28" s="5" t="str">
        <f>IFERROR(__xludf.DUMMYFUNCTION("GOOGLETRANSLATE(G28, ""bn"", ""en"")"),"Avoid touching")</f>
        <v>Avoid touching</v>
      </c>
      <c r="Q28" s="5" t="str">
        <f>IFERROR(__xludf.DUMMYFUNCTION("GOOGLETRANSLATE(H28, ""bn"", ""en"")"),"pic13")</f>
        <v>pic13</v>
      </c>
    </row>
    <row r="29">
      <c r="A29" s="3">
        <v>28.0</v>
      </c>
      <c r="B29" s="4" t="s">
        <v>136</v>
      </c>
      <c r="C29" s="4" t="s">
        <v>137</v>
      </c>
      <c r="D29" s="4" t="s">
        <v>138</v>
      </c>
      <c r="E29" s="4" t="s">
        <v>139</v>
      </c>
      <c r="F29" s="4" t="s">
        <v>140</v>
      </c>
      <c r="G29" s="4" t="s">
        <v>137</v>
      </c>
      <c r="H29" s="4" t="s">
        <v>141</v>
      </c>
      <c r="J29" s="5" t="str">
        <f>IFERROR(__xludf.DUMMYFUNCTION("GOOGLETRANSLATE(A29, ""bn"", ""en"")"),"28")</f>
        <v>28</v>
      </c>
      <c r="K29" s="5" t="str">
        <f>IFERROR(__xludf.DUMMYFUNCTION("GOOGLETRANSLATE(B29, ""bn"", ""en"")"),"What techniques are used in the film?")</f>
        <v>What techniques are used in the film?</v>
      </c>
      <c r="L29" s="5" t="str">
        <f>IFERROR(__xludf.DUMMYFUNCTION("GOOGLETRANSLATE(C29, ""bn"", ""en"")"),"Occupy area")</f>
        <v>Occupy area</v>
      </c>
      <c r="M29" s="5" t="str">
        <f>IFERROR(__xludf.DUMMYFUNCTION("GOOGLETRANSLATE(D29, ""bn"", ""en"")"),"protection")</f>
        <v>protection</v>
      </c>
      <c r="N29" s="5" t="str">
        <f>IFERROR(__xludf.DUMMYFUNCTION("GOOGLETRANSLATE(E29, ""bn"", ""en"")"),"Attack")</f>
        <v>Attack</v>
      </c>
      <c r="O29" s="5" t="str">
        <f>IFERROR(__xludf.DUMMYFUNCTION("GOOGLETRANSLATE(F29, ""bn"", ""en"")"),"Avoiding the opponent")</f>
        <v>Avoiding the opponent</v>
      </c>
      <c r="P29" s="5" t="str">
        <f>IFERROR(__xludf.DUMMYFUNCTION("GOOGLETRANSLATE(G29, ""bn"", ""en"")"),"Occupy area")</f>
        <v>Occupy area</v>
      </c>
      <c r="Q29" s="5" t="str">
        <f>IFERROR(__xludf.DUMMYFUNCTION("GOOGLETRANSLATE(H29, ""bn"", ""en"")"),"pic14")</f>
        <v>pic14</v>
      </c>
    </row>
    <row r="30">
      <c r="A30" s="3">
        <v>29.0</v>
      </c>
      <c r="B30" s="4" t="s">
        <v>142</v>
      </c>
      <c r="C30" s="4" t="s">
        <v>143</v>
      </c>
      <c r="D30" s="4" t="s">
        <v>144</v>
      </c>
      <c r="E30" s="4" t="s">
        <v>145</v>
      </c>
      <c r="F30" s="4" t="s">
        <v>146</v>
      </c>
      <c r="G30" s="4" t="s">
        <v>146</v>
      </c>
      <c r="H30" s="4" t="s">
        <v>141</v>
      </c>
      <c r="J30" s="5" t="str">
        <f>IFERROR(__xludf.DUMMYFUNCTION("GOOGLETRANSLATE(A30, ""bn"", ""en"")"),"29")</f>
        <v>29</v>
      </c>
      <c r="K30" s="5" t="str">
        <f>IFERROR(__xludf.DUMMYFUNCTION("GOOGLETRANSLATE(B30, ""bn"", ""en"")"),"What are the players showing in the picture?")</f>
        <v>What are the players showing in the picture?</v>
      </c>
      <c r="L30" s="5" t="str">
        <f>IFERROR(__xludf.DUMMYFUNCTION("GOOGLETRANSLATE(C30, ""bn"", ""en"")"),"Power")</f>
        <v>Power</v>
      </c>
      <c r="M30" s="5" t="str">
        <f>IFERROR(__xludf.DUMMYFUNCTION("GOOGLETRANSLATE(D30, ""bn"", ""en"")"),"Hitting technique")</f>
        <v>Hitting technique</v>
      </c>
      <c r="N30" s="5" t="str">
        <f>IFERROR(__xludf.DUMMYFUNCTION("GOOGLETRANSLATE(E30, ""bn"", ""en"")"),"flexibility")</f>
        <v>flexibility</v>
      </c>
      <c r="O30" s="5" t="str">
        <f>IFERROR(__xludf.DUMMYFUNCTION("GOOGLETRANSLATE(F30, ""bn"", ""en"")"),"Teamwork")</f>
        <v>Teamwork</v>
      </c>
      <c r="P30" s="5" t="str">
        <f>IFERROR(__xludf.DUMMYFUNCTION("GOOGLETRANSLATE(G30, ""bn"", ""en"")"),"Teamwork")</f>
        <v>Teamwork</v>
      </c>
      <c r="Q30" s="5" t="str">
        <f>IFERROR(__xludf.DUMMYFUNCTION("GOOGLETRANSLATE(H30, ""bn"", ""en"")"),"pic14")</f>
        <v>pic14</v>
      </c>
    </row>
    <row r="31">
      <c r="A31" s="3">
        <v>30.0</v>
      </c>
      <c r="B31" s="4" t="s">
        <v>33</v>
      </c>
      <c r="C31" s="4" t="s">
        <v>34</v>
      </c>
      <c r="D31" s="4" t="s">
        <v>147</v>
      </c>
      <c r="E31" s="4" t="s">
        <v>148</v>
      </c>
      <c r="F31" s="4" t="s">
        <v>71</v>
      </c>
      <c r="G31" s="4" t="s">
        <v>147</v>
      </c>
      <c r="H31" s="4" t="s">
        <v>149</v>
      </c>
      <c r="J31" s="5" t="str">
        <f>IFERROR(__xludf.DUMMYFUNCTION("GOOGLETRANSLATE(A31, ""bn"", ""en"")"),"30")</f>
        <v>30</v>
      </c>
      <c r="K31" s="5" t="str">
        <f>IFERROR(__xludf.DUMMYFUNCTION("GOOGLETRANSLATE(B31, ""bn"", ""en"")"),"What is the main goal of the competition shown in the picture?")</f>
        <v>What is the main goal of the competition shown in the picture?</v>
      </c>
      <c r="L31" s="5" t="str">
        <f>IFERROR(__xludf.DUMMYFUNCTION("GOOGLETRANSLATE(C31, ""bn"", ""en"")"),"possession of the ball")</f>
        <v>possession of the ball</v>
      </c>
      <c r="M31" s="5" t="str">
        <f>IFERROR(__xludf.DUMMYFUNCTION("GOOGLETRANSLATE(D31, ""bn"", ""en"")"),"Returning to touch the opponent")</f>
        <v>Returning to touch the opponent</v>
      </c>
      <c r="N31" s="5" t="str">
        <f>IFERROR(__xludf.DUMMYFUNCTION("GOOGLETRANSLATE(E31, ""bn"", ""en"")"),"Reaching the destination")</f>
        <v>Reaching the destination</v>
      </c>
      <c r="O31" s="5" t="str">
        <f>IFERROR(__xludf.DUMMYFUNCTION("GOOGLETRANSLATE(F31, ""bn"", ""en"")"),"Avoid touching")</f>
        <v>Avoid touching</v>
      </c>
      <c r="P31" s="5" t="str">
        <f>IFERROR(__xludf.DUMMYFUNCTION("GOOGLETRANSLATE(G31, ""bn"", ""en"")"),"Returning to touch the opponent")</f>
        <v>Returning to touch the opponent</v>
      </c>
      <c r="Q31" s="5" t="str">
        <f>IFERROR(__xludf.DUMMYFUNCTION("GOOGLETRANSLATE(H31, ""bn"", ""en"")"),"pic16")</f>
        <v>pic16</v>
      </c>
    </row>
    <row r="32">
      <c r="A32" s="3">
        <v>31.0</v>
      </c>
      <c r="B32" s="4" t="s">
        <v>150</v>
      </c>
      <c r="C32" s="4" t="s">
        <v>151</v>
      </c>
      <c r="D32" s="4" t="s">
        <v>152</v>
      </c>
      <c r="E32" s="4" t="s">
        <v>153</v>
      </c>
      <c r="F32" s="4" t="s">
        <v>154</v>
      </c>
      <c r="G32" s="4" t="s">
        <v>152</v>
      </c>
      <c r="H32" s="4" t="s">
        <v>149</v>
      </c>
      <c r="J32" s="5" t="str">
        <f>IFERROR(__xludf.DUMMYFUNCTION("GOOGLETRANSLATE(A32, ""bn"", ""en"")"),"31")</f>
        <v>31</v>
      </c>
      <c r="K32" s="5" t="str">
        <f>IFERROR(__xludf.DUMMYFUNCTION("GOOGLETRANSLATE(B32, ""bn"", ""en"")"),"What is the weather like at the event shown in the picture?")</f>
        <v>What is the weather like at the event shown in the picture?</v>
      </c>
      <c r="L32" s="5" t="str">
        <f>IFERROR(__xludf.DUMMYFUNCTION("GOOGLETRANSLATE(C32, ""bn"", ""en"")"),"comfortable")</f>
        <v>comfortable</v>
      </c>
      <c r="M32" s="5" t="str">
        <f>IFERROR(__xludf.DUMMYFUNCTION("GOOGLETRANSLATE(D32, ""bn"", ""en"")"),"Competitive")</f>
        <v>Competitive</v>
      </c>
      <c r="N32" s="5" t="str">
        <f>IFERROR(__xludf.DUMMYFUNCTION("GOOGLETRANSLATE(E32, ""bn"", ""en"")"),"Professional")</f>
        <v>Professional</v>
      </c>
      <c r="O32" s="5" t="str">
        <f>IFERROR(__xludf.DUMMYFUNCTION("GOOGLETRANSLATE(F32, ""bn"", ""en"")"),"training")</f>
        <v>training</v>
      </c>
      <c r="P32" s="5" t="str">
        <f>IFERROR(__xludf.DUMMYFUNCTION("GOOGLETRANSLATE(G32, ""bn"", ""en"")"),"Competitive")</f>
        <v>Competitive</v>
      </c>
      <c r="Q32" s="5" t="str">
        <f>IFERROR(__xludf.DUMMYFUNCTION("GOOGLETRANSLATE(H32, ""bn"", ""en"")"),"pic16")</f>
        <v>pic16</v>
      </c>
    </row>
    <row r="33">
      <c r="A33" s="3">
        <v>32.0</v>
      </c>
      <c r="B33" s="4" t="s">
        <v>155</v>
      </c>
      <c r="C33" s="4" t="s">
        <v>156</v>
      </c>
      <c r="D33" s="4" t="s">
        <v>143</v>
      </c>
      <c r="E33" s="4" t="s">
        <v>157</v>
      </c>
      <c r="F33" s="4" t="s">
        <v>146</v>
      </c>
      <c r="G33" s="4" t="s">
        <v>157</v>
      </c>
      <c r="H33" s="4" t="s">
        <v>158</v>
      </c>
      <c r="J33" s="5" t="str">
        <f>IFERROR(__xludf.DUMMYFUNCTION("GOOGLETRANSLATE(A33, ""bn"", ""en"")"),"32")</f>
        <v>32</v>
      </c>
      <c r="K33" s="5" t="str">
        <f>IFERROR(__xludf.DUMMYFUNCTION("GOOGLETRANSLATE(B33, ""bn"", ""en"")"),"What are the participants in the picture showing?")</f>
        <v>What are the participants in the picture showing?</v>
      </c>
      <c r="L33" s="5" t="str">
        <f>IFERROR(__xludf.DUMMYFUNCTION("GOOGLETRANSLATE(C33, ""bn"", ""en"")"),"Speed")</f>
        <v>Speed</v>
      </c>
      <c r="M33" s="5" t="str">
        <f>IFERROR(__xludf.DUMMYFUNCTION("GOOGLETRANSLATE(D33, ""bn"", ""en"")"),"Power")</f>
        <v>Power</v>
      </c>
      <c r="N33" s="5" t="str">
        <f>IFERROR(__xludf.DUMMYFUNCTION("GOOGLETRANSLATE(E33, ""bn"", ""en"")"),"Strategy")</f>
        <v>Strategy</v>
      </c>
      <c r="O33" s="5" t="str">
        <f>IFERROR(__xludf.DUMMYFUNCTION("GOOGLETRANSLATE(F33, ""bn"", ""en"")"),"Teamwork")</f>
        <v>Teamwork</v>
      </c>
      <c r="P33" s="5" t="str">
        <f>IFERROR(__xludf.DUMMYFUNCTION("GOOGLETRANSLATE(G33, ""bn"", ""en"")"),"Strategy")</f>
        <v>Strategy</v>
      </c>
      <c r="Q33" s="5" t="str">
        <f>IFERROR(__xludf.DUMMYFUNCTION("GOOGLETRANSLATE(H33, ""bn"", ""en"")"),"pic17")</f>
        <v>pic17</v>
      </c>
    </row>
    <row r="34">
      <c r="A34" s="3">
        <v>33.0</v>
      </c>
      <c r="B34" s="4" t="s">
        <v>159</v>
      </c>
      <c r="C34" s="4" t="s">
        <v>160</v>
      </c>
      <c r="D34" s="4" t="s">
        <v>161</v>
      </c>
      <c r="E34" s="4" t="s">
        <v>162</v>
      </c>
      <c r="F34" s="4" t="s">
        <v>163</v>
      </c>
      <c r="G34" s="4" t="s">
        <v>160</v>
      </c>
      <c r="H34" s="4" t="s">
        <v>158</v>
      </c>
      <c r="J34" s="5" t="str">
        <f>IFERROR(__xludf.DUMMYFUNCTION("GOOGLETRANSLATE(A34, ""bn"", ""en"")"),"33")</f>
        <v>33</v>
      </c>
      <c r="K34" s="5" t="str">
        <f>IFERROR(__xludf.DUMMYFUNCTION("GOOGLETRANSLATE(B34, ""bn"", ""en"")"),"What is shown in the picture?")</f>
        <v>What is shown in the picture?</v>
      </c>
      <c r="L34" s="5" t="str">
        <f>IFERROR(__xludf.DUMMYFUNCTION("GOOGLETRANSLATE(C34, ""bn"", ""en"")"),"Player support")</f>
        <v>Player support</v>
      </c>
      <c r="M34" s="5" t="str">
        <f>IFERROR(__xludf.DUMMYFUNCTION("GOOGLETRANSLATE(D34, ""bn"", ""en"")"),"Training moments")</f>
        <v>Training moments</v>
      </c>
      <c r="N34" s="5" t="str">
        <f>IFERROR(__xludf.DUMMYFUNCTION("GOOGLETRANSLATE(E34, ""bn"", ""en"")"),"Sudden game")</f>
        <v>Sudden game</v>
      </c>
      <c r="O34" s="5" t="str">
        <f>IFERROR(__xludf.DUMMYFUNCTION("GOOGLETRANSLATE(F34, ""bn"", ""en"")"),"training session")</f>
        <v>training session</v>
      </c>
      <c r="P34" s="5" t="str">
        <f>IFERROR(__xludf.DUMMYFUNCTION("GOOGLETRANSLATE(G34, ""bn"", ""en"")"),"Player support")</f>
        <v>Player support</v>
      </c>
      <c r="Q34" s="5" t="str">
        <f>IFERROR(__xludf.DUMMYFUNCTION("GOOGLETRANSLATE(H34, ""bn"", ""en"")"),"pic17")</f>
        <v>pic17</v>
      </c>
    </row>
    <row r="35">
      <c r="A35" s="3">
        <v>34.0</v>
      </c>
      <c r="B35" s="4" t="s">
        <v>164</v>
      </c>
      <c r="C35" s="4" t="s">
        <v>122</v>
      </c>
      <c r="D35" s="4" t="s">
        <v>165</v>
      </c>
      <c r="E35" s="4" t="s">
        <v>123</v>
      </c>
      <c r="F35" s="4" t="s">
        <v>124</v>
      </c>
      <c r="G35" s="4" t="s">
        <v>123</v>
      </c>
      <c r="H35" s="4" t="s">
        <v>166</v>
      </c>
      <c r="J35" s="5" t="str">
        <f>IFERROR(__xludf.DUMMYFUNCTION("GOOGLETRANSLATE(A35, ""bn"", ""en"")"),"34")</f>
        <v>34</v>
      </c>
      <c r="K35" s="5" t="str">
        <f>IFERROR(__xludf.DUMMYFUNCTION("GOOGLETRANSLATE(B35, ""bn"", ""en"")"),"What is the role of the player wearing the green jersey in the picture?")</f>
        <v>What is the role of the player wearing the green jersey in the picture?</v>
      </c>
      <c r="L35" s="5" t="str">
        <f>IFERROR(__xludf.DUMMYFUNCTION("GOOGLETRANSLATE(C35, ""bn"", ""en"")"),"the protector")</f>
        <v>the protector</v>
      </c>
      <c r="M35" s="5" t="str">
        <f>IFERROR(__xludf.DUMMYFUNCTION("GOOGLETRANSLATE(D35, ""bn"", ""en"")"),"team captain")</f>
        <v>team captain</v>
      </c>
      <c r="N35" s="5" t="str">
        <f>IFERROR(__xludf.DUMMYFUNCTION("GOOGLETRANSLATE(E35, ""bn"", ""en"")"),"the attacker")</f>
        <v>the attacker</v>
      </c>
      <c r="O35" s="5" t="str">
        <f>IFERROR(__xludf.DUMMYFUNCTION("GOOGLETRANSLATE(F35, ""bn"", ""en"")"),"the referee")</f>
        <v>the referee</v>
      </c>
      <c r="P35" s="5" t="str">
        <f>IFERROR(__xludf.DUMMYFUNCTION("GOOGLETRANSLATE(G35, ""bn"", ""en"")"),"the attacker")</f>
        <v>the attacker</v>
      </c>
      <c r="Q35" s="5" t="str">
        <f>IFERROR(__xludf.DUMMYFUNCTION("GOOGLETRANSLATE(H35, ""bn"", ""en"")"),"pic18")</f>
        <v>pic18</v>
      </c>
    </row>
    <row r="36">
      <c r="A36" s="3">
        <v>35.0</v>
      </c>
      <c r="B36" s="4" t="s">
        <v>16</v>
      </c>
      <c r="C36" s="4" t="s">
        <v>167</v>
      </c>
      <c r="D36" s="4" t="s">
        <v>17</v>
      </c>
      <c r="E36" s="4" t="s">
        <v>168</v>
      </c>
      <c r="F36" s="4" t="s">
        <v>169</v>
      </c>
      <c r="G36" s="4" t="s">
        <v>169</v>
      </c>
      <c r="H36" s="4" t="s">
        <v>166</v>
      </c>
      <c r="J36" s="5" t="str">
        <f>IFERROR(__xludf.DUMMYFUNCTION("GOOGLETRANSLATE(A36, ""bn"", ""en"")"),"35")</f>
        <v>35</v>
      </c>
      <c r="K36" s="5" t="str">
        <f>IFERROR(__xludf.DUMMYFUNCTION("GOOGLETRANSLATE(B36, ""bn"", ""en"")"),"Which game is shown in the picture?")</f>
        <v>Which game is shown in the picture?</v>
      </c>
      <c r="L36" s="5" t="str">
        <f>IFERROR(__xludf.DUMMYFUNCTION("GOOGLETRANSLATE(C36, ""bn"", ""en"")"),"homestead")</f>
        <v>homestead</v>
      </c>
      <c r="M36" s="5" t="str">
        <f>IFERROR(__xludf.DUMMYFUNCTION("GOOGLETRANSLATE(D36, ""bn"", ""en"")"),"Fencing")</f>
        <v>Fencing</v>
      </c>
      <c r="N36" s="5" t="str">
        <f>IFERROR(__xludf.DUMMYFUNCTION("GOOGLETRANSLATE(E36, ""bn"", ""en"")"),"Volleyball")</f>
        <v>Volleyball</v>
      </c>
      <c r="O36" s="5" t="str">
        <f>IFERROR(__xludf.DUMMYFUNCTION("GOOGLETRANSLATE(F36, ""bn"", ""en"")"),"Kabaddi")</f>
        <v>Kabaddi</v>
      </c>
      <c r="P36" s="5" t="str">
        <f>IFERROR(__xludf.DUMMYFUNCTION("GOOGLETRANSLATE(G36, ""bn"", ""en"")"),"Kabaddi")</f>
        <v>Kabaddi</v>
      </c>
      <c r="Q36" s="5" t="str">
        <f>IFERROR(__xludf.DUMMYFUNCTION("GOOGLETRANSLATE(H36, ""bn"", ""en"")"),"pic18")</f>
        <v>pic18</v>
      </c>
    </row>
    <row r="37">
      <c r="A37" s="3">
        <v>36.0</v>
      </c>
      <c r="B37" s="4" t="s">
        <v>132</v>
      </c>
      <c r="C37" s="4" t="s">
        <v>170</v>
      </c>
      <c r="D37" s="4" t="s">
        <v>171</v>
      </c>
      <c r="E37" s="4" t="s">
        <v>172</v>
      </c>
      <c r="F37" s="4" t="s">
        <v>173</v>
      </c>
      <c r="G37" s="4" t="s">
        <v>170</v>
      </c>
      <c r="H37" s="4" t="s">
        <v>174</v>
      </c>
      <c r="J37" s="5" t="str">
        <f>IFERROR(__xludf.DUMMYFUNCTION("GOOGLETRANSLATE(A37, ""bn"", ""en"")"),"36")</f>
        <v>36</v>
      </c>
      <c r="K37" s="5" t="str">
        <f>IFERROR(__xludf.DUMMYFUNCTION("GOOGLETRANSLATE(B37, ""bn"", ""en"")"),"What is the main player wearing the red jersey doing in the picture?")</f>
        <v>What is the main player wearing the red jersey doing in the picture?</v>
      </c>
      <c r="L37" s="5" t="str">
        <f>IFERROR(__xludf.DUMMYFUNCTION("GOOGLETRANSLATE(C37, ""bn"", ""en"")"),"Protecting its territory")</f>
        <v>Protecting its territory</v>
      </c>
      <c r="M37" s="5" t="str">
        <f>IFERROR(__xludf.DUMMYFUNCTION("GOOGLETRANSLATE(D37, ""bn"", ""en"")"),"Throwing the opponent")</f>
        <v>Throwing the opponent</v>
      </c>
      <c r="N37" s="5" t="str">
        <f>IFERROR(__xludf.DUMMYFUNCTION("GOOGLETRANSLATE(E37, ""bn"", ""en"")"),"Giving the ball")</f>
        <v>Giving the ball</v>
      </c>
      <c r="O37" s="5" t="str">
        <f>IFERROR(__xludf.DUMMYFUNCTION("GOOGLETRANSLATE(F37, ""bn"", ""en"")"),"Falling to the ground")</f>
        <v>Falling to the ground</v>
      </c>
      <c r="P37" s="5" t="str">
        <f>IFERROR(__xludf.DUMMYFUNCTION("GOOGLETRANSLATE(G37, ""bn"", ""en"")"),"Protecting its territory")</f>
        <v>Protecting its territory</v>
      </c>
      <c r="Q37" s="5" t="str">
        <f>IFERROR(__xludf.DUMMYFUNCTION("GOOGLETRANSLATE(H37, ""bn"", ""en"")"),"pic19")</f>
        <v>pic19</v>
      </c>
    </row>
    <row r="38">
      <c r="A38" s="3">
        <v>37.0</v>
      </c>
      <c r="B38" s="4" t="s">
        <v>142</v>
      </c>
      <c r="C38" s="4" t="s">
        <v>156</v>
      </c>
      <c r="D38" s="4" t="s">
        <v>143</v>
      </c>
      <c r="E38" s="4" t="s">
        <v>145</v>
      </c>
      <c r="F38" s="4" t="s">
        <v>146</v>
      </c>
      <c r="G38" s="4" t="s">
        <v>143</v>
      </c>
      <c r="H38" s="4" t="s">
        <v>175</v>
      </c>
      <c r="J38" s="5" t="str">
        <f>IFERROR(__xludf.DUMMYFUNCTION("GOOGLETRANSLATE(A38, ""bn"", ""en"")"),"37")</f>
        <v>37</v>
      </c>
      <c r="K38" s="5" t="str">
        <f>IFERROR(__xludf.DUMMYFUNCTION("GOOGLETRANSLATE(B38, ""bn"", ""en"")"),"What are the players showing in the picture?")</f>
        <v>What are the players showing in the picture?</v>
      </c>
      <c r="L38" s="5" t="str">
        <f>IFERROR(__xludf.DUMMYFUNCTION("GOOGLETRANSLATE(C38, ""bn"", ""en"")"),"Speed")</f>
        <v>Speed</v>
      </c>
      <c r="M38" s="5" t="str">
        <f>IFERROR(__xludf.DUMMYFUNCTION("GOOGLETRANSLATE(D38, ""bn"", ""en"")"),"Power")</f>
        <v>Power</v>
      </c>
      <c r="N38" s="5" t="str">
        <f>IFERROR(__xludf.DUMMYFUNCTION("GOOGLETRANSLATE(E38, ""bn"", ""en"")"),"flexibility")</f>
        <v>flexibility</v>
      </c>
      <c r="O38" s="5" t="str">
        <f>IFERROR(__xludf.DUMMYFUNCTION("GOOGLETRANSLATE(F38, ""bn"", ""en"")"),"Teamwork")</f>
        <v>Teamwork</v>
      </c>
      <c r="P38" s="5" t="str">
        <f>IFERROR(__xludf.DUMMYFUNCTION("GOOGLETRANSLATE(G38, ""bn"", ""en"")"),"Power")</f>
        <v>Power</v>
      </c>
      <c r="Q38" s="5" t="str">
        <f>IFERROR(__xludf.DUMMYFUNCTION("GOOGLETRANSLATE(H38, ""bn"", ""en"")"),"pic20")</f>
        <v>pic20</v>
      </c>
    </row>
    <row r="39">
      <c r="A39" s="3">
        <v>38.0</v>
      </c>
      <c r="B39" s="4" t="s">
        <v>176</v>
      </c>
      <c r="C39" s="4" t="s">
        <v>122</v>
      </c>
      <c r="D39" s="4" t="s">
        <v>123</v>
      </c>
      <c r="E39" s="4" t="s">
        <v>124</v>
      </c>
      <c r="F39" s="4" t="s">
        <v>125</v>
      </c>
      <c r="G39" s="4" t="s">
        <v>122</v>
      </c>
      <c r="H39" s="4" t="s">
        <v>175</v>
      </c>
      <c r="J39" s="5" t="str">
        <f>IFERROR(__xludf.DUMMYFUNCTION("GOOGLETRANSLATE(A39, ""bn"", ""en"")"),"38")</f>
        <v>38</v>
      </c>
      <c r="K39" s="5" t="str">
        <f>IFERROR(__xludf.DUMMYFUNCTION("GOOGLETRANSLATE(B39, ""bn"", ""en"")"),"What is the role of the player wearing the blue jersey in the picture?")</f>
        <v>What is the role of the player wearing the blue jersey in the picture?</v>
      </c>
      <c r="L39" s="5" t="str">
        <f>IFERROR(__xludf.DUMMYFUNCTION("GOOGLETRANSLATE(C39, ""bn"", ""en"")"),"the protector")</f>
        <v>the protector</v>
      </c>
      <c r="M39" s="5" t="str">
        <f>IFERROR(__xludf.DUMMYFUNCTION("GOOGLETRANSLATE(D39, ""bn"", ""en"")"),"the attacker")</f>
        <v>the attacker</v>
      </c>
      <c r="N39" s="5" t="str">
        <f>IFERROR(__xludf.DUMMYFUNCTION("GOOGLETRANSLATE(E39, ""bn"", ""en"")"),"the referee")</f>
        <v>the referee</v>
      </c>
      <c r="O39" s="5" t="str">
        <f>IFERROR(__xludf.DUMMYFUNCTION("GOOGLETRANSLATE(F39, ""bn"", ""en"")"),"trainer")</f>
        <v>trainer</v>
      </c>
      <c r="P39" s="5" t="str">
        <f>IFERROR(__xludf.DUMMYFUNCTION("GOOGLETRANSLATE(G39, ""bn"", ""en"")"),"the protector")</f>
        <v>the protector</v>
      </c>
      <c r="Q39" s="5" t="str">
        <f>IFERROR(__xludf.DUMMYFUNCTION("GOOGLETRANSLATE(H39, ""bn"", ""en"")"),"pic20")</f>
        <v>pic20</v>
      </c>
    </row>
    <row r="40">
      <c r="A40" s="3">
        <v>39.0</v>
      </c>
      <c r="B40" s="4" t="s">
        <v>63</v>
      </c>
      <c r="C40" s="4" t="s">
        <v>177</v>
      </c>
      <c r="D40" s="4" t="s">
        <v>66</v>
      </c>
      <c r="E40" s="4" t="s">
        <v>111</v>
      </c>
      <c r="F40" s="4" t="s">
        <v>67</v>
      </c>
      <c r="G40" s="4" t="s">
        <v>67</v>
      </c>
      <c r="H40" s="4" t="s">
        <v>178</v>
      </c>
      <c r="J40" s="5" t="str">
        <f>IFERROR(__xludf.DUMMYFUNCTION("GOOGLETRANSLATE(A40, ""bn"", ""en"")"),"39")</f>
        <v>39</v>
      </c>
      <c r="K40" s="5" t="str">
        <f>IFERROR(__xludf.DUMMYFUNCTION("GOOGLETRANSLATE(B40, ""bn"", ""en"")"),"What are the players doing in the picture?")</f>
        <v>What are the players doing in the picture?</v>
      </c>
      <c r="L40" s="5" t="str">
        <f>IFERROR(__xludf.DUMMYFUNCTION("GOOGLETRANSLATE(C40, ""bn"", ""en"")"),"Attacking each other")</f>
        <v>Attacking each other</v>
      </c>
      <c r="M40" s="5" t="str">
        <f>IFERROR(__xludf.DUMMYFUNCTION("GOOGLETRANSLATE(D40, ""bn"", ""en"")"),"playing football")</f>
        <v>playing football</v>
      </c>
      <c r="N40" s="5" t="str">
        <f>IFERROR(__xludf.DUMMYFUNCTION("GOOGLETRANSLATE(E40, ""bn"", ""en"")"),"Resting")</f>
        <v>Resting</v>
      </c>
      <c r="O40" s="5" t="str">
        <f>IFERROR(__xludf.DUMMYFUNCTION("GOOGLETRANSLATE(F40, ""bn"", ""en"")"),"Playing Kabaddi")</f>
        <v>Playing Kabaddi</v>
      </c>
      <c r="P40" s="5" t="str">
        <f>IFERROR(__xludf.DUMMYFUNCTION("GOOGLETRANSLATE(G40, ""bn"", ""en"")"),"Playing Kabaddi")</f>
        <v>Playing Kabaddi</v>
      </c>
      <c r="Q40" s="5" t="str">
        <f>IFERROR(__xludf.DUMMYFUNCTION("GOOGLETRANSLATE(H40, ""bn"", ""en"")"),"pic22")</f>
        <v>pic22</v>
      </c>
    </row>
    <row r="41">
      <c r="A41" s="3">
        <v>40.0</v>
      </c>
      <c r="B41" s="4" t="s">
        <v>136</v>
      </c>
      <c r="C41" s="4" t="s">
        <v>139</v>
      </c>
      <c r="D41" s="4" t="s">
        <v>138</v>
      </c>
      <c r="E41" s="4" t="s">
        <v>146</v>
      </c>
      <c r="F41" s="4" t="s">
        <v>179</v>
      </c>
      <c r="G41" s="4" t="s">
        <v>146</v>
      </c>
      <c r="H41" s="4" t="s">
        <v>178</v>
      </c>
      <c r="J41" s="5" t="str">
        <f>IFERROR(__xludf.DUMMYFUNCTION("GOOGLETRANSLATE(A41, ""bn"", ""en"")"),"40")</f>
        <v>40</v>
      </c>
      <c r="K41" s="5" t="str">
        <f>IFERROR(__xludf.DUMMYFUNCTION("GOOGLETRANSLATE(B41, ""bn"", ""en"")"),"What techniques are used in the film?")</f>
        <v>What techniques are used in the film?</v>
      </c>
      <c r="L41" s="5" t="str">
        <f>IFERROR(__xludf.DUMMYFUNCTION("GOOGLETRANSLATE(C41, ""bn"", ""en"")"),"Attack")</f>
        <v>Attack</v>
      </c>
      <c r="M41" s="5" t="str">
        <f>IFERROR(__xludf.DUMMYFUNCTION("GOOGLETRANSLATE(D41, ""bn"", ""en"")"),"protection")</f>
        <v>protection</v>
      </c>
      <c r="N41" s="5" t="str">
        <f>IFERROR(__xludf.DUMMYFUNCTION("GOOGLETRANSLATE(E41, ""bn"", ""en"")"),"Teamwork")</f>
        <v>Teamwork</v>
      </c>
      <c r="O41" s="5" t="str">
        <f>IFERROR(__xludf.DUMMYFUNCTION("GOOGLETRANSLATE(F41, ""bn"", ""en"")"),"Personal skills")</f>
        <v>Personal skills</v>
      </c>
      <c r="P41" s="5" t="str">
        <f>IFERROR(__xludf.DUMMYFUNCTION("GOOGLETRANSLATE(G41, ""bn"", ""en"")"),"Teamwork")</f>
        <v>Teamwork</v>
      </c>
      <c r="Q41" s="5" t="str">
        <f>IFERROR(__xludf.DUMMYFUNCTION("GOOGLETRANSLATE(H41, ""bn"", ""en"")"),"pic22")</f>
        <v>pic22</v>
      </c>
    </row>
    <row r="42">
      <c r="A42" s="3">
        <v>41.0</v>
      </c>
      <c r="B42" s="4" t="s">
        <v>180</v>
      </c>
      <c r="C42" s="4" t="s">
        <v>45</v>
      </c>
      <c r="D42" s="4" t="s">
        <v>181</v>
      </c>
      <c r="E42" s="4" t="s">
        <v>182</v>
      </c>
      <c r="F42" s="4" t="s">
        <v>183</v>
      </c>
      <c r="G42" s="4" t="s">
        <v>182</v>
      </c>
      <c r="H42" s="4" t="s">
        <v>184</v>
      </c>
      <c r="J42" s="5" t="str">
        <f>IFERROR(__xludf.DUMMYFUNCTION("GOOGLETRANSLATE(A42, ""bn"", ""en"")"),"41")</f>
        <v>41</v>
      </c>
      <c r="K42" s="5" t="str">
        <f>IFERROR(__xludf.DUMMYFUNCTION("GOOGLETRANSLATE(B42, ""bn"", ""en"")"),"What is the purpose of the activity in the picture?")</f>
        <v>What is the purpose of the activity in the picture?</v>
      </c>
      <c r="L42" s="5" t="str">
        <f>IFERROR(__xludf.DUMMYFUNCTION("GOOGLETRANSLATE(C42, ""bn"", ""en"")"),"Training")</f>
        <v>Training</v>
      </c>
      <c r="M42" s="5" t="str">
        <f>IFERROR(__xludf.DUMMYFUNCTION("GOOGLETRANSLATE(D42, ""bn"", ""en"")"),"competition")</f>
        <v>competition</v>
      </c>
      <c r="N42" s="5" t="str">
        <f>IFERROR(__xludf.DUMMYFUNCTION("GOOGLETRANSLATE(E42, ""bn"", ""en"")"),"the game")</f>
        <v>the game</v>
      </c>
      <c r="O42" s="5" t="str">
        <f>IFERROR(__xludf.DUMMYFUNCTION("GOOGLETRANSLATE(F42, ""bn"", ""en"")"),"Festival")</f>
        <v>Festival</v>
      </c>
      <c r="P42" s="5" t="str">
        <f>IFERROR(__xludf.DUMMYFUNCTION("GOOGLETRANSLATE(G42, ""bn"", ""en"")"),"the game")</f>
        <v>the game</v>
      </c>
      <c r="Q42" s="5" t="str">
        <f>IFERROR(__xludf.DUMMYFUNCTION("GOOGLETRANSLATE(H42, ""bn"", ""en"")"),"pic23")</f>
        <v>pic23</v>
      </c>
    </row>
    <row r="43">
      <c r="A43" s="3">
        <v>42.0</v>
      </c>
      <c r="B43" s="4" t="s">
        <v>185</v>
      </c>
      <c r="C43" s="4" t="s">
        <v>92</v>
      </c>
      <c r="D43" s="4" t="s">
        <v>84</v>
      </c>
      <c r="E43" s="4" t="s">
        <v>186</v>
      </c>
      <c r="F43" s="4" t="s">
        <v>187</v>
      </c>
      <c r="G43" s="4" t="s">
        <v>84</v>
      </c>
      <c r="H43" s="4" t="s">
        <v>184</v>
      </c>
      <c r="J43" s="5" t="str">
        <f>IFERROR(__xludf.DUMMYFUNCTION("GOOGLETRANSLATE(A43, ""bn"", ""en"")"),"42")</f>
        <v>42</v>
      </c>
      <c r="K43" s="5" t="str">
        <f>IFERROR(__xludf.DUMMYFUNCTION("GOOGLETRANSLATE(B43, ""bn"", ""en"")"),"What are the participants in the picture doing?")</f>
        <v>What are the participants in the picture doing?</v>
      </c>
      <c r="L43" s="5" t="str">
        <f>IFERROR(__xludf.DUMMYFUNCTION("GOOGLETRANSLATE(C43, ""bn"", ""en"")"),"dancing")</f>
        <v>dancing</v>
      </c>
      <c r="M43" s="5" t="str">
        <f>IFERROR(__xludf.DUMMYFUNCTION("GOOGLETRANSLATE(D43, ""bn"", ""en"")"),"Playing the game")</f>
        <v>Playing the game</v>
      </c>
      <c r="N43" s="5" t="str">
        <f>IFERROR(__xludf.DUMMYFUNCTION("GOOGLETRANSLATE(E43, ""bn"", ""en"")"),"taking training")</f>
        <v>taking training</v>
      </c>
      <c r="O43" s="5" t="str">
        <f>IFERROR(__xludf.DUMMYFUNCTION("GOOGLETRANSLATE(F43, ""bn"", ""en"")"),"Celebrating the ritual")</f>
        <v>Celebrating the ritual</v>
      </c>
      <c r="P43" s="5" t="str">
        <f>IFERROR(__xludf.DUMMYFUNCTION("GOOGLETRANSLATE(G43, ""bn"", ""en"")"),"Playing the game")</f>
        <v>Playing the game</v>
      </c>
      <c r="Q43" s="5" t="str">
        <f>IFERROR(__xludf.DUMMYFUNCTION("GOOGLETRANSLATE(H43, ""bn"", ""en"")"),"pic23")</f>
        <v>pic23</v>
      </c>
    </row>
    <row r="44">
      <c r="A44" s="3">
        <v>43.0</v>
      </c>
      <c r="B44" s="4" t="s">
        <v>188</v>
      </c>
      <c r="C44" s="4" t="s">
        <v>138</v>
      </c>
      <c r="D44" s="4" t="s">
        <v>139</v>
      </c>
      <c r="E44" s="4" t="s">
        <v>189</v>
      </c>
      <c r="F44" s="4" t="s">
        <v>190</v>
      </c>
      <c r="G44" s="4" t="s">
        <v>138</v>
      </c>
      <c r="H44" s="4" t="s">
        <v>191</v>
      </c>
      <c r="J44" s="5" t="str">
        <f>IFERROR(__xludf.DUMMYFUNCTION("GOOGLETRANSLATE(A44, ""bn"", ""en"")"),"43")</f>
        <v>43</v>
      </c>
      <c r="K44" s="5" t="str">
        <f>IFERROR(__xludf.DUMMYFUNCTION("GOOGLETRANSLATE(B44, ""bn"", ""en"")"),"What is the main player wearing the red jersey in the picture demonstrating?")</f>
        <v>What is the main player wearing the red jersey in the picture demonstrating?</v>
      </c>
      <c r="L44" s="5" t="str">
        <f>IFERROR(__xludf.DUMMYFUNCTION("GOOGLETRANSLATE(C44, ""bn"", ""en"")"),"protection")</f>
        <v>protection</v>
      </c>
      <c r="M44" s="5" t="str">
        <f>IFERROR(__xludf.DUMMYFUNCTION("GOOGLETRANSLATE(D44, ""bn"", ""en"")"),"Attack")</f>
        <v>Attack</v>
      </c>
      <c r="N44" s="5" t="str">
        <f>IFERROR(__xludf.DUMMYFUNCTION("GOOGLETRANSLATE(E44, ""bn"", ""en"")"),"pass game")</f>
        <v>pass game</v>
      </c>
      <c r="O44" s="5" t="str">
        <f>IFERROR(__xludf.DUMMYFUNCTION("GOOGLETRANSLATE(F44, ""bn"", ""en"")"),"Stopping")</f>
        <v>Stopping</v>
      </c>
      <c r="P44" s="5" t="str">
        <f>IFERROR(__xludf.DUMMYFUNCTION("GOOGLETRANSLATE(G44, ""bn"", ""en"")"),"protection")</f>
        <v>protection</v>
      </c>
      <c r="Q44" s="5" t="str">
        <f>IFERROR(__xludf.DUMMYFUNCTION("GOOGLETRANSLATE(H44, ""bn"", ""en"")"),"pic24")</f>
        <v>pic24</v>
      </c>
    </row>
    <row r="45">
      <c r="A45" s="3">
        <v>44.0</v>
      </c>
      <c r="B45" s="4" t="s">
        <v>192</v>
      </c>
      <c r="C45" s="4" t="s">
        <v>71</v>
      </c>
      <c r="D45" s="4" t="s">
        <v>34</v>
      </c>
      <c r="E45" s="4" t="s">
        <v>193</v>
      </c>
      <c r="F45" s="4" t="s">
        <v>194</v>
      </c>
      <c r="G45" s="4" t="s">
        <v>71</v>
      </c>
      <c r="H45" s="4" t="s">
        <v>191</v>
      </c>
      <c r="J45" s="5" t="str">
        <f>IFERROR(__xludf.DUMMYFUNCTION("GOOGLETRANSLATE(A45, ""bn"", ""en"")"),"44")</f>
        <v>44</v>
      </c>
      <c r="K45" s="5" t="str">
        <f>IFERROR(__xludf.DUMMYFUNCTION("GOOGLETRANSLATE(B45, ""bn"", ""en"")"),"What is the main purpose of the activity shown in the picture?")</f>
        <v>What is the main purpose of the activity shown in the picture?</v>
      </c>
      <c r="L45" s="5" t="str">
        <f>IFERROR(__xludf.DUMMYFUNCTION("GOOGLETRANSLATE(C45, ""bn"", ""en"")"),"Avoid touching")</f>
        <v>Avoid touching</v>
      </c>
      <c r="M45" s="5" t="str">
        <f>IFERROR(__xludf.DUMMYFUNCTION("GOOGLETRANSLATE(D45, ""bn"", ""en"")"),"possession of the ball")</f>
        <v>possession of the ball</v>
      </c>
      <c r="N45" s="5" t="str">
        <f>IFERROR(__xludf.DUMMYFUNCTION("GOOGLETRANSLATE(E45, ""bn"", ""en"")"),"Attack on opponent")</f>
        <v>Attack on opponent</v>
      </c>
      <c r="O45" s="5" t="str">
        <f>IFERROR(__xludf.DUMMYFUNCTION("GOOGLETRANSLATE(F45, ""bn"", ""en"")"),"shorten the distance")</f>
        <v>shorten the distance</v>
      </c>
      <c r="P45" s="5" t="str">
        <f>IFERROR(__xludf.DUMMYFUNCTION("GOOGLETRANSLATE(G45, ""bn"", ""en"")"),"Avoid touching")</f>
        <v>Avoid touching</v>
      </c>
      <c r="Q45" s="5" t="str">
        <f>IFERROR(__xludf.DUMMYFUNCTION("GOOGLETRANSLATE(H45, ""bn"", ""en"")"),"pic24")</f>
        <v>pic24</v>
      </c>
    </row>
    <row r="46">
      <c r="A46" s="3">
        <v>45.0</v>
      </c>
      <c r="B46" s="4" t="s">
        <v>159</v>
      </c>
      <c r="C46" s="4" t="s">
        <v>146</v>
      </c>
      <c r="D46" s="4" t="s">
        <v>195</v>
      </c>
      <c r="E46" s="4" t="s">
        <v>196</v>
      </c>
      <c r="F46" s="4" t="s">
        <v>197</v>
      </c>
      <c r="G46" s="4" t="s">
        <v>146</v>
      </c>
      <c r="H46" s="4" t="s">
        <v>198</v>
      </c>
      <c r="J46" s="5" t="str">
        <f>IFERROR(__xludf.DUMMYFUNCTION("GOOGLETRANSLATE(A46, ""bn"", ""en"")"),"45")</f>
        <v>45</v>
      </c>
      <c r="K46" s="5" t="str">
        <f>IFERROR(__xludf.DUMMYFUNCTION("GOOGLETRANSLATE(B46, ""bn"", ""en"")"),"What is shown in the picture?")</f>
        <v>What is shown in the picture?</v>
      </c>
      <c r="L46" s="5" t="str">
        <f>IFERROR(__xludf.DUMMYFUNCTION("GOOGLETRANSLATE(C46, ""bn"", ""en"")"),"Teamwork")</f>
        <v>Teamwork</v>
      </c>
      <c r="M46" s="5" t="str">
        <f>IFERROR(__xludf.DUMMYFUNCTION("GOOGLETRANSLATE(D46, ""bn"", ""en"")"),"Protection activities")</f>
        <v>Protection activities</v>
      </c>
      <c r="N46" s="5" t="str">
        <f>IFERROR(__xludf.DUMMYFUNCTION("GOOGLETRANSLATE(E46, ""bn"", ""en"")"),"personal effort")</f>
        <v>personal effort</v>
      </c>
      <c r="O46" s="5" t="str">
        <f>IFERROR(__xludf.DUMMYFUNCTION("GOOGLETRANSLATE(F46, ""bn"", ""en"")"),"Attack strategy")</f>
        <v>Attack strategy</v>
      </c>
      <c r="P46" s="5" t="str">
        <f>IFERROR(__xludf.DUMMYFUNCTION("GOOGLETRANSLATE(G46, ""bn"", ""en"")"),"Teamwork")</f>
        <v>Teamwork</v>
      </c>
      <c r="Q46" s="5" t="str">
        <f>IFERROR(__xludf.DUMMYFUNCTION("GOOGLETRANSLATE(H46, ""bn"", ""en"")"),"pic25")</f>
        <v>pic25</v>
      </c>
    </row>
    <row r="47">
      <c r="A47" s="3">
        <v>46.0</v>
      </c>
      <c r="B47" s="4" t="s">
        <v>199</v>
      </c>
      <c r="C47" s="4" t="s">
        <v>200</v>
      </c>
      <c r="D47" s="4" t="s">
        <v>34</v>
      </c>
      <c r="E47" s="4" t="s">
        <v>201</v>
      </c>
      <c r="F47" s="4" t="s">
        <v>202</v>
      </c>
      <c r="G47" s="4" t="s">
        <v>200</v>
      </c>
      <c r="H47" s="4" t="s">
        <v>198</v>
      </c>
      <c r="J47" s="5" t="str">
        <f>IFERROR(__xludf.DUMMYFUNCTION("GOOGLETRANSLATE(A47, ""bn"", ""en"")"),"46")</f>
        <v>46</v>
      </c>
      <c r="K47" s="5" t="str">
        <f>IFERROR(__xludf.DUMMYFUNCTION("GOOGLETRANSLATE(B47, ""bn"", ""en"")"),"What is the purpose of the player in the foreground in the picture?")</f>
        <v>What is the purpose of the player in the foreground in the picture?</v>
      </c>
      <c r="L47" s="5" t="str">
        <f>IFERROR(__xludf.DUMMYFUNCTION("GOOGLETRANSLATE(C47, ""bn"", ""en"")"),"avoid getting caught")</f>
        <v>avoid getting caught</v>
      </c>
      <c r="M47" s="5" t="str">
        <f>IFERROR(__xludf.DUMMYFUNCTION("GOOGLETRANSLATE(D47, ""bn"", ""en"")"),"possession of the ball")</f>
        <v>possession of the ball</v>
      </c>
      <c r="N47" s="5" t="str">
        <f>IFERROR(__xludf.DUMMYFUNCTION("GOOGLETRANSLATE(E47, ""bn"", ""en"")"),"Touching the opponent")</f>
        <v>Touching the opponent</v>
      </c>
      <c r="O47" s="5" t="str">
        <f>IFERROR(__xludf.DUMMYFUNCTION("GOOGLETRANSLATE(F47, ""bn"", ""en"")"),"to score")</f>
        <v>to score</v>
      </c>
      <c r="P47" s="5" t="str">
        <f>IFERROR(__xludf.DUMMYFUNCTION("GOOGLETRANSLATE(G47, ""bn"", ""en"")"),"avoid getting caught")</f>
        <v>avoid getting caught</v>
      </c>
      <c r="Q47" s="5" t="str">
        <f>IFERROR(__xludf.DUMMYFUNCTION("GOOGLETRANSLATE(H47, ""bn"", ""en"")"),"pic25")</f>
        <v>pic25</v>
      </c>
    </row>
    <row r="48">
      <c r="A48" s="3">
        <v>47.0</v>
      </c>
      <c r="B48" s="4" t="s">
        <v>203</v>
      </c>
      <c r="C48" s="4" t="s">
        <v>140</v>
      </c>
      <c r="D48" s="4" t="s">
        <v>113</v>
      </c>
      <c r="E48" s="4" t="s">
        <v>134</v>
      </c>
      <c r="F48" s="4" t="s">
        <v>204</v>
      </c>
      <c r="G48" s="4" t="s">
        <v>140</v>
      </c>
      <c r="H48" s="4" t="s">
        <v>205</v>
      </c>
      <c r="J48" s="5" t="str">
        <f>IFERROR(__xludf.DUMMYFUNCTION("GOOGLETRANSLATE(A48, ""bn"", ""en"")"),"47")</f>
        <v>47</v>
      </c>
      <c r="K48" s="5" t="str">
        <f>IFERROR(__xludf.DUMMYFUNCTION("GOOGLETRANSLATE(B48, ""bn"", ""en"")"),"What is the player wearing the red jersey in the picture?")</f>
        <v>What is the player wearing the red jersey in the picture?</v>
      </c>
      <c r="L48" s="5" t="str">
        <f>IFERROR(__xludf.DUMMYFUNCTION("GOOGLETRANSLATE(C48, ""bn"", ""en"")"),"Avoiding the opponent")</f>
        <v>Avoiding the opponent</v>
      </c>
      <c r="M48" s="5" t="str">
        <f>IFERROR(__xludf.DUMMYFUNCTION("GOOGLETRANSLATE(D48, ""bn"", ""en"")"),"attacking")</f>
        <v>attacking</v>
      </c>
      <c r="N48" s="5" t="str">
        <f>IFERROR(__xludf.DUMMYFUNCTION("GOOGLETRANSLATE(E48, ""bn"", ""en"")"),"is fixed")</f>
        <v>is fixed</v>
      </c>
      <c r="O48" s="5" t="str">
        <f>IFERROR(__xludf.DUMMYFUNCTION("GOOGLETRANSLATE(F48, ""bn"", ""en"")"),"Rising from the ground")</f>
        <v>Rising from the ground</v>
      </c>
      <c r="P48" s="5" t="str">
        <f>IFERROR(__xludf.DUMMYFUNCTION("GOOGLETRANSLATE(G48, ""bn"", ""en"")"),"Avoiding the opponent")</f>
        <v>Avoiding the opponent</v>
      </c>
      <c r="Q48" s="5" t="str">
        <f>IFERROR(__xludf.DUMMYFUNCTION("GOOGLETRANSLATE(H48, ""bn"", ""en"")"),"pic26")</f>
        <v>pic26</v>
      </c>
    </row>
    <row r="49">
      <c r="A49" s="3">
        <v>48.0</v>
      </c>
      <c r="B49" s="4" t="s">
        <v>136</v>
      </c>
      <c r="C49" s="4" t="s">
        <v>206</v>
      </c>
      <c r="D49" s="4" t="s">
        <v>138</v>
      </c>
      <c r="E49" s="4" t="s">
        <v>139</v>
      </c>
      <c r="F49" s="4" t="s">
        <v>71</v>
      </c>
      <c r="G49" s="4" t="s">
        <v>139</v>
      </c>
      <c r="H49" s="4" t="s">
        <v>205</v>
      </c>
      <c r="J49" s="5" t="str">
        <f>IFERROR(__xludf.DUMMYFUNCTION("GOOGLETRANSLATE(A49, ""bn"", ""en"")"),"48")</f>
        <v>48</v>
      </c>
      <c r="K49" s="5" t="str">
        <f>IFERROR(__xludf.DUMMYFUNCTION("GOOGLETRANSLATE(B49, ""bn"", ""en"")"),"What techniques are used in the film?")</f>
        <v>What techniques are used in the film?</v>
      </c>
      <c r="L49" s="5" t="str">
        <f>IFERROR(__xludf.DUMMYFUNCTION("GOOGLETRANSLATE(C49, ""bn"", ""en"")"),"Capture the flag")</f>
        <v>Capture the flag</v>
      </c>
      <c r="M49" s="5" t="str">
        <f>IFERROR(__xludf.DUMMYFUNCTION("GOOGLETRANSLATE(D49, ""bn"", ""en"")"),"protection")</f>
        <v>protection</v>
      </c>
      <c r="N49" s="5" t="str">
        <f>IFERROR(__xludf.DUMMYFUNCTION("GOOGLETRANSLATE(E49, ""bn"", ""en"")"),"Attack")</f>
        <v>Attack</v>
      </c>
      <c r="O49" s="5" t="str">
        <f>IFERROR(__xludf.DUMMYFUNCTION("GOOGLETRANSLATE(F49, ""bn"", ""en"")"),"Avoid touching")</f>
        <v>Avoid touching</v>
      </c>
      <c r="P49" s="5" t="str">
        <f>IFERROR(__xludf.DUMMYFUNCTION("GOOGLETRANSLATE(G49, ""bn"", ""en"")"),"Attack")</f>
        <v>Attack</v>
      </c>
      <c r="Q49" s="5" t="str">
        <f>IFERROR(__xludf.DUMMYFUNCTION("GOOGLETRANSLATE(H49, ""bn"", ""en"")"),"pic26")</f>
        <v>pic26</v>
      </c>
    </row>
    <row r="50">
      <c r="A50" s="3">
        <v>49.0</v>
      </c>
      <c r="B50" s="4" t="s">
        <v>16</v>
      </c>
      <c r="C50" s="4" t="s">
        <v>207</v>
      </c>
      <c r="D50" s="4" t="s">
        <v>208</v>
      </c>
      <c r="E50" s="4" t="s">
        <v>169</v>
      </c>
      <c r="F50" s="4" t="s">
        <v>209</v>
      </c>
      <c r="G50" s="4" t="s">
        <v>169</v>
      </c>
      <c r="H50" s="4" t="s">
        <v>210</v>
      </c>
      <c r="J50" s="5" t="str">
        <f>IFERROR(__xludf.DUMMYFUNCTION("GOOGLETRANSLATE(A50, ""bn"", ""en"")"),"49")</f>
        <v>49</v>
      </c>
      <c r="K50" s="5" t="str">
        <f>IFERROR(__xludf.DUMMYFUNCTION("GOOGLETRANSLATE(B50, ""bn"", ""en"")"),"Which game is shown in the picture?")</f>
        <v>Which game is shown in the picture?</v>
      </c>
      <c r="L50" s="5" t="str">
        <f>IFERROR(__xludf.DUMMYFUNCTION("GOOGLETRANSLATE(C50, ""bn"", ""en"")"),"Hockey")</f>
        <v>Hockey</v>
      </c>
      <c r="M50" s="5" t="str">
        <f>IFERROR(__xludf.DUMMYFUNCTION("GOOGLETRANSLATE(D50, ""bn"", ""en"")"),"cricket")</f>
        <v>cricket</v>
      </c>
      <c r="N50" s="5" t="str">
        <f>IFERROR(__xludf.DUMMYFUNCTION("GOOGLETRANSLATE(E50, ""bn"", ""en"")"),"Kabaddi")</f>
        <v>Kabaddi</v>
      </c>
      <c r="O50" s="5" t="str">
        <f>IFERROR(__xludf.DUMMYFUNCTION("GOOGLETRANSLATE(F50, ""bn"", ""en"")"),"football")</f>
        <v>football</v>
      </c>
      <c r="P50" s="5" t="str">
        <f>IFERROR(__xludf.DUMMYFUNCTION("GOOGLETRANSLATE(G50, ""bn"", ""en"")"),"Kabaddi")</f>
        <v>Kabaddi</v>
      </c>
      <c r="Q50" s="5" t="str">
        <f>IFERROR(__xludf.DUMMYFUNCTION("GOOGLETRANSLATE(H50, ""bn"", ""en"")"),"pic27")</f>
        <v>pic27</v>
      </c>
    </row>
    <row r="51" ht="21.0" customHeight="1">
      <c r="A51" s="3">
        <v>50.0</v>
      </c>
      <c r="B51" s="4" t="s">
        <v>211</v>
      </c>
      <c r="C51" s="4" t="s">
        <v>212</v>
      </c>
      <c r="D51" s="4" t="s">
        <v>113</v>
      </c>
      <c r="E51" s="4" t="s">
        <v>213</v>
      </c>
      <c r="F51" s="4" t="s">
        <v>214</v>
      </c>
      <c r="G51" s="4" t="s">
        <v>113</v>
      </c>
      <c r="H51" s="4" t="s">
        <v>210</v>
      </c>
      <c r="J51" s="5" t="str">
        <f>IFERROR(__xludf.DUMMYFUNCTION("GOOGLETRANSLATE(A51, ""bn"", ""en"")"),"50")</f>
        <v>50</v>
      </c>
      <c r="K51" s="5" t="str">
        <f>IFERROR(__xludf.DUMMYFUNCTION("GOOGLETRANSLATE(B51, ""bn"", ""en"")"),"What are the players in the foreground doing in the picture?")</f>
        <v>What are the players in the foreground doing in the picture?</v>
      </c>
      <c r="L51" s="5" t="str">
        <f>IFERROR(__xludf.DUMMYFUNCTION("GOOGLETRANSLATE(C51, ""bn"", ""en"")"),"protecting")</f>
        <v>protecting</v>
      </c>
      <c r="M51" s="5" t="str">
        <f>IFERROR(__xludf.DUMMYFUNCTION("GOOGLETRANSLATE(D51, ""bn"", ""en"")"),"attacking")</f>
        <v>attacking</v>
      </c>
      <c r="N51" s="5" t="str">
        <f>IFERROR(__xludf.DUMMYFUNCTION("GOOGLETRANSLATE(E51, ""bn"", ""en"")"),"is stopped")</f>
        <v>is stopped</v>
      </c>
      <c r="O51" s="5" t="str">
        <f>IFERROR(__xludf.DUMMYFUNCTION("GOOGLETRANSLATE(F51, ""bn"", ""en"")"),"Running")</f>
        <v>Running</v>
      </c>
      <c r="P51" s="5" t="str">
        <f>IFERROR(__xludf.DUMMYFUNCTION("GOOGLETRANSLATE(G51, ""bn"", ""en"")"),"attacking")</f>
        <v>attacking</v>
      </c>
      <c r="Q51" s="5" t="str">
        <f>IFERROR(__xludf.DUMMYFUNCTION("GOOGLETRANSLATE(H51, ""bn"", ""en"")"),"pic27")</f>
        <v>pic27</v>
      </c>
    </row>
    <row r="52">
      <c r="A52" s="3">
        <v>51.0</v>
      </c>
      <c r="B52" s="5" t="str">
        <f>IFERROR(__xludf.DUMMYFUNCTION("GOOGLETRANSLATE(K52, ""en"", ""bn"")"),"এক দলের জন্য একসাথে কতজন খেলোয়াড় মাঠে থাকে?")</f>
        <v>এক দলের জন্য একসাথে কতজন খেলোয়াড় মাঠে থাকে?</v>
      </c>
      <c r="C52" s="5" t="str">
        <f>IFERROR(__xludf.DUMMYFUNCTION("GOOGLETRANSLATE(L52, ""en"", ""bn"")"),"৫")</f>
        <v>৫</v>
      </c>
      <c r="D52" s="5" t="str">
        <f>IFERROR(__xludf.DUMMYFUNCTION("GOOGLETRANSLATE(M52, ""en"", ""bn"")"),"৭")</f>
        <v>৭</v>
      </c>
      <c r="E52" s="5" t="str">
        <f>IFERROR(__xludf.DUMMYFUNCTION("GOOGLETRANSLATE(N52, ""en"", ""bn"")"),"9")</f>
        <v>9</v>
      </c>
      <c r="F52" s="5" t="str">
        <f>IFERROR(__xludf.DUMMYFUNCTION("GOOGLETRANSLATE(O52, ""en"", ""bn"")"),"12")</f>
        <v>12</v>
      </c>
      <c r="G52" s="5" t="str">
        <f>IFERROR(__xludf.DUMMYFUNCTION("GOOGLETRANSLATE(P52, ""en"", ""bn"")"),"৭")</f>
        <v>৭</v>
      </c>
      <c r="H52" s="5" t="str">
        <f>IFERROR(__xludf.DUMMYFUNCTION("GOOGLETRANSLATE(Q52, ""en"", ""bn"")"),"ছবি1")</f>
        <v>ছবি1</v>
      </c>
      <c r="J52" s="5" t="str">
        <f>IFERROR(__xludf.DUMMYFUNCTION("GOOGLETRANSLATE(A52, ""bn"", ""en"")"),"51")</f>
        <v>51</v>
      </c>
      <c r="K52" s="6" t="s">
        <v>215</v>
      </c>
      <c r="L52" s="6">
        <v>5.0</v>
      </c>
      <c r="M52" s="6">
        <v>7.0</v>
      </c>
      <c r="N52" s="6">
        <v>9.0</v>
      </c>
      <c r="O52" s="6">
        <v>12.0</v>
      </c>
      <c r="P52" s="6">
        <v>7.0</v>
      </c>
      <c r="Q52" s="7" t="s">
        <v>21</v>
      </c>
    </row>
    <row r="53">
      <c r="A53" s="3">
        <v>52.0</v>
      </c>
      <c r="B53" s="5" t="str">
        <f>IFERROR(__xludf.DUMMYFUNCTION("GOOGLETRANSLATE(K53, ""en"", ""bn"")"),"আক্রমণকারীর মূল উদ্দেশ্য কী?")</f>
        <v>আক্রমণকারীর মূল উদ্দেশ্য কী?</v>
      </c>
      <c r="C53" s="5" t="str">
        <f>IFERROR(__xludf.DUMMYFUNCTION("GOOGLETRANSLATE(L53, ""en"", ""bn"")"),"দ্রুততম দৌড়াও")</f>
        <v>দ্রুততম দৌড়াও</v>
      </c>
      <c r="D53" s="5" t="str">
        <f>IFERROR(__xludf.DUMMYFUNCTION("GOOGLETRANSLATE(M53, ""en"", ""bn"")"),"প্রতিপক্ষকে স্পর্শ করে পয়েন্ট স্কোর করুন")</f>
        <v>প্রতিপক্ষকে স্পর্শ করে পয়েন্ট স্কোর করুন</v>
      </c>
      <c r="E53" s="5" t="str">
        <f>IFERROR(__xludf.DUMMYFUNCTION("GOOGLETRANSLATE(N53, ""en"", ""bn"")"),"বিরোধীদের মোকাবেলা করুন")</f>
        <v>বিরোধীদের মোকাবেলা করুন</v>
      </c>
      <c r="F53" s="5" t="str">
        <f>IFERROR(__xludf.DUMMYFUNCTION("GOOGLETRANSLATE(O53, ""en"", ""bn"")"),"বল ধরো।")</f>
        <v>বল ধরো।</v>
      </c>
      <c r="G53" s="5" t="str">
        <f>IFERROR(__xludf.DUMMYFUNCTION("GOOGLETRANSLATE(P53, ""en"", ""bn"")"),"প্রতিপক্ষকে স্পর্শ করে পয়েন্ট স্কোর করুন")</f>
        <v>প্রতিপক্ষকে স্পর্শ করে পয়েন্ট স্কোর করুন</v>
      </c>
      <c r="H53" s="5" t="str">
        <f>IFERROR(__xludf.DUMMYFUNCTION("GOOGLETRANSLATE(Q53, ""en"", ""bn"")"),"ছবি1")</f>
        <v>ছবি1</v>
      </c>
      <c r="J53" s="5" t="str">
        <f>IFERROR(__xludf.DUMMYFUNCTION("GOOGLETRANSLATE(A53, ""bn"", ""en"")"),"52")</f>
        <v>52</v>
      </c>
      <c r="K53" s="6" t="s">
        <v>216</v>
      </c>
      <c r="L53" s="6" t="s">
        <v>217</v>
      </c>
      <c r="M53" s="6" t="s">
        <v>218</v>
      </c>
      <c r="N53" s="6" t="s">
        <v>219</v>
      </c>
      <c r="O53" s="6" t="s">
        <v>220</v>
      </c>
      <c r="P53" s="6" t="s">
        <v>218</v>
      </c>
      <c r="Q53" s="7" t="s">
        <v>21</v>
      </c>
    </row>
    <row r="54">
      <c r="A54" s="3">
        <v>53.0</v>
      </c>
      <c r="B54" s="5" t="str">
        <f>IFERROR(__xludf.DUMMYFUNCTION("GOOGLETRANSLATE(K54, ""en"", ""bn"")"),"খেলাটি সাধারণত কোন পৃষ্ঠে খেলা হয়?")</f>
        <v>খেলাটি সাধারণত কোন পৃষ্ঠে খেলা হয়?</v>
      </c>
      <c r="C54" s="5" t="str">
        <f>IFERROR(__xludf.DUMMYFUNCTION("GOOGLETRANSLATE(L54, ""en"", ""bn"")"),"বালি বা জল")</f>
        <v>বালি বা জল</v>
      </c>
      <c r="D54" s="5" t="str">
        <f>IFERROR(__xludf.DUMMYFUNCTION("GOOGLETRANSLATE(M54, ""en"", ""bn"")"),"কাদা বা ঘাস")</f>
        <v>কাদা বা ঘাস</v>
      </c>
      <c r="E54" s="5" t="str">
        <f>IFERROR(__xludf.DUMMYFUNCTION("GOOGLETRANSLATE(N54, ""en"", ""bn"")"),"অ্যাসফল্ট বা কংক্রিট")</f>
        <v>অ্যাসফল্ট বা কংক্রিট</v>
      </c>
      <c r="F54" s="5" t="str">
        <f>IFERROR(__xludf.DUMMYFUNCTION("GOOGLETRANSLATE(O54, ""en"", ""bn"")"),"বরফ অথবা তুষার")</f>
        <v>বরফ অথবা তুষার</v>
      </c>
      <c r="G54" s="5" t="str">
        <f>IFERROR(__xludf.DUMMYFUNCTION("GOOGLETRANSLATE(P54, ""en"", ""bn"")"),"কাদা বা ঘাস")</f>
        <v>কাদা বা ঘাস</v>
      </c>
      <c r="H54" s="5" t="str">
        <f>IFERROR(__xludf.DUMMYFUNCTION("GOOGLETRANSLATE(Q54, ""en"", ""bn"")"),"ছবি1")</f>
        <v>ছবি1</v>
      </c>
      <c r="J54" s="5" t="str">
        <f>IFERROR(__xludf.DUMMYFUNCTION("GOOGLETRANSLATE(A54, ""bn"", ""en"")"),"53")</f>
        <v>53</v>
      </c>
      <c r="K54" s="6" t="s">
        <v>221</v>
      </c>
      <c r="L54" s="6" t="s">
        <v>222</v>
      </c>
      <c r="M54" s="6" t="s">
        <v>223</v>
      </c>
      <c r="N54" s="6" t="s">
        <v>224</v>
      </c>
      <c r="O54" s="6" t="s">
        <v>225</v>
      </c>
      <c r="P54" s="6" t="s">
        <v>223</v>
      </c>
      <c r="Q54" s="7" t="s">
        <v>21</v>
      </c>
    </row>
    <row r="55">
      <c r="A55" s="3">
        <v>54.0</v>
      </c>
      <c r="B55" s="5" t="str">
        <f>IFERROR(__xludf.DUMMYFUNCTION("GOOGLETRANSLATE(K55, ""en"", ""bn"")"),"প্রতিপক্ষের মাঠে প্রবেশকারী খেলোয়াড়কে কী বলা হয়?")</f>
        <v>প্রতিপক্ষের মাঠে প্রবেশকারী খেলোয়াড়কে কী বলা হয়?</v>
      </c>
      <c r="C55" s="5" t="str">
        <f>IFERROR(__xludf.DUMMYFUNCTION("GOOGLETRANSLATE(L55, ""en"", ""bn"")"),"ডিফেন্ডার")</f>
        <v>ডিফেন্ডার</v>
      </c>
      <c r="D55" s="5" t="str">
        <f>IFERROR(__xludf.DUMMYFUNCTION("GOOGLETRANSLATE(M55, ""en"", ""bn"")"),"স্টপার")</f>
        <v>স্টপার</v>
      </c>
      <c r="E55" s="5" t="str">
        <f>IFERROR(__xludf.DUMMYFUNCTION("GOOGLETRANSLATE(N55, ""en"", ""bn"")"),"রেইডার")</f>
        <v>রেইডার</v>
      </c>
      <c r="F55" s="5" t="str">
        <f>IFERROR(__xludf.DUMMYFUNCTION("GOOGLETRANSLATE(O55, ""en"", ""bn"")"),"ক্যাচার")</f>
        <v>ক্যাচার</v>
      </c>
      <c r="G55" s="5" t="str">
        <f>IFERROR(__xludf.DUMMYFUNCTION("GOOGLETRANSLATE(P55, ""en"", ""bn"")"),"রেইডার")</f>
        <v>রেইডার</v>
      </c>
      <c r="H55" s="5" t="str">
        <f>IFERROR(__xludf.DUMMYFUNCTION("GOOGLETRANSLATE(Q55, ""en"", ""bn"")"),"ছবি1")</f>
        <v>ছবি1</v>
      </c>
      <c r="J55" s="5" t="str">
        <f>IFERROR(__xludf.DUMMYFUNCTION("GOOGLETRANSLATE(A55, ""bn"", ""en"")"),"54")</f>
        <v>54</v>
      </c>
      <c r="K55" s="6" t="s">
        <v>226</v>
      </c>
      <c r="L55" s="6" t="s">
        <v>227</v>
      </c>
      <c r="M55" s="6" t="s">
        <v>228</v>
      </c>
      <c r="N55" s="6" t="s">
        <v>229</v>
      </c>
      <c r="O55" s="6" t="s">
        <v>230</v>
      </c>
      <c r="P55" s="6" t="s">
        <v>229</v>
      </c>
      <c r="Q55" s="7" t="s">
        <v>21</v>
      </c>
    </row>
    <row r="56">
      <c r="A56" s="3">
        <v>55.0</v>
      </c>
      <c r="B56" s="5" t="str">
        <f>IFERROR(__xludf.DUMMYFUNCTION("GOOGLETRANSLATE(K56, ""en"", ""bn"")"),"খেলার একটি গুরুত্বপূর্ণ নিয়ম হল রেইডারকে অবশ্যই তার শ্বাস ধরে রাখতে হবে এবং জপ করতে হবে। যদি তারা জপ বন্ধ করে দেয় অথবা প্রতিপক্ষের দিকে দম নেয় তাহলে কী হবে?")</f>
        <v>খেলার একটি গুরুত্বপূর্ণ নিয়ম হল রেইডারকে অবশ্যই তার শ্বাস ধরে রাখতে হবে এবং জপ করতে হবে। যদি তারা জপ বন্ধ করে দেয় অথবা প্রতিপক্ষের দিকে দম নেয় তাহলে কী হবে?</v>
      </c>
      <c r="C56" s="5" t="str">
        <f>IFERROR(__xludf.DUMMYFUNCTION("GOOGLETRANSLATE(L56, ""en"", ""bn"")"),"তারা বোনাস পয়েন্ট পায়")</f>
        <v>তারা বোনাস পয়েন্ট পায়</v>
      </c>
      <c r="D56" s="5" t="str">
        <f>IFERROR(__xludf.DUMMYFUNCTION("GOOGLETRANSLATE(M56, ""en"", ""bn"")"),"তারা আউট")</f>
        <v>তারা আউট</v>
      </c>
      <c r="E56" s="5" t="str">
        <f>IFERROR(__xludf.DUMMYFUNCTION("GOOGLETRANSLATE(N56, ""en"", ""bn"")"),"খেলা থেমে যায়")</f>
        <v>খেলা থেমে যায়</v>
      </c>
      <c r="F56" s="5" t="str">
        <f>IFERROR(__xludf.DUMMYFUNCTION("GOOGLETRANSLATE(O56, ""en"", ""bn"")"),"প্রতিপক্ষের দল একটি টাইম-আউট পায়")</f>
        <v>প্রতিপক্ষের দল একটি টাইম-আউট পায়</v>
      </c>
      <c r="G56" s="5" t="str">
        <f>IFERROR(__xludf.DUMMYFUNCTION("GOOGLETRANSLATE(P56, ""en"", ""bn"")"),"তারা আউট")</f>
        <v>তারা আউট</v>
      </c>
      <c r="H56" s="5" t="str">
        <f>IFERROR(__xludf.DUMMYFUNCTION("GOOGLETRANSLATE(Q56, ""en"", ""bn"")"),"ছবি1")</f>
        <v>ছবি1</v>
      </c>
      <c r="J56" s="5" t="str">
        <f>IFERROR(__xludf.DUMMYFUNCTION("GOOGLETRANSLATE(A56, ""bn"", ""en"")"),"55")</f>
        <v>55</v>
      </c>
      <c r="K56" s="6" t="s">
        <v>231</v>
      </c>
      <c r="L56" s="6" t="s">
        <v>232</v>
      </c>
      <c r="M56" s="6" t="s">
        <v>233</v>
      </c>
      <c r="N56" s="6" t="s">
        <v>234</v>
      </c>
      <c r="O56" s="6" t="s">
        <v>235</v>
      </c>
      <c r="P56" s="6" t="s">
        <v>233</v>
      </c>
      <c r="Q56" s="7" t="s">
        <v>21</v>
      </c>
    </row>
    <row r="57">
      <c r="A57" s="3">
        <v>56.0</v>
      </c>
      <c r="B57" s="5" t="str">
        <f>IFERROR(__xludf.DUMMYFUNCTION("GOOGLETRANSLATE(K57, ""en"", ""bn"")"),"খেলার পৃষ্ঠের অবস্থা কি?")</f>
        <v>খেলার পৃষ্ঠের অবস্থা কি?</v>
      </c>
      <c r="C57" s="5" t="str">
        <f>IFERROR(__xludf.DUMMYFUNCTION("GOOGLETRANSLATE(L57, ""en"", ""bn"")"),"বাঁধানো এবং শুকনো")</f>
        <v>বাঁধানো এবং শুকনো</v>
      </c>
      <c r="D57" s="5" t="str">
        <f>IFERROR(__xludf.DUMMYFUNCTION("GOOGLETRANSLATE(M57, ""en"", ""bn"")"),"ঘাস আর ভেজা")</f>
        <v>ঘাস আর ভেজা</v>
      </c>
      <c r="E57" s="5" t="str">
        <f>IFERROR(__xludf.DUMMYFUNCTION("GOOGLETRANSLATE(N57, ""en"", ""bn"")"),"কর্দমাক্ত এবং অমসৃণ")</f>
        <v>কর্দমাক্ত এবং অমসৃণ</v>
      </c>
      <c r="F57" s="5" t="str">
        <f>IFERROR(__xludf.DUMMYFUNCTION("GOOGLETRANSLATE(O57, ""en"", ""bn"")"),"বালুকাময় এবং সমতল")</f>
        <v>বালুকাময় এবং সমতল</v>
      </c>
      <c r="G57" s="5" t="str">
        <f>IFERROR(__xludf.DUMMYFUNCTION("GOOGLETRANSLATE(P57, ""en"", ""bn"")"),"কর্দমাক্ত এবং অমসৃণ")</f>
        <v>কর্দমাক্ত এবং অমসৃণ</v>
      </c>
      <c r="H57" s="5" t="str">
        <f>IFERROR(__xludf.DUMMYFUNCTION("GOOGLETRANSLATE(Q57, ""en"", ""bn"")"),"ছবি2")</f>
        <v>ছবি2</v>
      </c>
      <c r="J57" s="5" t="str">
        <f>IFERROR(__xludf.DUMMYFUNCTION("GOOGLETRANSLATE(A57, ""bn"", ""en"")"),"56")</f>
        <v>56</v>
      </c>
      <c r="K57" s="8" t="s">
        <v>236</v>
      </c>
      <c r="L57" s="8" t="s">
        <v>237</v>
      </c>
      <c r="M57" s="8" t="s">
        <v>238</v>
      </c>
      <c r="N57" s="8" t="s">
        <v>239</v>
      </c>
      <c r="O57" s="8" t="s">
        <v>240</v>
      </c>
      <c r="P57" s="8" t="s">
        <v>239</v>
      </c>
      <c r="Q57" s="7" t="s">
        <v>32</v>
      </c>
    </row>
    <row r="58">
      <c r="A58" s="3">
        <v>57.0</v>
      </c>
      <c r="B58" s="5" t="str">
        <f>IFERROR(__xludf.DUMMYFUNCTION("GOOGLETRANSLATE(K58, ""en"", ""bn"")"),"হলুদ হাফপ্যান্ট পরা ব্যক্তির প্রাথমিক ভূমিকা কী?")</f>
        <v>হলুদ হাফপ্যান্ট পরা ব্যক্তির প্রাথমিক ভূমিকা কী?</v>
      </c>
      <c r="C58" s="5" t="str">
        <f>IFERROR(__xludf.DUMMYFUNCTION("GOOGLETRANSLATE(L58, ""en"", ""bn"")"),"তিনি একজন ডিফেন্ডার")</f>
        <v>তিনি একজন ডিফেন্ডার</v>
      </c>
      <c r="D58" s="5" t="str">
        <f>IFERROR(__xludf.DUMMYFUNCTION("GOOGLETRANSLATE(M58, ""en"", ""bn"")"),"তিনিই রেফারি")</f>
        <v>তিনিই রেফারি</v>
      </c>
      <c r="E58" s="5" t="str">
        <f>IFERROR(__xludf.DUMMYFUNCTION("GOOGLETRANSLATE(N58, ""en"", ""bn"")"),"সে ডাকাত।")</f>
        <v>সে ডাকাত।</v>
      </c>
      <c r="F58" s="5" t="str">
        <f>IFERROR(__xludf.DUMMYFUNCTION("GOOGLETRANSLATE(O58, ""en"", ""bn"")"),"সে একজন দর্শক।")</f>
        <v>সে একজন দর্শক।</v>
      </c>
      <c r="G58" s="5" t="str">
        <f>IFERROR(__xludf.DUMMYFUNCTION("GOOGLETRANSLATE(P58, ""en"", ""bn"")"),"সে ডাকাত।")</f>
        <v>সে ডাকাত।</v>
      </c>
      <c r="H58" s="5" t="str">
        <f>IFERROR(__xludf.DUMMYFUNCTION("GOOGLETRANSLATE(Q58, ""en"", ""bn"")"),"ছবি2")</f>
        <v>ছবি2</v>
      </c>
      <c r="J58" s="5" t="str">
        <f>IFERROR(__xludf.DUMMYFUNCTION("GOOGLETRANSLATE(A58, ""bn"", ""en"")"),"57")</f>
        <v>57</v>
      </c>
      <c r="K58" s="8" t="s">
        <v>241</v>
      </c>
      <c r="L58" s="8" t="s">
        <v>242</v>
      </c>
      <c r="M58" s="8" t="s">
        <v>243</v>
      </c>
      <c r="N58" s="8" t="s">
        <v>244</v>
      </c>
      <c r="O58" s="8" t="s">
        <v>245</v>
      </c>
      <c r="P58" s="8" t="s">
        <v>244</v>
      </c>
      <c r="Q58" s="7" t="s">
        <v>32</v>
      </c>
    </row>
    <row r="59">
      <c r="A59" s="3">
        <v>58.0</v>
      </c>
      <c r="B59" s="5" t="str">
        <f>IFERROR(__xludf.DUMMYFUNCTION("GOOGLETRANSLATE(K59, ""en"", ""bn"")"),"কতজন কর্মকর্তা দৃশ্যত খেলাটি পরিচালনা করছেন?")</f>
        <v>কতজন কর্মকর্তা দৃশ্যত খেলাটি পরিচালনা করছেন?</v>
      </c>
      <c r="C59" s="5" t="str">
        <f>IFERROR(__xludf.DUMMYFUNCTION("GOOGLETRANSLATE(L59, ""en"", ""bn"")"),"এক")</f>
        <v>এক</v>
      </c>
      <c r="D59" s="5" t="str">
        <f>IFERROR(__xludf.DUMMYFUNCTION("GOOGLETRANSLATE(M59, ""en"", ""bn"")"),"কোনটিই নয়")</f>
        <v>কোনটিই নয়</v>
      </c>
      <c r="E59" s="5" t="str">
        <f>IFERROR(__xludf.DUMMYFUNCTION("GOOGLETRANSLATE(N59, ""en"", ""bn"")"),"দুই")</f>
        <v>দুই</v>
      </c>
      <c r="F59" s="5" t="str">
        <f>IFERROR(__xludf.DUMMYFUNCTION("GOOGLETRANSLATE(O59, ""en"", ""bn"")"),"দুইয়ের বেশি")</f>
        <v>দুইয়ের বেশি</v>
      </c>
      <c r="G59" s="5" t="str">
        <f>IFERROR(__xludf.DUMMYFUNCTION("GOOGLETRANSLATE(P59, ""en"", ""bn"")"),"কোনটিই নয়")</f>
        <v>কোনটিই নয়</v>
      </c>
      <c r="H59" s="5" t="str">
        <f>IFERROR(__xludf.DUMMYFUNCTION("GOOGLETRANSLATE(Q59, ""en"", ""bn"")"),"ছবি2")</f>
        <v>ছবি2</v>
      </c>
      <c r="J59" s="5" t="str">
        <f>IFERROR(__xludf.DUMMYFUNCTION("GOOGLETRANSLATE(A59, ""bn"", ""en"")"),"58")</f>
        <v>58</v>
      </c>
      <c r="K59" s="8" t="s">
        <v>246</v>
      </c>
      <c r="L59" s="8" t="s">
        <v>247</v>
      </c>
      <c r="M59" s="8" t="s">
        <v>248</v>
      </c>
      <c r="N59" s="8" t="s">
        <v>249</v>
      </c>
      <c r="O59" s="8" t="s">
        <v>250</v>
      </c>
      <c r="P59" s="8" t="s">
        <v>248</v>
      </c>
      <c r="Q59" s="7" t="s">
        <v>32</v>
      </c>
    </row>
    <row r="60">
      <c r="A60" s="3">
        <v>59.0</v>
      </c>
      <c r="B60" s="5" t="str">
        <f>IFERROR(__xludf.DUMMYFUNCTION("GOOGLETRANSLATE(K60, ""en"", ""bn"")"),"ম্যাচ ঘিরে দর্শকদের সামগ্রিক মেজাজ কেমন?")</f>
        <v>ম্যাচ ঘিরে দর্শকদের সামগ্রিক মেজাজ কেমন?</v>
      </c>
      <c r="C60" s="5" t="str">
        <f>IFERROR(__xludf.DUMMYFUNCTION("GOOGLETRANSLATE(L60, ""en"", ""bn"")"),"আগ্রহহীন")</f>
        <v>আগ্রহহীন</v>
      </c>
      <c r="D60" s="5" t="str">
        <f>IFERROR(__xludf.DUMMYFUNCTION("GOOGLETRANSLATE(M60, ""en"", ""bn"")"),"উদাস")</f>
        <v>উদাস</v>
      </c>
      <c r="E60" s="5" t="str">
        <f>IFERROR(__xludf.DUMMYFUNCTION("GOOGLETRANSLATE(N60, ""en"", ""bn"")"),"নিযুক্ত এবং উত্তেজিত")</f>
        <v>নিযুক্ত এবং উত্তেজিত</v>
      </c>
      <c r="F60" s="5" t="str">
        <f>IFERROR(__xludf.DUMMYFUNCTION("GOOGLETRANSLATE(O60, ""en"", ""bn"")"),"ঘুমন্ত")</f>
        <v>ঘুমন্ত</v>
      </c>
      <c r="G60" s="5" t="str">
        <f>IFERROR(__xludf.DUMMYFUNCTION("GOOGLETRANSLATE(P60, ""en"", ""bn"")"),"নিযুক্ত এবং উত্তেজিত")</f>
        <v>নিযুক্ত এবং উত্তেজিত</v>
      </c>
      <c r="H60" s="5" t="str">
        <f>IFERROR(__xludf.DUMMYFUNCTION("GOOGLETRANSLATE(Q60, ""en"", ""bn"")"),"ছবি2")</f>
        <v>ছবি2</v>
      </c>
      <c r="J60" s="5" t="str">
        <f>IFERROR(__xludf.DUMMYFUNCTION("GOOGLETRANSLATE(A60, ""bn"", ""en"")"),"59")</f>
        <v>59</v>
      </c>
      <c r="K60" s="8" t="s">
        <v>251</v>
      </c>
      <c r="L60" s="8" t="s">
        <v>252</v>
      </c>
      <c r="M60" s="8" t="s">
        <v>253</v>
      </c>
      <c r="N60" s="8" t="s">
        <v>254</v>
      </c>
      <c r="O60" s="8" t="s">
        <v>255</v>
      </c>
      <c r="P60" s="8" t="s">
        <v>254</v>
      </c>
      <c r="Q60" s="7" t="s">
        <v>32</v>
      </c>
    </row>
    <row r="61">
      <c r="A61" s="3">
        <v>60.0</v>
      </c>
      <c r="B61" s="5" t="str">
        <f>IFERROR(__xludf.DUMMYFUNCTION("GOOGLETRANSLATE(K61, ""en"", ""bn"")"),"আক্রমণকারীর শরীরের কোন অংশ সীমা অতিক্রম করতে চলেছে?")</f>
        <v>আক্রমণকারীর শরীরের কোন অংশ সীমা অতিক্রম করতে চলেছে?</v>
      </c>
      <c r="C61" s="5" t="str">
        <f>IFERROR(__xludf.DUMMYFUNCTION("GOOGLETRANSLATE(L61, ""en"", ""bn"")"),"তার মাথা")</f>
        <v>তার মাথা</v>
      </c>
      <c r="D61" s="5" t="str">
        <f>IFERROR(__xludf.DUMMYFUNCTION("GOOGLETRANSLATE(M61, ""en"", ""bn"")"),"তার হাত")</f>
        <v>তার হাত</v>
      </c>
      <c r="E61" s="5" t="str">
        <f>IFERROR(__xludf.DUMMYFUNCTION("GOOGLETRANSLATE(N61, ""en"", ""bn"")"),"তার পা")</f>
        <v>তার পা</v>
      </c>
      <c r="F61" s="5" t="str">
        <f>IFERROR(__xludf.DUMMYFUNCTION("GOOGLETRANSLATE(O61, ""en"", ""bn"")"),"তার কাঁধ")</f>
        <v>তার কাঁধ</v>
      </c>
      <c r="G61" s="5" t="str">
        <f>IFERROR(__xludf.DUMMYFUNCTION("GOOGLETRANSLATE(P61, ""en"", ""bn"")"),"তার হাত")</f>
        <v>তার হাত</v>
      </c>
      <c r="H61" s="5" t="str">
        <f>IFERROR(__xludf.DUMMYFUNCTION("GOOGLETRANSLATE(Q61, ""en"", ""bn"")"),"ছবি2")</f>
        <v>ছবি2</v>
      </c>
      <c r="J61" s="5" t="str">
        <f>IFERROR(__xludf.DUMMYFUNCTION("GOOGLETRANSLATE(A61, ""bn"", ""en"")"),"60")</f>
        <v>60</v>
      </c>
      <c r="K61" s="8" t="s">
        <v>256</v>
      </c>
      <c r="L61" s="8" t="s">
        <v>257</v>
      </c>
      <c r="M61" s="8" t="s">
        <v>258</v>
      </c>
      <c r="N61" s="8" t="s">
        <v>259</v>
      </c>
      <c r="O61" s="8" t="s">
        <v>260</v>
      </c>
      <c r="P61" s="8" t="s">
        <v>258</v>
      </c>
      <c r="Q61" s="7" t="s">
        <v>32</v>
      </c>
    </row>
    <row r="62">
      <c r="A62" s="3">
        <v>61.0</v>
      </c>
      <c r="B62" s="5" t="str">
        <f>IFERROR(__xludf.DUMMYFUNCTION("GOOGLETRANSLATE(K62, ""en"", ""bn"")"),"পটভূমিতে ভিড়ের আনুমানিক সংখ্যা কত?")</f>
        <v>পটভূমিতে ভিড়ের আনুমানিক সংখ্যা কত?</v>
      </c>
      <c r="C62" s="5" t="str">
        <f>IFERROR(__xludf.DUMMYFUNCTION("GOOGLETRANSLATE(L62, ""en"", ""bn"")"),"১০ এর কম")</f>
        <v>১০ এর কম</v>
      </c>
      <c r="D62" s="5" t="str">
        <f>IFERROR(__xludf.DUMMYFUNCTION("GOOGLETRANSLATE(M62, ""en"", ""bn"")"),"১০ থেকে ২০")</f>
        <v>১০ থেকে ২০</v>
      </c>
      <c r="E62" s="5" t="str">
        <f>IFERROR(__xludf.DUMMYFUNCTION("GOOGLETRANSLATE(N62, ""en"", ""bn"")"),"২০ থেকে ৫০")</f>
        <v>২০ থেকে ৫০</v>
      </c>
      <c r="F62" s="5" t="str">
        <f>IFERROR(__xludf.DUMMYFUNCTION("GOOGLETRANSLATE(O62, ""en"", ""bn"")"),"50 এর বেশি")</f>
        <v>50 এর বেশি</v>
      </c>
      <c r="G62" s="5" t="str">
        <f>IFERROR(__xludf.DUMMYFUNCTION("GOOGLETRANSLATE(P62, ""en"", ""bn"")"),"২০ থেকে ৫০")</f>
        <v>২০ থেকে ৫০</v>
      </c>
      <c r="H62" s="5" t="str">
        <f>IFERROR(__xludf.DUMMYFUNCTION("GOOGLETRANSLATE(Q62, ""en"", ""bn"")"),"ছবি3")</f>
        <v>ছবি3</v>
      </c>
      <c r="J62" s="5" t="str">
        <f>IFERROR(__xludf.DUMMYFUNCTION("GOOGLETRANSLATE(A62, ""bn"", ""en"")"),"61")</f>
        <v>61</v>
      </c>
      <c r="K62" s="8" t="s">
        <v>261</v>
      </c>
      <c r="L62" s="8" t="s">
        <v>262</v>
      </c>
      <c r="M62" s="8" t="s">
        <v>263</v>
      </c>
      <c r="N62" s="8" t="s">
        <v>264</v>
      </c>
      <c r="O62" s="8" t="s">
        <v>265</v>
      </c>
      <c r="P62" s="8" t="s">
        <v>264</v>
      </c>
      <c r="Q62" s="7" t="s">
        <v>39</v>
      </c>
    </row>
    <row r="63">
      <c r="A63" s="3">
        <v>62.0</v>
      </c>
      <c r="B63" s="5" t="str">
        <f>IFERROR(__xludf.DUMMYFUNCTION("GOOGLETRANSLATE(K63, ""en"", ""bn"")"),"ভিড়ের আড়ালে কী দেখা যায়?")</f>
        <v>ভিড়ের আড়ালে কী দেখা যায়?</v>
      </c>
      <c r="C63" s="5" t="str">
        <f>IFERROR(__xludf.DUMMYFUNCTION("GOOGLETRANSLATE(L63, ""en"", ""bn"")"),"একটি লেক")</f>
        <v>একটি লেক</v>
      </c>
      <c r="D63" s="5" t="str">
        <f>IFERROR(__xludf.DUMMYFUNCTION("GOOGLETRANSLATE(M63, ""en"", ""bn"")"),"একটি স্টেডিয়াম")</f>
        <v>একটি স্টেডিয়াম</v>
      </c>
      <c r="E63" s="5" t="str">
        <f>IFERROR(__xludf.DUMMYFUNCTION("GOOGLETRANSLATE(N63, ""en"", ""bn"")"),"সবুজ ব্যানার সহ একটি ভবন")</f>
        <v>সবুজ ব্যানার সহ একটি ভবন</v>
      </c>
      <c r="F63" s="5" t="str">
        <f>IFERROR(__xludf.DUMMYFUNCTION("GOOGLETRANSLATE(O63, ""en"", ""bn"")"),"কিছু মেঘের সাথে একটি নীল আকাশ")</f>
        <v>কিছু মেঘের সাথে একটি নীল আকাশ</v>
      </c>
      <c r="G63" s="5" t="str">
        <f>IFERROR(__xludf.DUMMYFUNCTION("GOOGLETRANSLATE(P63, ""en"", ""bn"")"),"সবুজ ব্যানার সহ একটি ভবন")</f>
        <v>সবুজ ব্যানার সহ একটি ভবন</v>
      </c>
      <c r="H63" s="5" t="str">
        <f>IFERROR(__xludf.DUMMYFUNCTION("GOOGLETRANSLATE(Q63, ""en"", ""bn"")"),"ছবি3")</f>
        <v>ছবি3</v>
      </c>
      <c r="J63" s="5" t="str">
        <f>IFERROR(__xludf.DUMMYFUNCTION("GOOGLETRANSLATE(A63, ""bn"", ""en"")"),"62")</f>
        <v>62</v>
      </c>
      <c r="K63" s="8" t="s">
        <v>266</v>
      </c>
      <c r="L63" s="8" t="s">
        <v>267</v>
      </c>
      <c r="M63" s="8" t="s">
        <v>268</v>
      </c>
      <c r="N63" s="8" t="s">
        <v>269</v>
      </c>
      <c r="O63" s="8" t="s">
        <v>270</v>
      </c>
      <c r="P63" s="8" t="s">
        <v>269</v>
      </c>
      <c r="Q63" s="7" t="s">
        <v>39</v>
      </c>
    </row>
    <row r="64">
      <c r="A64" s="3">
        <v>63.0</v>
      </c>
      <c r="B64" s="5" t="str">
        <f>IFERROR(__xludf.DUMMYFUNCTION("GOOGLETRANSLATE(K64, ""en"", ""bn"")"),"ডানদিকে প্রতিযোগী দ্বারা পরা শর্টস প্রধান রং কি?")</f>
        <v>ডানদিকে প্রতিযোগী দ্বারা পরা শর্টস প্রধান রং কি?</v>
      </c>
      <c r="C64" s="5" t="str">
        <f>IFERROR(__xludf.DUMMYFUNCTION("GOOGLETRANSLATE(L64, ""en"", ""bn"")"),"সবুজ")</f>
        <v>সবুজ</v>
      </c>
      <c r="D64" s="5" t="str">
        <f>IFERROR(__xludf.DUMMYFUNCTION("GOOGLETRANSLATE(M64, ""en"", ""bn"")"),"সাদা")</f>
        <v>সাদা</v>
      </c>
      <c r="E64" s="5" t="str">
        <f>IFERROR(__xludf.DUMMYFUNCTION("GOOGLETRANSLATE(N64, ""en"", ""bn"")"),"নীল")</f>
        <v>নীল</v>
      </c>
      <c r="F64" s="5" t="str">
        <f>IFERROR(__xludf.DUMMYFUNCTION("GOOGLETRANSLATE(O64, ""en"", ""bn"")"),"লাল")</f>
        <v>লাল</v>
      </c>
      <c r="G64" s="5" t="str">
        <f>IFERROR(__xludf.DUMMYFUNCTION("GOOGLETRANSLATE(P64, ""en"", ""bn"")"),"নীল")</f>
        <v>নীল</v>
      </c>
      <c r="H64" s="5" t="str">
        <f>IFERROR(__xludf.DUMMYFUNCTION("GOOGLETRANSLATE(Q64, ""en"", ""bn"")"),"ছবি3")</f>
        <v>ছবি3</v>
      </c>
      <c r="J64" s="5" t="str">
        <f>IFERROR(__xludf.DUMMYFUNCTION("GOOGLETRANSLATE(A64, ""bn"", ""en"")"),"63")</f>
        <v>63</v>
      </c>
      <c r="K64" s="8" t="s">
        <v>271</v>
      </c>
      <c r="L64" s="8" t="s">
        <v>272</v>
      </c>
      <c r="M64" s="8" t="s">
        <v>273</v>
      </c>
      <c r="N64" s="8" t="s">
        <v>274</v>
      </c>
      <c r="O64" s="8" t="s">
        <v>275</v>
      </c>
      <c r="P64" s="8" t="s">
        <v>274</v>
      </c>
      <c r="Q64" s="7" t="s">
        <v>39</v>
      </c>
    </row>
    <row r="65">
      <c r="A65" s="3">
        <v>64.0</v>
      </c>
      <c r="B65" s="5" t="str">
        <f>IFERROR(__xludf.DUMMYFUNCTION("GOOGLETRANSLATE(K65, ""en"", ""bn"")"),"ডানদিকের প্রতিযোগী তার পা দিয়ে কী করছেন?")</f>
        <v>ডানদিকের প্রতিযোগী তার পা দিয়ে কী করছেন?</v>
      </c>
      <c r="C65" s="5" t="str">
        <f>IFERROR(__xludf.DUMMYFUNCTION("GOOGLETRANSLATE(L65, ""en"", ""bn"")"),"প্রতিপক্ষকে লাথি মারা")</f>
        <v>প্রতিপক্ষকে লাথি মারা</v>
      </c>
      <c r="D65" s="5" t="str">
        <f>IFERROR(__xludf.DUMMYFUNCTION("GOOGLETRANSLATE(M65, ""en"", ""bn"")"),"প্রতিপক্ষকে আঁকড়ে ধরার চেষ্টা করা")</f>
        <v>প্রতিপক্ষকে আঁকড়ে ধরার চেষ্টা করা</v>
      </c>
      <c r="E65" s="5" t="str">
        <f>IFERROR(__xludf.DUMMYFUNCTION("GOOGLETRANSLATE(N65, ""en"", ""bn"")"),"স্থির হয়ে দাঁড়িয়ে আছে")</f>
        <v>স্থির হয়ে দাঁড়িয়ে আছে</v>
      </c>
      <c r="F65" s="5" t="str">
        <f>IFERROR(__xludf.DUMMYFUNCTION("GOOGLETRANSLATE(O65, ""en"", ""bn"")"),"তাদের বাঁকানো")</f>
        <v>তাদের বাঁকানো</v>
      </c>
      <c r="G65" s="5" t="str">
        <f>IFERROR(__xludf.DUMMYFUNCTION("GOOGLETRANSLATE(P65, ""en"", ""bn"")"),"তাদের বাঁকানো")</f>
        <v>তাদের বাঁকানো</v>
      </c>
      <c r="H65" s="5" t="str">
        <f>IFERROR(__xludf.DUMMYFUNCTION("GOOGLETRANSLATE(Q65, ""en"", ""bn"")"),"ছবি3")</f>
        <v>ছবি3</v>
      </c>
      <c r="J65" s="5" t="str">
        <f>IFERROR(__xludf.DUMMYFUNCTION("GOOGLETRANSLATE(A65, ""bn"", ""en"")"),"64")</f>
        <v>64</v>
      </c>
      <c r="K65" s="8" t="s">
        <v>276</v>
      </c>
      <c r="L65" s="8" t="s">
        <v>277</v>
      </c>
      <c r="M65" s="8" t="s">
        <v>278</v>
      </c>
      <c r="N65" s="8" t="s">
        <v>279</v>
      </c>
      <c r="O65" s="8" t="s">
        <v>280</v>
      </c>
      <c r="P65" s="8" t="s">
        <v>280</v>
      </c>
      <c r="Q65" s="7" t="s">
        <v>39</v>
      </c>
    </row>
    <row r="66">
      <c r="A66" s="3">
        <v>65.0</v>
      </c>
      <c r="B66" s="5" t="str">
        <f>IFERROR(__xludf.DUMMYFUNCTION("GOOGLETRANSLATE(K66, ""en"", ""bn"")"),"ডানদিকের প্রতিযোগীর চুলের স্টাইল কেমন?")</f>
        <v>ডানদিকের প্রতিযোগীর চুলের স্টাইল কেমন?</v>
      </c>
      <c r="C66" s="5" t="str">
        <f>IFERROR(__xludf.DUMMYFUNCTION("GOOGLETRANSLATE(L66, ""en"", ""bn"")"),"লম্বা চুল")</f>
        <v>লম্বা চুল</v>
      </c>
      <c r="D66" s="5" t="str">
        <f>IFERROR(__xludf.DUMMYFUNCTION("GOOGLETRANSLATE(M66, ""en"", ""bn"")"),"টাক")</f>
        <v>টাক</v>
      </c>
      <c r="E66" s="5" t="str">
        <f>IFERROR(__xludf.DUMMYFUNCTION("GOOGLETRANSLATE(N66, ""en"", ""bn"")"),"ছোট চুল")</f>
        <v>ছোট চুল</v>
      </c>
      <c r="F66" s="5" t="str">
        <f>IFERROR(__xludf.DUMMYFUNCTION("GOOGLETRANSLATE(O66, ""en"", ""bn"")"),"পনিটেল")</f>
        <v>পনিটেল</v>
      </c>
      <c r="G66" s="5" t="str">
        <f>IFERROR(__xludf.DUMMYFUNCTION("GOOGLETRANSLATE(P66, ""en"", ""bn"")"),"ছোট চুল")</f>
        <v>ছোট চুল</v>
      </c>
      <c r="H66" s="5" t="str">
        <f>IFERROR(__xludf.DUMMYFUNCTION("GOOGLETRANSLATE(Q66, ""en"", ""bn"")"),"ছবি3")</f>
        <v>ছবি3</v>
      </c>
      <c r="J66" s="5" t="str">
        <f>IFERROR(__xludf.DUMMYFUNCTION("GOOGLETRANSLATE(A66, ""bn"", ""en"")"),"65")</f>
        <v>65</v>
      </c>
      <c r="K66" s="8" t="s">
        <v>281</v>
      </c>
      <c r="L66" s="8" t="s">
        <v>282</v>
      </c>
      <c r="M66" s="8" t="s">
        <v>283</v>
      </c>
      <c r="N66" s="8" t="s">
        <v>284</v>
      </c>
      <c r="O66" s="8" t="s">
        <v>285</v>
      </c>
      <c r="P66" s="8" t="s">
        <v>284</v>
      </c>
      <c r="Q66" s="7" t="s">
        <v>39</v>
      </c>
    </row>
    <row r="67">
      <c r="A67" s="3">
        <v>66.0</v>
      </c>
      <c r="B67" s="5" t="str">
        <f>IFERROR(__xludf.DUMMYFUNCTION("GOOGLETRANSLATE(K67, ""en"", ""bn"")"),"মাঝখানে থাকা ছেলেটির জার্সির মূল রঙ কী?")</f>
        <v>মাঝখানে থাকা ছেলেটির জার্সির মূল রঙ কী?</v>
      </c>
      <c r="C67" s="5" t="str">
        <f>IFERROR(__xludf.DUMMYFUNCTION("GOOGLETRANSLATE(L67, ""en"", ""bn"")"),"লাল")</f>
        <v>লাল</v>
      </c>
      <c r="D67" s="5" t="str">
        <f>IFERROR(__xludf.DUMMYFUNCTION("GOOGLETRANSLATE(M67, ""en"", ""bn"")"),"নীল")</f>
        <v>নীল</v>
      </c>
      <c r="E67" s="5" t="str">
        <f>IFERROR(__xludf.DUMMYFUNCTION("GOOGLETRANSLATE(N67, ""en"", ""bn"")"),"সবুজ")</f>
        <v>সবুজ</v>
      </c>
      <c r="F67" s="5" t="str">
        <f>IFERROR(__xludf.DUMMYFUNCTION("GOOGLETRANSLATE(O67, ""en"", ""bn"")"),"হলুদ")</f>
        <v>হলুদ</v>
      </c>
      <c r="G67" s="5" t="str">
        <f>IFERROR(__xludf.DUMMYFUNCTION("GOOGLETRANSLATE(P67, ""en"", ""bn"")"),"নীল")</f>
        <v>নীল</v>
      </c>
      <c r="H67" s="5" t="str">
        <f>IFERROR(__xludf.DUMMYFUNCTION("GOOGLETRANSLATE(Q67, ""en"", ""bn"")"),"ছবি4")</f>
        <v>ছবি4</v>
      </c>
      <c r="J67" s="5" t="str">
        <f>IFERROR(__xludf.DUMMYFUNCTION("GOOGLETRANSLATE(A67, ""bn"", ""en"")"),"66")</f>
        <v>66</v>
      </c>
      <c r="K67" s="8" t="s">
        <v>286</v>
      </c>
      <c r="L67" s="8" t="s">
        <v>275</v>
      </c>
      <c r="M67" s="8" t="s">
        <v>274</v>
      </c>
      <c r="N67" s="8" t="s">
        <v>272</v>
      </c>
      <c r="O67" s="8" t="s">
        <v>287</v>
      </c>
      <c r="P67" s="8" t="s">
        <v>274</v>
      </c>
      <c r="Q67" s="9" t="s">
        <v>46</v>
      </c>
    </row>
    <row r="68">
      <c r="A68" s="3">
        <v>67.0</v>
      </c>
      <c r="B68" s="5" t="str">
        <f>IFERROR(__xludf.DUMMYFUNCTION("GOOGLETRANSLATE(K68, ""en"", ""bn"")"),"খেলার মাঠের পেছনে কী দেখা যায়?")</f>
        <v>খেলার মাঠের পেছনে কী দেখা যায়?</v>
      </c>
      <c r="C68" s="5" t="str">
        <f>IFERROR(__xludf.DUMMYFUNCTION("GOOGLETRANSLATE(L68, ""en"", ""bn"")"),"একটি কংক্রিটের দেয়াল")</f>
        <v>একটি কংক্রিটের দেয়াল</v>
      </c>
      <c r="D68" s="5" t="str">
        <f>IFERROR(__xludf.DUMMYFUNCTION("GOOGLETRANSLATE(M68, ""en"", ""bn"")"),"তালগাছের বন")</f>
        <v>তালগাছের বন</v>
      </c>
      <c r="E68" s="5" t="str">
        <f>IFERROR(__xludf.DUMMYFUNCTION("GOOGLETRANSLATE(N68, ""en"", ""bn"")"),"একটি শহরের আকাশরেখা")</f>
        <v>একটি শহরের আকাশরেখা</v>
      </c>
      <c r="F68" s="5" t="str">
        <f>IFERROR(__xludf.DUMMYFUNCTION("GOOGLETRANSLATE(O68, ""en"", ""bn"")"),"একটা বড় নদী")</f>
        <v>একটা বড় নদী</v>
      </c>
      <c r="G68" s="5" t="str">
        <f>IFERROR(__xludf.DUMMYFUNCTION("GOOGLETRANSLATE(P68, ""en"", ""bn"")"),"তালগাছের বন")</f>
        <v>তালগাছের বন</v>
      </c>
      <c r="H68" s="5" t="str">
        <f>IFERROR(__xludf.DUMMYFUNCTION("GOOGLETRANSLATE(Q68, ""en"", ""bn"")"),"ছবি4")</f>
        <v>ছবি4</v>
      </c>
      <c r="J68" s="5" t="str">
        <f>IFERROR(__xludf.DUMMYFUNCTION("GOOGLETRANSLATE(A68, ""bn"", ""en"")"),"67")</f>
        <v>67</v>
      </c>
      <c r="K68" s="8" t="s">
        <v>288</v>
      </c>
      <c r="L68" s="8" t="s">
        <v>289</v>
      </c>
      <c r="M68" s="8" t="s">
        <v>290</v>
      </c>
      <c r="N68" s="8" t="s">
        <v>291</v>
      </c>
      <c r="O68" s="8" t="s">
        <v>292</v>
      </c>
      <c r="P68" s="8" t="s">
        <v>290</v>
      </c>
      <c r="Q68" s="9" t="s">
        <v>46</v>
      </c>
    </row>
    <row r="69">
      <c r="A69" s="3">
        <v>68.0</v>
      </c>
      <c r="B69" s="5" t="str">
        <f>IFERROR(__xludf.DUMMYFUNCTION("GOOGLETRANSLATE(K69, ""en"", ""bn"")"),"ডানদিকে সবুজ এবং কালো শর্টস পরে প্রতিযোগী কি করার চেষ্টা করছেন?")</f>
        <v>ডানদিকে সবুজ এবং কালো শর্টস পরে প্রতিযোগী কি করার চেষ্টা করছেন?</v>
      </c>
      <c r="C69" s="5" t="str">
        <f>IFERROR(__xludf.DUMMYFUNCTION("GOOGLETRANSLATE(L69, ""en"", ""bn"")"),"প্রতিপক্ষের বাহুতে ট্যাগ করুন")</f>
        <v>প্রতিপক্ষের বাহুতে ট্যাগ করুন</v>
      </c>
      <c r="D69" s="5" t="str">
        <f>IFERROR(__xludf.DUMMYFUNCTION("GOOGLETRANSLATE(M69, ""en"", ""bn"")"),"একজন খেলোয়াড়কে লাইন অতিক্রম করা থেকে বিরত রাখুন")</f>
        <v>একজন খেলোয়াড়কে লাইন অতিক্রম করা থেকে বিরত রাখুন</v>
      </c>
      <c r="E69" s="5" t="str">
        <f>IFERROR(__xludf.DUMMYFUNCTION("GOOGLETRANSLATE(N69, ""en"", ""bn"")"),"একটি বল ধরা")</f>
        <v>একটি বল ধরা</v>
      </c>
      <c r="F69" s="5" t="str">
        <f>IFERROR(__xludf.DUMMYFUNCTION("GOOGLETRANSLATE(O69, ""en"", ""bn"")"),"প্রতিপক্ষকে মাটিতে ফেলে দিন")</f>
        <v>প্রতিপক্ষকে মাটিতে ফেলে দিন</v>
      </c>
      <c r="G69" s="5" t="str">
        <f>IFERROR(__xludf.DUMMYFUNCTION("GOOGLETRANSLATE(P69, ""en"", ""bn"")"),"একজন খেলোয়াড়কে লাইন অতিক্রম করা থেকে বিরত রাখুন")</f>
        <v>একজন খেলোয়াড়কে লাইন অতিক্রম করা থেকে বিরত রাখুন</v>
      </c>
      <c r="H69" s="5" t="str">
        <f>IFERROR(__xludf.DUMMYFUNCTION("GOOGLETRANSLATE(Q69, ""en"", ""bn"")"),"ছবি4")</f>
        <v>ছবি4</v>
      </c>
      <c r="J69" s="5" t="str">
        <f>IFERROR(__xludf.DUMMYFUNCTION("GOOGLETRANSLATE(A69, ""bn"", ""en"")"),"68")</f>
        <v>68</v>
      </c>
      <c r="K69" s="8" t="s">
        <v>293</v>
      </c>
      <c r="L69" s="8" t="s">
        <v>294</v>
      </c>
      <c r="M69" s="8" t="s">
        <v>295</v>
      </c>
      <c r="N69" s="8" t="s">
        <v>296</v>
      </c>
      <c r="O69" s="8" t="s">
        <v>297</v>
      </c>
      <c r="P69" s="8" t="s">
        <v>295</v>
      </c>
      <c r="Q69" s="8" t="s">
        <v>46</v>
      </c>
    </row>
    <row r="70">
      <c r="A70" s="3">
        <v>69.0</v>
      </c>
      <c r="B70" s="5" t="str">
        <f>IFERROR(__xludf.DUMMYFUNCTION("GOOGLETRANSLATE(K70, ""en"", ""bn"")"),"প্রতিযোগীদের পা কী দিয়ে ঢাকা থাকে?")</f>
        <v>প্রতিযোগীদের পা কী দিয়ে ঢাকা থাকে?</v>
      </c>
      <c r="C70" s="5" t="str">
        <f>IFERROR(__xludf.DUMMYFUNCTION("GOOGLETRANSLATE(L70, ""en"", ""bn"")"),"কাদা")</f>
        <v>কাদা</v>
      </c>
      <c r="D70" s="5" t="str">
        <f>IFERROR(__xludf.DUMMYFUNCTION("GOOGLETRANSLATE(M70, ""en"", ""bn"")"),"বালি")</f>
        <v>বালি</v>
      </c>
      <c r="E70" s="5" t="str">
        <f>IFERROR(__xludf.DUMMYFUNCTION("GOOGLETRANSLATE(N70, ""en"", ""bn"")"),"জল")</f>
        <v>জল</v>
      </c>
      <c r="F70" s="5" t="str">
        <f>IFERROR(__xludf.DUMMYFUNCTION("GOOGLETRANSLATE(O70, ""en"", ""bn"")"),"ঘাস")</f>
        <v>ঘাস</v>
      </c>
      <c r="G70" s="5" t="str">
        <f>IFERROR(__xludf.DUMMYFUNCTION("GOOGLETRANSLATE(P70, ""en"", ""bn"")"),"কাদা")</f>
        <v>কাদা</v>
      </c>
      <c r="H70" s="5" t="str">
        <f>IFERROR(__xludf.DUMMYFUNCTION("GOOGLETRANSLATE(Q70, ""en"", ""bn"")"),"ছবি4")</f>
        <v>ছবি4</v>
      </c>
      <c r="J70" s="5" t="str">
        <f>IFERROR(__xludf.DUMMYFUNCTION("GOOGLETRANSLATE(A70, ""bn"", ""en"")"),"69")</f>
        <v>69</v>
      </c>
      <c r="K70" s="8" t="s">
        <v>298</v>
      </c>
      <c r="L70" s="8" t="s">
        <v>299</v>
      </c>
      <c r="M70" s="8" t="s">
        <v>300</v>
      </c>
      <c r="N70" s="8" t="s">
        <v>301</v>
      </c>
      <c r="O70" s="8" t="s">
        <v>302</v>
      </c>
      <c r="P70" s="8" t="s">
        <v>299</v>
      </c>
      <c r="Q70" s="9" t="s">
        <v>46</v>
      </c>
    </row>
    <row r="71">
      <c r="A71" s="3">
        <v>70.0</v>
      </c>
      <c r="B71" s="5" t="str">
        <f>IFERROR(__xludf.DUMMYFUNCTION("GOOGLETRANSLATE(K71, ""en"", ""bn"")"),"ভিড়ের মানুষগুলো কি হাতে ধরে আছে?")</f>
        <v>ভিড়ের মানুষগুলো কি হাতে ধরে আছে?</v>
      </c>
      <c r="C71" s="5" t="str">
        <f>IFERROR(__xludf.DUMMYFUNCTION("GOOGLETRANSLATE(L71, ""en"", ""bn"")"),"খাদ্য")</f>
        <v>খাদ্য</v>
      </c>
      <c r="D71" s="5" t="str">
        <f>IFERROR(__xludf.DUMMYFUNCTION("GOOGLETRANSLATE(M71, ""en"", ""bn"")"),"মোবাইল ফোন")</f>
        <v>মোবাইল ফোন</v>
      </c>
      <c r="E71" s="5" t="str">
        <f>IFERROR(__xludf.DUMMYFUNCTION("GOOGLETRANSLATE(N71, ""en"", ""bn"")"),"পানির বোতল")</f>
        <v>পানির বোতল</v>
      </c>
      <c r="F71" s="5" t="str">
        <f>IFERROR(__xludf.DUMMYFUNCTION("GOOGLETRANSLATE(O71, ""en"", ""bn"")"),"পতাকা")</f>
        <v>পতাকা</v>
      </c>
      <c r="G71" s="5" t="str">
        <f>IFERROR(__xludf.DUMMYFUNCTION("GOOGLETRANSLATE(P71, ""en"", ""bn"")"),"মোবাইল ফোন")</f>
        <v>মোবাইল ফোন</v>
      </c>
      <c r="H71" s="5" t="str">
        <f>IFERROR(__xludf.DUMMYFUNCTION("GOOGLETRANSLATE(Q71, ""en"", ""bn"")"),"ছবি4")</f>
        <v>ছবি4</v>
      </c>
      <c r="J71" s="5" t="str">
        <f>IFERROR(__xludf.DUMMYFUNCTION("GOOGLETRANSLATE(A71, ""bn"", ""en"")"),"70")</f>
        <v>70</v>
      </c>
      <c r="K71" s="8" t="s">
        <v>303</v>
      </c>
      <c r="L71" s="8" t="s">
        <v>304</v>
      </c>
      <c r="M71" s="8" t="s">
        <v>305</v>
      </c>
      <c r="N71" s="8" t="s">
        <v>306</v>
      </c>
      <c r="O71" s="8" t="s">
        <v>307</v>
      </c>
      <c r="P71" s="8" t="s">
        <v>305</v>
      </c>
      <c r="Q71" s="9" t="s">
        <v>46</v>
      </c>
    </row>
    <row r="72">
      <c r="A72" s="3">
        <v>71.0</v>
      </c>
      <c r="B72" s="5" t="str">
        <f>IFERROR(__xludf.DUMMYFUNCTION("GOOGLETRANSLATE(K72, ""en"", ""bn"")"),"খেলোয়াড়দের পা বেশিরভাগ ক্ষেত্রেই কিসের মধ্যে ঢাকা থাকে?")</f>
        <v>খেলোয়াড়দের পা বেশিরভাগ ক্ষেত্রেই কিসের মধ্যে ঢাকা থাকে?</v>
      </c>
      <c r="C72" s="5" t="str">
        <f>IFERROR(__xludf.DUMMYFUNCTION("GOOGLETRANSLATE(L72, ""en"", ""bn"")"),"কাদা আর ময়লা")</f>
        <v>কাদা আর ময়লা</v>
      </c>
      <c r="D72" s="5" t="str">
        <f>IFERROR(__xludf.DUMMYFUNCTION("GOOGLETRANSLATE(M72, ""en"", ""bn"")"),"জল")</f>
        <v>জল</v>
      </c>
      <c r="E72" s="5" t="str">
        <f>IFERROR(__xludf.DUMMYFUNCTION("GOOGLETRANSLATE(N72, ""en"", ""bn"")"),"ঘাস")</f>
        <v>ঘাস</v>
      </c>
      <c r="F72" s="5" t="str">
        <f>IFERROR(__xludf.DUMMYFUNCTION("GOOGLETRANSLATE(O72, ""en"", ""bn"")"),"বালি")</f>
        <v>বালি</v>
      </c>
      <c r="G72" s="5" t="str">
        <f>IFERROR(__xludf.DUMMYFUNCTION("GOOGLETRANSLATE(P72, ""en"", ""bn"")"),"কাদা আর ময়লা")</f>
        <v>কাদা আর ময়লা</v>
      </c>
      <c r="H72" s="5" t="str">
        <f>IFERROR(__xludf.DUMMYFUNCTION("GOOGLETRANSLATE(Q72, ""en"", ""bn"")"),"ছবি ৫")</f>
        <v>ছবি ৫</v>
      </c>
      <c r="J72" s="5" t="str">
        <f>IFERROR(__xludf.DUMMYFUNCTION("GOOGLETRANSLATE(A72, ""bn"", ""en"")"),"71")</f>
        <v>71</v>
      </c>
      <c r="K72" s="8" t="s">
        <v>308</v>
      </c>
      <c r="L72" s="8" t="s">
        <v>309</v>
      </c>
      <c r="M72" s="8" t="s">
        <v>301</v>
      </c>
      <c r="N72" s="8" t="s">
        <v>302</v>
      </c>
      <c r="O72" s="8" t="s">
        <v>300</v>
      </c>
      <c r="P72" s="8" t="s">
        <v>309</v>
      </c>
      <c r="Q72" s="9" t="s">
        <v>57</v>
      </c>
    </row>
    <row r="73">
      <c r="A73" s="3">
        <v>72.0</v>
      </c>
      <c r="B73" s="5" t="str">
        <f>IFERROR(__xludf.DUMMYFUNCTION("GOOGLETRANSLATE(K73, ""en"", ""bn"")"),"খেলোয়াড়দের একে অপরের সাথে কীভাবে অবস্থান করা হয়?")</f>
        <v>খেলোয়াড়দের একে অপরের সাথে কীভাবে অবস্থান করা হয়?</v>
      </c>
      <c r="C73" s="5" t="str">
        <f>IFERROR(__xludf.DUMMYFUNCTION("GOOGLETRANSLATE(L73, ""en"", ""bn"")"),"এক লাইনে")</f>
        <v>এক লাইনে</v>
      </c>
      <c r="D73" s="5" t="str">
        <f>IFERROR(__xludf.DUMMYFUNCTION("GOOGLETRANSLATE(M73, ""en"", ""bn"")"),"একঘেয়েমিতে")</f>
        <v>একঘেয়েমিতে</v>
      </c>
      <c r="E73" s="5" t="str">
        <f>IFERROR(__xludf.DUMMYFUNCTION("GOOGLETRANSLATE(N73, ""en"", ""bn"")"),"ক্রুচ করে একে অপরের মুখোমুখি")</f>
        <v>ক্রুচ করে একে অপরের মুখোমুখি</v>
      </c>
      <c r="F73" s="5" t="str">
        <f>IFERROR(__xludf.DUMMYFUNCTION("GOOGLETRANSLATE(O73, ""en"", ""bn"")"),"বসে আছি")</f>
        <v>বসে আছি</v>
      </c>
      <c r="G73" s="5" t="str">
        <f>IFERROR(__xludf.DUMMYFUNCTION("GOOGLETRANSLATE(P73, ""en"", ""bn"")"),"ক্রুচ করে একে অপরের মুখোমুখি")</f>
        <v>ক্রুচ করে একে অপরের মুখোমুখি</v>
      </c>
      <c r="H73" s="5" t="str">
        <f>IFERROR(__xludf.DUMMYFUNCTION("GOOGLETRANSLATE(Q73, ""en"", ""bn"")"),"ছবি ৫")</f>
        <v>ছবি ৫</v>
      </c>
      <c r="J73" s="5" t="str">
        <f>IFERROR(__xludf.DUMMYFUNCTION("GOOGLETRANSLATE(A73, ""bn"", ""en"")"),"72")</f>
        <v>72</v>
      </c>
      <c r="K73" s="8" t="s">
        <v>310</v>
      </c>
      <c r="L73" s="8" t="s">
        <v>311</v>
      </c>
      <c r="M73" s="8" t="s">
        <v>312</v>
      </c>
      <c r="N73" s="8" t="s">
        <v>313</v>
      </c>
      <c r="O73" s="8" t="s">
        <v>314</v>
      </c>
      <c r="P73" s="8" t="s">
        <v>313</v>
      </c>
      <c r="Q73" s="9" t="s">
        <v>57</v>
      </c>
    </row>
    <row r="74">
      <c r="A74" s="3">
        <v>73.0</v>
      </c>
      <c r="B74" s="5" t="str">
        <f>IFERROR(__xludf.DUMMYFUNCTION("GOOGLETRANSLATE(K74, ""en"", ""bn"")"),"একেবারে মাঝখানে খেলোয়াড়ের পোশাকের প্রধান রঙ কী?")</f>
        <v>একেবারে মাঝখানে খেলোয়াড়ের পোশাকের প্রধান রঙ কী?</v>
      </c>
      <c r="C74" s="5" t="str">
        <f>IFERROR(__xludf.DUMMYFUNCTION("GOOGLETRANSLATE(L74, ""en"", ""bn"")"),"সবুজ ও সাদা ডোরাকাটা শার্ট")</f>
        <v>সবুজ ও সাদা ডোরাকাটা শার্ট</v>
      </c>
      <c r="D74" s="5" t="str">
        <f>IFERROR(__xludf.DUMMYFUNCTION("GOOGLETRANSLATE(M74, ""en"", ""bn"")"),"সাদামাটা নীল শর্টস")</f>
        <v>সাদামাটা নীল শর্টস</v>
      </c>
      <c r="E74" s="5" t="str">
        <f>IFERROR(__xludf.DUMMYFUNCTION("GOOGLETRANSLATE(N74, ""en"", ""bn"")"),"প্লেইন সবুজ ট্যাংক শীর্ষ")</f>
        <v>প্লেইন সবুজ ট্যাংক শীর্ষ</v>
      </c>
      <c r="F74" s="5" t="str">
        <f>IFERROR(__xludf.DUMMYFUNCTION("GOOGLETRANSLATE(O74, ""en"", ""bn"")"),"সাদা এবং নীল জার্সি")</f>
        <v>সাদা এবং নীল জার্সি</v>
      </c>
      <c r="G74" s="5" t="str">
        <f>IFERROR(__xludf.DUMMYFUNCTION("GOOGLETRANSLATE(P74, ""en"", ""bn"")"),"প্লেইন সবুজ ট্যাংক শীর্ষ")</f>
        <v>প্লেইন সবুজ ট্যাংক শীর্ষ</v>
      </c>
      <c r="H74" s="5" t="str">
        <f>IFERROR(__xludf.DUMMYFUNCTION("GOOGLETRANSLATE(Q74, ""en"", ""bn"")"),"ছবি ৫")</f>
        <v>ছবি ৫</v>
      </c>
      <c r="J74" s="5" t="str">
        <f>IFERROR(__xludf.DUMMYFUNCTION("GOOGLETRANSLATE(A74, ""bn"", ""en"")"),"73")</f>
        <v>73</v>
      </c>
      <c r="K74" s="8" t="s">
        <v>315</v>
      </c>
      <c r="L74" s="8" t="s">
        <v>316</v>
      </c>
      <c r="M74" s="8" t="s">
        <v>317</v>
      </c>
      <c r="N74" s="8" t="s">
        <v>318</v>
      </c>
      <c r="O74" s="8" t="s">
        <v>319</v>
      </c>
      <c r="P74" s="8" t="s">
        <v>318</v>
      </c>
      <c r="Q74" s="8" t="s">
        <v>57</v>
      </c>
    </row>
    <row r="75">
      <c r="A75" s="3">
        <v>74.0</v>
      </c>
      <c r="B75" s="5" t="str">
        <f>IFERROR(__xludf.DUMMYFUNCTION("GOOGLETRANSLATE(K75, ""en"", ""bn"")"),"সামনে খেলোয়াড়দের সামগ্রিক ভঙ্গি কী?")</f>
        <v>সামনে খেলোয়াড়দের সামগ্রিক ভঙ্গি কী?</v>
      </c>
      <c r="C75" s="5" t="str">
        <f>IFERROR(__xludf.DUMMYFUNCTION("GOOGLETRANSLATE(L75, ""en"", ""bn"")"),"আরামে এবং সোজা")</f>
        <v>আরামে এবং সোজা</v>
      </c>
      <c r="D75" s="5" t="str">
        <f>IFERROR(__xludf.DUMMYFUNCTION("GOOGLETRANSLATE(M75, ""en"", ""bn"")"),"প্রসারিত এবং চলমান")</f>
        <v>প্রসারিত এবং চলমান</v>
      </c>
      <c r="E75" s="5" t="str">
        <f>IFERROR(__xludf.DUMMYFUNCTION("GOOGLETRANSLATE(N75, ""en"", ""bn"")"),"ক্রুচিং কম এবং টান")</f>
        <v>ক্রুচিং কম এবং টান</v>
      </c>
      <c r="F75" s="5" t="str">
        <f>IFERROR(__xludf.DUMMYFUNCTION("GOOGLETRANSLATE(O75, ""en"", ""bn"")"),"এক পায়ে দাঁড়িয়ে")</f>
        <v>এক পায়ে দাঁড়িয়ে</v>
      </c>
      <c r="G75" s="5" t="str">
        <f>IFERROR(__xludf.DUMMYFUNCTION("GOOGLETRANSLATE(P75, ""en"", ""bn"")"),"ক্রুচিং কম এবং টান")</f>
        <v>ক্রুচিং কম এবং টান</v>
      </c>
      <c r="H75" s="5" t="str">
        <f>IFERROR(__xludf.DUMMYFUNCTION("GOOGLETRANSLATE(Q75, ""en"", ""bn"")"),"ছবি ৫")</f>
        <v>ছবি ৫</v>
      </c>
      <c r="J75" s="5" t="str">
        <f>IFERROR(__xludf.DUMMYFUNCTION("GOOGLETRANSLATE(A75, ""bn"", ""en"")"),"74")</f>
        <v>74</v>
      </c>
      <c r="K75" s="8" t="s">
        <v>320</v>
      </c>
      <c r="L75" s="8" t="s">
        <v>321</v>
      </c>
      <c r="M75" s="8" t="s">
        <v>322</v>
      </c>
      <c r="N75" s="8" t="s">
        <v>323</v>
      </c>
      <c r="O75" s="8" t="s">
        <v>324</v>
      </c>
      <c r="P75" s="8" t="s">
        <v>323</v>
      </c>
      <c r="Q75" s="7" t="s">
        <v>57</v>
      </c>
    </row>
    <row r="76">
      <c r="A76" s="3">
        <v>75.0</v>
      </c>
      <c r="B76" s="5" t="str">
        <f>IFERROR(__xludf.DUMMYFUNCTION("GOOGLETRANSLATE(K76, ""en"", ""bn"")"),"দর্শকদের সম্ভাব্য বয়সসীমা কত?")</f>
        <v>দর্শকদের সম্ভাব্য বয়সসীমা কত?</v>
      </c>
      <c r="C76" s="5" t="str">
        <f>IFERROR(__xludf.DUMMYFUNCTION("GOOGLETRANSLATE(L76, ""en"", ""bn"")"),"সকল প্রাপ্তবয়স্ক")</f>
        <v>সকল প্রাপ্তবয়স্ক</v>
      </c>
      <c r="D76" s="5" t="str">
        <f>IFERROR(__xludf.DUMMYFUNCTION("GOOGLETRANSLATE(M76, ""en"", ""bn"")"),"শুধুমাত্র শিশুরা")</f>
        <v>শুধুমাত্র শিশুরা</v>
      </c>
      <c r="E76" s="5" t="str">
        <f>IFERROR(__xludf.DUMMYFUNCTION("GOOGLETRANSLATE(N76, ""en"", ""bn"")"),"শিশু এবং প্রাপ্তবয়স্কদের সহ মিশ্র বয়স")</f>
        <v>শিশু এবং প্রাপ্তবয়স্কদের সহ মিশ্র বয়স</v>
      </c>
      <c r="F76" s="5" t="str">
        <f>IFERROR(__xludf.DUMMYFUNCTION("GOOGLETRANSLATE(O76, ""en"", ""bn"")"),"সব বয়স্ক মানুষ")</f>
        <v>সব বয়স্ক মানুষ</v>
      </c>
      <c r="G76" s="5" t="str">
        <f>IFERROR(__xludf.DUMMYFUNCTION("GOOGLETRANSLATE(P76, ""en"", ""bn"")"),"শিশু এবং প্রাপ্তবয়স্কদের সহ মিশ্র বয়স")</f>
        <v>শিশু এবং প্রাপ্তবয়স্কদের সহ মিশ্র বয়স</v>
      </c>
      <c r="H76" s="5" t="str">
        <f>IFERROR(__xludf.DUMMYFUNCTION("GOOGLETRANSLATE(Q76, ""en"", ""bn"")"),"ছবি ৫")</f>
        <v>ছবি ৫</v>
      </c>
      <c r="J76" s="5" t="str">
        <f>IFERROR(__xludf.DUMMYFUNCTION("GOOGLETRANSLATE(A76, ""bn"", ""en"")"),"75")</f>
        <v>75</v>
      </c>
      <c r="K76" s="8" t="s">
        <v>325</v>
      </c>
      <c r="L76" s="8" t="s">
        <v>326</v>
      </c>
      <c r="M76" s="8" t="s">
        <v>327</v>
      </c>
      <c r="N76" s="8" t="s">
        <v>328</v>
      </c>
      <c r="O76" s="8" t="s">
        <v>329</v>
      </c>
      <c r="P76" s="8" t="s">
        <v>328</v>
      </c>
      <c r="Q76" s="7" t="s">
        <v>57</v>
      </c>
    </row>
    <row r="77">
      <c r="A77" s="3">
        <v>76.0</v>
      </c>
      <c r="B77" s="5" t="str">
        <f>IFERROR(__xludf.DUMMYFUNCTION("GOOGLETRANSLATE(K77, ""en"", ""bn"")"),"খেলোয়াড়রা তাদের হাঁটুতে কী পরছে?")</f>
        <v>খেলোয়াড়রা তাদের হাঁটুতে কী পরছে?</v>
      </c>
      <c r="C77" s="5" t="str">
        <f>IFERROR(__xludf.DUMMYFUNCTION("GOOGLETRANSLATE(L77, ""en"", ""bn"")"),"হাঁটু প্যাড")</f>
        <v>হাঁটু প্যাড</v>
      </c>
      <c r="D77" s="5" t="str">
        <f>IFERROR(__xludf.DUMMYFUNCTION("GOOGLETRANSLATE(M77, ""en"", ""bn"")"),"কিছুই না")</f>
        <v>কিছুই না</v>
      </c>
      <c r="E77" s="5" t="str">
        <f>IFERROR(__xludf.DUMMYFUNCTION("GOOGLETRANSLATE(N77, ""en"", ""bn"")"),"মোজা")</f>
        <v>মোজা</v>
      </c>
      <c r="F77" s="5" t="str">
        <f>IFERROR(__xludf.DUMMYFUNCTION("GOOGLETRANSLATE(O77, ""en"", ""bn"")"),"গোড়ালি মোড়ানো")</f>
        <v>গোড়ালি মোড়ানো</v>
      </c>
      <c r="G77" s="5" t="str">
        <f>IFERROR(__xludf.DUMMYFUNCTION("GOOGLETRANSLATE(P77, ""en"", ""bn"")"),"হাঁটু প্যাড")</f>
        <v>হাঁটু প্যাড</v>
      </c>
      <c r="H77" s="5" t="str">
        <f>IFERROR(__xludf.DUMMYFUNCTION("GOOGLETRANSLATE(Q77, ""en"", ""bn"")"),"ছবি৬")</f>
        <v>ছবি৬</v>
      </c>
      <c r="J77" s="5" t="str">
        <f>IFERROR(__xludf.DUMMYFUNCTION("GOOGLETRANSLATE(A77, ""bn"", ""en"")"),"76")</f>
        <v>76</v>
      </c>
      <c r="K77" s="8" t="s">
        <v>330</v>
      </c>
      <c r="L77" s="8" t="s">
        <v>331</v>
      </c>
      <c r="M77" s="8" t="s">
        <v>332</v>
      </c>
      <c r="N77" s="8" t="s">
        <v>333</v>
      </c>
      <c r="O77" s="8" t="s">
        <v>334</v>
      </c>
      <c r="P77" s="8" t="s">
        <v>331</v>
      </c>
      <c r="Q77" s="7" t="s">
        <v>68</v>
      </c>
    </row>
    <row r="78">
      <c r="A78" s="3">
        <v>77.0</v>
      </c>
      <c r="B78" s="5" t="str">
        <f>IFERROR(__xludf.DUMMYFUNCTION("GOOGLETRANSLATE(K78, ""en"", ""bn"")"),"সামনের খেলোয়াড়দের জার্সির রঙ কী?")</f>
        <v>সামনের খেলোয়াড়দের জার্সির রঙ কী?</v>
      </c>
      <c r="C78" s="5" t="str">
        <f>IFERROR(__xludf.DUMMYFUNCTION("GOOGLETRANSLATE(L78, ""en"", ""bn"")"),"নীল এবং সাদা")</f>
        <v>নীল এবং সাদা</v>
      </c>
      <c r="D78" s="5" t="str">
        <f>IFERROR(__xludf.DUMMYFUNCTION("GOOGLETRANSLATE(M78, ""en"", ""bn"")"),"লাল এবং কালো")</f>
        <v>লাল এবং কালো</v>
      </c>
      <c r="E78" s="5" t="str">
        <f>IFERROR(__xludf.DUMMYFUNCTION("GOOGLETRANSLATE(N78, ""en"", ""bn"")"),"সবুজ এবং সাদা")</f>
        <v>সবুজ এবং সাদা</v>
      </c>
      <c r="F78" s="5" t="str">
        <f>IFERROR(__xludf.DUMMYFUNCTION("GOOGLETRANSLATE(O78, ""en"", ""bn"")"),"হলুদ এবং নীল")</f>
        <v>হলুদ এবং নীল</v>
      </c>
      <c r="G78" s="5" t="str">
        <f>IFERROR(__xludf.DUMMYFUNCTION("GOOGLETRANSLATE(P78, ""en"", ""bn"")"),"সবুজ এবং সাদা")</f>
        <v>সবুজ এবং সাদা</v>
      </c>
      <c r="H78" s="5" t="str">
        <f>IFERROR(__xludf.DUMMYFUNCTION("GOOGLETRANSLATE(Q78, ""en"", ""bn"")"),"ছবি৬")</f>
        <v>ছবি৬</v>
      </c>
      <c r="J78" s="5" t="str">
        <f>IFERROR(__xludf.DUMMYFUNCTION("GOOGLETRANSLATE(A78, ""bn"", ""en"")"),"77")</f>
        <v>77</v>
      </c>
      <c r="K78" s="8" t="s">
        <v>335</v>
      </c>
      <c r="L78" s="8" t="s">
        <v>336</v>
      </c>
      <c r="M78" s="8" t="s">
        <v>337</v>
      </c>
      <c r="N78" s="8" t="s">
        <v>338</v>
      </c>
      <c r="O78" s="8" t="s">
        <v>339</v>
      </c>
      <c r="P78" s="8" t="s">
        <v>338</v>
      </c>
      <c r="Q78" s="7" t="s">
        <v>68</v>
      </c>
    </row>
    <row r="79">
      <c r="A79" s="3">
        <v>78.0</v>
      </c>
      <c r="B79" s="5" t="str">
        <f>IFERROR(__xludf.DUMMYFUNCTION("GOOGLETRANSLATE(K79, ""en"", ""bn"")"),"রেফারি কি পরছেন?")</f>
        <v>রেফারি কি পরছেন?</v>
      </c>
      <c r="C79" s="5" t="str">
        <f>IFERROR(__xludf.DUMMYFUNCTION("GOOGLETRANSLATE(L79, ""en"", ""bn"")"),"সবুজ ইউনিফর্ম")</f>
        <v>সবুজ ইউনিফর্ম</v>
      </c>
      <c r="D79" s="5" t="str">
        <f>IFERROR(__xludf.DUMMYFUNCTION("GOOGLETRANSLATE(M79, ""en"", ""bn"")"),"ঐতিহ্যবাহী পোশাক")</f>
        <v>ঐতিহ্যবাহী পোশাক</v>
      </c>
      <c r="E79" s="5" t="str">
        <f>IFERROR(__xludf.DUMMYFUNCTION("GOOGLETRANSLATE(N79, ""en"", ""bn"")"),"সাদা পোলো শার্ট আর সাদা প্যান্ট")</f>
        <v>সাদা পোলো শার্ট আর সাদা প্যান্ট</v>
      </c>
      <c r="F79" s="5" t="str">
        <f>IFERROR(__xludf.DUMMYFUNCTION("GOOGLETRANSLATE(O79, ""en"", ""bn"")"),"একটি ডোরাকাটা টি-শার্ট")</f>
        <v>একটি ডোরাকাটা টি-শার্ট</v>
      </c>
      <c r="G79" s="5" t="str">
        <f>IFERROR(__xludf.DUMMYFUNCTION("GOOGLETRANSLATE(P79, ""en"", ""bn"")"),"সাদা পোলো শার্ট আর সাদা প্যান্ট")</f>
        <v>সাদা পোলো শার্ট আর সাদা প্যান্ট</v>
      </c>
      <c r="H79" s="5" t="str">
        <f>IFERROR(__xludf.DUMMYFUNCTION("GOOGLETRANSLATE(Q79, ""en"", ""bn"")"),"ছবি৬")</f>
        <v>ছবি৬</v>
      </c>
      <c r="J79" s="5" t="str">
        <f>IFERROR(__xludf.DUMMYFUNCTION("GOOGLETRANSLATE(A79, ""bn"", ""en"")"),"78")</f>
        <v>78</v>
      </c>
      <c r="K79" s="8" t="s">
        <v>340</v>
      </c>
      <c r="L79" s="8" t="s">
        <v>341</v>
      </c>
      <c r="M79" s="8" t="s">
        <v>342</v>
      </c>
      <c r="N79" s="8" t="s">
        <v>343</v>
      </c>
      <c r="O79" s="8" t="s">
        <v>344</v>
      </c>
      <c r="P79" s="8" t="s">
        <v>343</v>
      </c>
      <c r="Q79" s="7" t="s">
        <v>68</v>
      </c>
    </row>
    <row r="80">
      <c r="A80" s="3">
        <v>79.0</v>
      </c>
      <c r="B80" s="5" t="str">
        <f>IFERROR(__xludf.DUMMYFUNCTION("GOOGLETRANSLATE(K80, ""en"", ""bn"")"),"গেমটির সামগ্রিক পরিবেশ কেমন?")</f>
        <v>গেমটির সামগ্রিক পরিবেশ কেমন?</v>
      </c>
      <c r="C80" s="5" t="str">
        <f>IFERROR(__xludf.DUMMYFUNCTION("GOOGLETRANSLATE(L80, ""en"", ""bn"")"),"একটি ইনডোর স্টেডিয়াম")</f>
        <v>একটি ইনডোর স্টেডিয়াম</v>
      </c>
      <c r="D80" s="5" t="str">
        <f>IFERROR(__xludf.DUMMYFUNCTION("GOOGLETRANSLATE(M80, ""en"", ""bn"")"),"ঘাসের মাঠ।")</f>
        <v>ঘাসের মাঠ।</v>
      </c>
      <c r="E80" s="5" t="str">
        <f>IFERROR(__xludf.DUMMYFUNCTION("GOOGLETRANSLATE(N80, ""en"", ""bn"")"),"বালুকাময় বা মাটির মাঠ")</f>
        <v>বালুকাময় বা মাটির মাঠ</v>
      </c>
      <c r="F80" s="5" t="str">
        <f>IFERROR(__xludf.DUMMYFUNCTION("GOOGLETRANSLATE(O80, ""en"", ""bn"")"),"একটা রাস্তা")</f>
        <v>একটা রাস্তা</v>
      </c>
      <c r="G80" s="5" t="str">
        <f>IFERROR(__xludf.DUMMYFUNCTION("GOOGLETRANSLATE(P80, ""en"", ""bn"")"),"বালুকাময় বা মাটির মাঠ")</f>
        <v>বালুকাময় বা মাটির মাঠ</v>
      </c>
      <c r="H80" s="5" t="str">
        <f>IFERROR(__xludf.DUMMYFUNCTION("GOOGLETRANSLATE(Q80, ""en"", ""bn"")"),"ছবি৬")</f>
        <v>ছবি৬</v>
      </c>
      <c r="J80" s="5" t="str">
        <f>IFERROR(__xludf.DUMMYFUNCTION("GOOGLETRANSLATE(A80, ""bn"", ""en"")"),"79")</f>
        <v>79</v>
      </c>
      <c r="K80" s="8" t="s">
        <v>345</v>
      </c>
      <c r="L80" s="8" t="s">
        <v>346</v>
      </c>
      <c r="M80" s="8" t="s">
        <v>347</v>
      </c>
      <c r="N80" s="8" t="s">
        <v>348</v>
      </c>
      <c r="O80" s="8" t="s">
        <v>349</v>
      </c>
      <c r="P80" s="8" t="s">
        <v>348</v>
      </c>
      <c r="Q80" s="7" t="s">
        <v>68</v>
      </c>
    </row>
    <row r="81">
      <c r="A81" s="3">
        <v>80.0</v>
      </c>
      <c r="B81" s="5" t="str">
        <f>IFERROR(__xludf.DUMMYFUNCTION("GOOGLETRANSLATE(K81, ""en"", ""bn"")"),"মাঠে খেলোয়াড়ের শারীরিক অবস্থা কেমন?")</f>
        <v>মাঠে খেলোয়াড়ের শারীরিক অবস্থা কেমন?</v>
      </c>
      <c r="C81" s="5" t="str">
        <f>IFERROR(__xludf.DUMMYFUNCTION("GOOGLETRANSLATE(L81, ""en"", ""bn"")"),"সে প্রতিপক্ষের কাছ থেকে পালিয়ে যাচ্ছে।")</f>
        <v>সে প্রতিপক্ষের কাছ থেকে পালিয়ে যাচ্ছে।</v>
      </c>
      <c r="D81" s="5" t="str">
        <f>IFERROR(__xludf.DUMMYFUNCTION("GOOGLETRANSLATE(M81, ""en"", ""bn"")"),"বিরোধীরা তাকে আটকে রেখেছে")</f>
        <v>বিরোধীরা তাকে আটকে রেখেছে</v>
      </c>
      <c r="E81" s="5" t="str">
        <f>IFERROR(__xludf.DUMMYFUNCTION("GOOGLETRANSLATE(N81, ""en"", ""bn"")"),"সে স্থির দাঁড়িয়ে আছে।")</f>
        <v>সে স্থির দাঁড়িয়ে আছে।</v>
      </c>
      <c r="F81" s="5" t="str">
        <f>IFERROR(__xludf.DUMMYFUNCTION("GOOGLETRANSLATE(O81, ""en"", ""bn"")"),"তিনি হ্যান্ডশেক করছেন")</f>
        <v>তিনি হ্যান্ডশেক করছেন</v>
      </c>
      <c r="G81" s="5" t="str">
        <f>IFERROR(__xludf.DUMMYFUNCTION("GOOGLETRANSLATE(P81, ""en"", ""bn"")"),"বিরোধীরা তাকে আটকে রেখেছে")</f>
        <v>বিরোধীরা তাকে আটকে রেখেছে</v>
      </c>
      <c r="H81" s="5" t="str">
        <f>IFERROR(__xludf.DUMMYFUNCTION("GOOGLETRANSLATE(Q81, ""en"", ""bn"")"),"ছবি৬")</f>
        <v>ছবি৬</v>
      </c>
      <c r="J81" s="5" t="str">
        <f>IFERROR(__xludf.DUMMYFUNCTION("GOOGLETRANSLATE(A81, ""bn"", ""en"")"),"80")</f>
        <v>80</v>
      </c>
      <c r="K81" s="8" t="s">
        <v>350</v>
      </c>
      <c r="L81" s="8" t="s">
        <v>351</v>
      </c>
      <c r="M81" s="8" t="s">
        <v>352</v>
      </c>
      <c r="N81" s="8" t="s">
        <v>353</v>
      </c>
      <c r="O81" s="8" t="s">
        <v>354</v>
      </c>
      <c r="P81" s="8" t="s">
        <v>352</v>
      </c>
      <c r="Q81" s="7" t="s">
        <v>68</v>
      </c>
    </row>
    <row r="82">
      <c r="A82" s="3">
        <v>81.0</v>
      </c>
      <c r="B82" s="5" t="str">
        <f>IFERROR(__xludf.DUMMYFUNCTION("GOOGLETRANSLATE(K82, ""en"", ""bn"")"),"খেলোয়াড়দের সামগ্রিক মেজাজ কি দেখানো হয়েছে?")</f>
        <v>খেলোয়াড়দের সামগ্রিক মেজাজ কি দেখানো হয়েছে?</v>
      </c>
      <c r="C82" s="5" t="str">
        <f>IFERROR(__xludf.DUMMYFUNCTION("GOOGLETRANSLATE(L82, ""en"", ""bn"")"),"রাগান্বিত এবং আক্রমণাত্মক")</f>
        <v>রাগান্বিত এবং আক্রমণাত্মক</v>
      </c>
      <c r="D82" s="5" t="str">
        <f>IFERROR(__xludf.DUMMYFUNCTION("GOOGLETRANSLATE(M82, ""en"", ""bn"")"),"শান্ত এবং নিবদ্ধ")</f>
        <v>শান্ত এবং নিবদ্ধ</v>
      </c>
      <c r="E82" s="5" t="str">
        <f>IFERROR(__xludf.DUMMYFUNCTION("GOOGLETRANSLATE(N82, ""en"", ""bn"")"),"প্রফুল্ল এবং উদ্যমী")</f>
        <v>প্রফুল্ল এবং উদ্যমী</v>
      </c>
      <c r="F82" s="5" t="str">
        <f>IFERROR(__xludf.DUMMYFUNCTION("GOOGLETRANSLATE(O82, ""en"", ""bn"")"),"বিরক্ত এবং ক্লান্ত।")</f>
        <v>বিরক্ত এবং ক্লান্ত।</v>
      </c>
      <c r="G82" s="5" t="str">
        <f>IFERROR(__xludf.DUMMYFUNCTION("GOOGLETRANSLATE(P82, ""en"", ""bn"")"),"প্রফুল্ল এবং উদ্যমী")</f>
        <v>প্রফুল্ল এবং উদ্যমী</v>
      </c>
      <c r="H82" s="5" t="str">
        <f>IFERROR(__xludf.DUMMYFUNCTION("GOOGLETRANSLATE(Q82, ""en"", ""bn"")"),"ছবি7")</f>
        <v>ছবি7</v>
      </c>
      <c r="J82" s="5" t="str">
        <f>IFERROR(__xludf.DUMMYFUNCTION("GOOGLETRANSLATE(A82, ""bn"", ""en"")"),"81")</f>
        <v>81</v>
      </c>
      <c r="K82" s="8" t="s">
        <v>355</v>
      </c>
      <c r="L82" s="8" t="s">
        <v>356</v>
      </c>
      <c r="M82" s="8" t="s">
        <v>357</v>
      </c>
      <c r="N82" s="8" t="s">
        <v>358</v>
      </c>
      <c r="O82" s="8" t="s">
        <v>359</v>
      </c>
      <c r="P82" s="8" t="s">
        <v>358</v>
      </c>
      <c r="Q82" s="7" t="s">
        <v>72</v>
      </c>
    </row>
    <row r="83">
      <c r="A83" s="3">
        <v>82.0</v>
      </c>
      <c r="B83" s="5" t="str">
        <f>IFERROR(__xludf.DUMMYFUNCTION("GOOGLETRANSLATE(K83, ""en"", ""bn"")"),"সামনের খেলোয়াড়দের পোশাকের রঙ কী?")</f>
        <v>সামনের খেলোয়াড়দের পোশাকের রঙ কী?</v>
      </c>
      <c r="C83" s="5" t="str">
        <f>IFERROR(__xludf.DUMMYFUNCTION("GOOGLETRANSLATE(L83, ""en"", ""bn"")"),"সম্পূর্ণ কালো")</f>
        <v>সম্পূর্ণ কালো</v>
      </c>
      <c r="D83" s="5" t="str">
        <f>IFERROR(__xludf.DUMMYFUNCTION("GOOGLETRANSLATE(M83, ""en"", ""bn"")"),"সব সাদা")</f>
        <v>সব সাদা</v>
      </c>
      <c r="E83" s="5" t="str">
        <f>IFERROR(__xludf.DUMMYFUNCTION("GOOGLETRANSLATE(N83, ""en"", ""bn"")"),"গাঢ় উচ্চারণ সঙ্গে সাদা")</f>
        <v>গাঢ় উচ্চারণ সঙ্গে সাদা</v>
      </c>
      <c r="F83" s="5" t="str">
        <f>IFERROR(__xludf.DUMMYFUNCTION("GOOGLETRANSLATE(O83, ""en"", ""bn"")"),"সব ধূসর")</f>
        <v>সব ধূসর</v>
      </c>
      <c r="G83" s="5" t="str">
        <f>IFERROR(__xludf.DUMMYFUNCTION("GOOGLETRANSLATE(P83, ""en"", ""bn"")"),"গাঢ় উচ্চারণ সঙ্গে সাদা")</f>
        <v>গাঢ় উচ্চারণ সঙ্গে সাদা</v>
      </c>
      <c r="H83" s="5" t="str">
        <f>IFERROR(__xludf.DUMMYFUNCTION("GOOGLETRANSLATE(Q83, ""en"", ""bn"")"),"ছবি7")</f>
        <v>ছবি7</v>
      </c>
      <c r="J83" s="5" t="str">
        <f>IFERROR(__xludf.DUMMYFUNCTION("GOOGLETRANSLATE(A83, ""bn"", ""en"")"),"82")</f>
        <v>82</v>
      </c>
      <c r="K83" s="8" t="s">
        <v>360</v>
      </c>
      <c r="L83" s="8" t="s">
        <v>361</v>
      </c>
      <c r="M83" s="8" t="s">
        <v>362</v>
      </c>
      <c r="N83" s="8" t="s">
        <v>363</v>
      </c>
      <c r="O83" s="8" t="s">
        <v>364</v>
      </c>
      <c r="P83" s="8" t="s">
        <v>363</v>
      </c>
      <c r="Q83" s="7" t="s">
        <v>72</v>
      </c>
    </row>
    <row r="84">
      <c r="A84" s="3">
        <v>83.0</v>
      </c>
      <c r="B84" s="5" t="str">
        <f>IFERROR(__xludf.DUMMYFUNCTION("GOOGLETRANSLATE(K84, ""en"", ""bn"")"),"বাম দিকের খেলোয়াড়টি কী করছে?")</f>
        <v>বাম দিকের খেলোয়াড়টি কী করছে?</v>
      </c>
      <c r="C84" s="5" t="str">
        <f>IFERROR(__xludf.DUMMYFUNCTION("GOOGLETRANSLATE(L84, ""en"", ""bn"")"),"একজন খেলোয়াড়কে মোকাবেলা করার চেষ্টা করা হচ্ছে")</f>
        <v>একজন খেলোয়াড়কে মোকাবেলা করার চেষ্টা করা হচ্ছে</v>
      </c>
      <c r="D84" s="5" t="str">
        <f>IFERROR(__xludf.DUMMYFUNCTION("GOOGLETRANSLATE(M84, ""en"", ""bn"")"),"কেন্দ্রের দিকে ছুটছে")</f>
        <v>কেন্দ্রের দিকে ছুটছে</v>
      </c>
      <c r="E84" s="5" t="str">
        <f>IFERROR(__xludf.DUMMYFUNCTION("GOOGLETRANSLATE(N84, ""en"", ""bn"")"),"স্থির হয়ে দাঁড়িয়ে আছে")</f>
        <v>স্থির হয়ে দাঁড়িয়ে আছে</v>
      </c>
      <c r="F84" s="5" t="str">
        <f>IFERROR(__xludf.DUMMYFUNCTION("GOOGLETRANSLATE(O84, ""en"", ""bn"")"),"রেফারির দিকে চিৎকার করা")</f>
        <v>রেফারির দিকে চিৎকার করা</v>
      </c>
      <c r="G84" s="5" t="str">
        <f>IFERROR(__xludf.DUMMYFUNCTION("GOOGLETRANSLATE(P84, ""en"", ""bn"")"),"কেন্দ্রের দিকে ছুটছে")</f>
        <v>কেন্দ্রের দিকে ছুটছে</v>
      </c>
      <c r="H84" s="5" t="str">
        <f>IFERROR(__xludf.DUMMYFUNCTION("GOOGLETRANSLATE(Q84, ""en"", ""bn"")"),"ছবি7")</f>
        <v>ছবি7</v>
      </c>
      <c r="J84" s="5" t="str">
        <f>IFERROR(__xludf.DUMMYFUNCTION("GOOGLETRANSLATE(A84, ""bn"", ""en"")"),"83")</f>
        <v>83</v>
      </c>
      <c r="K84" s="8" t="s">
        <v>365</v>
      </c>
      <c r="L84" s="8" t="s">
        <v>366</v>
      </c>
      <c r="M84" s="8" t="s">
        <v>367</v>
      </c>
      <c r="N84" s="8" t="s">
        <v>279</v>
      </c>
      <c r="O84" s="8" t="s">
        <v>368</v>
      </c>
      <c r="P84" s="8" t="s">
        <v>367</v>
      </c>
      <c r="Q84" s="7" t="s">
        <v>72</v>
      </c>
    </row>
    <row r="85">
      <c r="A85" s="3">
        <v>84.0</v>
      </c>
      <c r="B85" s="5" t="str">
        <f>IFERROR(__xludf.DUMMYFUNCTION("GOOGLETRANSLATE(K85, ""en"", ""bn"")"),"দর্শকরা কী ধরণের পোশাক পরে?")</f>
        <v>দর্শকরা কী ধরণের পোশাক পরে?</v>
      </c>
      <c r="C85" s="5" t="str">
        <f>IFERROR(__xludf.DUMMYFUNCTION("GOOGLETRANSLATE(L85, ""en"", ""bn"")"),"ইউনিফর্ম")</f>
        <v>ইউনিফর্ম</v>
      </c>
      <c r="D85" s="5" t="str">
        <f>IFERROR(__xludf.DUMMYFUNCTION("GOOGLETRANSLATE(M85, ""en"", ""bn"")"),"ঐতিহ্যবাহী পোশাক এবং ক্যাজুয়াল শার্ট")</f>
        <v>ঐতিহ্যবাহী পোশাক এবং ক্যাজুয়াল শার্ট</v>
      </c>
      <c r="E85" s="5" t="str">
        <f>IFERROR(__xludf.DUMMYFUNCTION("GOOGLETRANSLATE(N85, ""en"", ""bn"")"),"শুধুমাত্র ক্রীড়া পরিধান")</f>
        <v>শুধুমাত্র ক্রীড়া পরিধান</v>
      </c>
      <c r="F85" s="5" t="str">
        <f>IFERROR(__xludf.DUMMYFUNCTION("GOOGLETRANSLATE(O85, ""en"", ""bn"")"),"আনুষ্ঠানিক স্যুট")</f>
        <v>আনুষ্ঠানিক স্যুট</v>
      </c>
      <c r="G85" s="5" t="str">
        <f>IFERROR(__xludf.DUMMYFUNCTION("GOOGLETRANSLATE(P85, ""en"", ""bn"")"),"ঐতিহ্যবাহী পোশাক এবং ক্যাজুয়াল শার্ট")</f>
        <v>ঐতিহ্যবাহী পোশাক এবং ক্যাজুয়াল শার্ট</v>
      </c>
      <c r="H85" s="5" t="str">
        <f>IFERROR(__xludf.DUMMYFUNCTION("GOOGLETRANSLATE(Q85, ""en"", ""bn"")"),"ছবি7")</f>
        <v>ছবি7</v>
      </c>
      <c r="J85" s="5" t="str">
        <f>IFERROR(__xludf.DUMMYFUNCTION("GOOGLETRANSLATE(A85, ""bn"", ""en"")"),"84")</f>
        <v>84</v>
      </c>
      <c r="K85" s="8" t="s">
        <v>369</v>
      </c>
      <c r="L85" s="8" t="s">
        <v>370</v>
      </c>
      <c r="M85" s="8" t="s">
        <v>371</v>
      </c>
      <c r="N85" s="8" t="s">
        <v>372</v>
      </c>
      <c r="O85" s="8" t="s">
        <v>373</v>
      </c>
      <c r="P85" s="8" t="s">
        <v>371</v>
      </c>
      <c r="Q85" s="7" t="s">
        <v>72</v>
      </c>
    </row>
    <row r="86">
      <c r="A86" s="3">
        <v>85.0</v>
      </c>
      <c r="B86" s="5" t="str">
        <f>IFERROR(__xludf.DUMMYFUNCTION("GOOGLETRANSLATE(K86, ""en"", ""bn"")"),"খেলার পৃষ্ঠের অবস্থা কি?")</f>
        <v>খেলার পৃষ্ঠের অবস্থা কি?</v>
      </c>
      <c r="C86" s="5" t="str">
        <f>IFERROR(__xludf.DUMMYFUNCTION("GOOGLETRANSLATE(L86, ""en"", ""bn"")"),"কংক্রিট দিয়ে পাকা")</f>
        <v>কংক্রিট দিয়ে পাকা</v>
      </c>
      <c r="D86" s="5" t="str">
        <f>IFERROR(__xludf.DUMMYFUNCTION("GOOGLETRANSLATE(M86, ""en"", ""bn"")"),"ভেজা এবং কর্দমাক্ত")</f>
        <v>ভেজা এবং কর্দমাক্ত</v>
      </c>
      <c r="E86" s="5" t="str">
        <f>IFERROR(__xludf.DUMMYFUNCTION("GOOGLETRANSLATE(N86, ""en"", ""bn"")"),"শুষ্ক এবং ধুলোময়")</f>
        <v>শুষ্ক এবং ধুলোময়</v>
      </c>
      <c r="F86" s="5" t="str">
        <f>IFERROR(__xludf.DUMMYFUNCTION("GOOGLETRANSLATE(O86, ""en"", ""bn"")"),"ঘাসে ঢাকা।")</f>
        <v>ঘাসে ঢাকা।</v>
      </c>
      <c r="G86" s="5" t="str">
        <f>IFERROR(__xludf.DUMMYFUNCTION("GOOGLETRANSLATE(P86, ""en"", ""bn"")"),"শুষ্ক এবং ধুলোময়")</f>
        <v>শুষ্ক এবং ধুলোময়</v>
      </c>
      <c r="H86" s="5" t="str">
        <f>IFERROR(__xludf.DUMMYFUNCTION("GOOGLETRANSLATE(Q86, ""en"", ""bn"")"),"ছবি7")</f>
        <v>ছবি7</v>
      </c>
      <c r="J86" s="5" t="str">
        <f>IFERROR(__xludf.DUMMYFUNCTION("GOOGLETRANSLATE(A86, ""bn"", ""en"")"),"85")</f>
        <v>85</v>
      </c>
      <c r="K86" s="8" t="s">
        <v>236</v>
      </c>
      <c r="L86" s="8" t="s">
        <v>374</v>
      </c>
      <c r="M86" s="8" t="s">
        <v>375</v>
      </c>
      <c r="N86" s="8" t="s">
        <v>376</v>
      </c>
      <c r="O86" s="8" t="s">
        <v>377</v>
      </c>
      <c r="P86" s="8" t="s">
        <v>376</v>
      </c>
      <c r="Q86" s="7" t="s">
        <v>72</v>
      </c>
    </row>
    <row r="87">
      <c r="A87" s="3">
        <v>86.0</v>
      </c>
      <c r="B87" s="5" t="str">
        <f>IFERROR(__xludf.DUMMYFUNCTION("GOOGLETRANSLATE(K87, ""en"", ""bn"")"),"খেলোয়াড়রা তাদের হাঁটুতে কী পরছে?")</f>
        <v>খেলোয়াড়রা তাদের হাঁটুতে কী পরছে?</v>
      </c>
      <c r="C87" s="5" t="str">
        <f>IFERROR(__xludf.DUMMYFUNCTION("GOOGLETRANSLATE(L87, ""en"", ""bn"")"),"পায়ের হাতা")</f>
        <v>পায়ের হাতা</v>
      </c>
      <c r="D87" s="5" t="str">
        <f>IFERROR(__xludf.DUMMYFUNCTION("GOOGLETRANSLATE(M87, ""en"", ""bn"")"),"মোজা")</f>
        <v>মোজা</v>
      </c>
      <c r="E87" s="5" t="str">
        <f>IFERROR(__xludf.DUMMYFUNCTION("GOOGLETRANSLATE(N87, ""en"", ""bn"")"),"হাঁটু প্যাড")</f>
        <v>হাঁটু প্যাড</v>
      </c>
      <c r="F87" s="5" t="str">
        <f>IFERROR(__xludf.DUMMYFUNCTION("GOOGLETRANSLATE(O87, ""en"", ""bn"")"),"কিছুই না")</f>
        <v>কিছুই না</v>
      </c>
      <c r="G87" s="5" t="str">
        <f>IFERROR(__xludf.DUMMYFUNCTION("GOOGLETRANSLATE(P87, ""en"", ""bn"")"),"হাঁটু প্যাড")</f>
        <v>হাঁটু প্যাড</v>
      </c>
      <c r="H87" s="5" t="str">
        <f>IFERROR(__xludf.DUMMYFUNCTION("GOOGLETRANSLATE(Q87, ""en"", ""bn"")"),"ছবি৮")</f>
        <v>ছবি৮</v>
      </c>
      <c r="J87" s="5" t="str">
        <f>IFERROR(__xludf.DUMMYFUNCTION("GOOGLETRANSLATE(A87, ""bn"", ""en"")"),"86")</f>
        <v>86</v>
      </c>
      <c r="K87" s="8" t="s">
        <v>330</v>
      </c>
      <c r="L87" s="8" t="s">
        <v>378</v>
      </c>
      <c r="M87" s="8" t="s">
        <v>333</v>
      </c>
      <c r="N87" s="8" t="s">
        <v>331</v>
      </c>
      <c r="O87" s="8" t="s">
        <v>332</v>
      </c>
      <c r="P87" s="8" t="s">
        <v>331</v>
      </c>
      <c r="Q87" s="7" t="s">
        <v>81</v>
      </c>
    </row>
    <row r="88">
      <c r="A88" s="3">
        <v>87.0</v>
      </c>
      <c r="B88" s="5" t="str">
        <f>IFERROR(__xludf.DUMMYFUNCTION("GOOGLETRANSLATE(K88, ""en"", ""bn"")"),"খেলোয়াড়দের ইউনিফর্মের রং কি?")</f>
        <v>খেলোয়াড়দের ইউনিফর্মের রং কি?</v>
      </c>
      <c r="C88" s="5" t="str">
        <f>IFERROR(__xludf.DUMMYFUNCTION("GOOGLETRANSLATE(L88, ""en"", ""bn"")"),"লাল এবং কালো")</f>
        <v>লাল এবং কালো</v>
      </c>
      <c r="D88" s="5" t="str">
        <f>IFERROR(__xludf.DUMMYFUNCTION("GOOGLETRANSLATE(M88, ""en"", ""bn"")"),"সবুজ এবং সাদা")</f>
        <v>সবুজ এবং সাদা</v>
      </c>
      <c r="E88" s="5" t="str">
        <f>IFERROR(__xludf.DUMMYFUNCTION("GOOGLETRANSLATE(N88, ""en"", ""bn"")"),"নীল এবং কালো")</f>
        <v>নীল এবং কালো</v>
      </c>
      <c r="F88" s="5" t="str">
        <f>IFERROR(__xludf.DUMMYFUNCTION("GOOGLETRANSLATE(O88, ""en"", ""bn"")"),"হলুদ এবং নীল")</f>
        <v>হলুদ এবং নীল</v>
      </c>
      <c r="G88" s="5" t="str">
        <f>IFERROR(__xludf.DUMMYFUNCTION("GOOGLETRANSLATE(P88, ""en"", ""bn"")"),"নীল এবং কালো")</f>
        <v>নীল এবং কালো</v>
      </c>
      <c r="H88" s="5" t="str">
        <f>IFERROR(__xludf.DUMMYFUNCTION("GOOGLETRANSLATE(Q88, ""en"", ""bn"")"),"ছবি৮")</f>
        <v>ছবি৮</v>
      </c>
      <c r="J88" s="5" t="str">
        <f>IFERROR(__xludf.DUMMYFUNCTION("GOOGLETRANSLATE(A88, ""bn"", ""en"")"),"87")</f>
        <v>87</v>
      </c>
      <c r="K88" s="8" t="s">
        <v>379</v>
      </c>
      <c r="L88" s="8" t="s">
        <v>337</v>
      </c>
      <c r="M88" s="8" t="s">
        <v>338</v>
      </c>
      <c r="N88" s="8" t="s">
        <v>380</v>
      </c>
      <c r="O88" s="8" t="s">
        <v>339</v>
      </c>
      <c r="P88" s="8" t="s">
        <v>380</v>
      </c>
      <c r="Q88" s="7" t="s">
        <v>81</v>
      </c>
    </row>
    <row r="89">
      <c r="A89" s="3">
        <v>88.0</v>
      </c>
      <c r="B89" s="5" t="str">
        <f>IFERROR(__xludf.DUMMYFUNCTION("GOOGLETRANSLATE(K89, ""en"", ""bn"")"),"খেলার মাঠের পটভূমিতে কী আছে?")</f>
        <v>খেলার মাঠের পটভূমিতে কী আছে?</v>
      </c>
      <c r="C89" s="5" t="str">
        <f>IFERROR(__xludf.DUMMYFUNCTION("GOOGLETRANSLATE(L89, ""en"", ""bn"")"),"একটা বড় নদী")</f>
        <v>একটা বড় নদী</v>
      </c>
      <c r="D89" s="5" t="str">
        <f>IFERROR(__xludf.DUMMYFUNCTION("GOOGLETRANSLATE(M89, ""en"", ""bn"")"),"তালগাছ এবং অন্যান্য গাছপালা")</f>
        <v>তালগাছ এবং অন্যান্য গাছপালা</v>
      </c>
      <c r="E89" s="5" t="str">
        <f>IFERROR(__xludf.DUMMYFUNCTION("GOOGLETRANSLATE(N89, ""en"", ""bn"")"),"একটি শহরের আকাশরেখা")</f>
        <v>একটি শহরের আকাশরেখা</v>
      </c>
      <c r="F89" s="5" t="str">
        <f>IFERROR(__xludf.DUMMYFUNCTION("GOOGLETRANSLATE(O89, ""en"", ""bn"")"),"একটি কংক্রিটের দেয়াল")</f>
        <v>একটি কংক্রিটের দেয়াল</v>
      </c>
      <c r="G89" s="5" t="str">
        <f>IFERROR(__xludf.DUMMYFUNCTION("GOOGLETRANSLATE(P89, ""en"", ""bn"")"),"তালগাছ এবং অন্যান্য গাছপালা")</f>
        <v>তালগাছ এবং অন্যান্য গাছপালা</v>
      </c>
      <c r="H89" s="5" t="str">
        <f>IFERROR(__xludf.DUMMYFUNCTION("GOOGLETRANSLATE(Q89, ""en"", ""bn"")"),"ছবি৮")</f>
        <v>ছবি৮</v>
      </c>
      <c r="J89" s="5" t="str">
        <f>IFERROR(__xludf.DUMMYFUNCTION("GOOGLETRANSLATE(A89, ""bn"", ""en"")"),"88")</f>
        <v>88</v>
      </c>
      <c r="K89" s="8" t="s">
        <v>381</v>
      </c>
      <c r="L89" s="8" t="s">
        <v>292</v>
      </c>
      <c r="M89" s="8" t="s">
        <v>382</v>
      </c>
      <c r="N89" s="8" t="s">
        <v>291</v>
      </c>
      <c r="O89" s="8" t="s">
        <v>289</v>
      </c>
      <c r="P89" s="8" t="s">
        <v>382</v>
      </c>
      <c r="Q89" s="7" t="s">
        <v>81</v>
      </c>
    </row>
    <row r="90">
      <c r="A90" s="3">
        <v>89.0</v>
      </c>
      <c r="B90" s="5" t="str">
        <f>IFERROR(__xludf.DUMMYFUNCTION("GOOGLETRANSLATE(K90, ""en"", ""bn"")"),"দূর বাম দিকের দর্শকরা কী করছে?")</f>
        <v>দূর বাম দিকের দর্শকরা কী করছে?</v>
      </c>
      <c r="C90" s="5" t="str">
        <f>IFERROR(__xludf.DUMMYFUNCTION("GOOGLETRANSLATE(L90, ""en"", ""bn"")"),"খেলোয়াড়দের দিকে চিৎকার")</f>
        <v>খেলোয়াড়দের দিকে চিৎকার</v>
      </c>
      <c r="D90" s="5" t="str">
        <f>IFERROR(__xludf.DUMMYFUNCTION("GOOGLETRANSLATE(M90, ""en"", ""bn"")"),"বেঞ্চে বসে")</f>
        <v>বেঞ্চে বসে</v>
      </c>
      <c r="E90" s="5" t="str">
        <f>IFERROR(__xludf.DUMMYFUNCTION("GOOGLETRANSLATE(N90, ""en"", ""bn"")"),"পালিয়ে বেড়াচ্ছে")</f>
        <v>পালিয়ে বেড়াচ্ছে</v>
      </c>
      <c r="F90" s="5" t="str">
        <f>IFERROR(__xludf.DUMMYFUNCTION("GOOGLETRANSLATE(O90, ""en"", ""bn"")"),"ছবি তোলা")</f>
        <v>ছবি তোলা</v>
      </c>
      <c r="G90" s="5" t="str">
        <f>IFERROR(__xludf.DUMMYFUNCTION("GOOGLETRANSLATE(P90, ""en"", ""bn"")"),"বেঞ্চে বসে")</f>
        <v>বেঞ্চে বসে</v>
      </c>
      <c r="H90" s="5" t="str">
        <f>IFERROR(__xludf.DUMMYFUNCTION("GOOGLETRANSLATE(Q90, ""en"", ""bn"")"),"ছবি৮")</f>
        <v>ছবি৮</v>
      </c>
      <c r="J90" s="5" t="str">
        <f>IFERROR(__xludf.DUMMYFUNCTION("GOOGLETRANSLATE(A90, ""bn"", ""en"")"),"89")</f>
        <v>89</v>
      </c>
      <c r="K90" s="8" t="s">
        <v>383</v>
      </c>
      <c r="L90" s="8" t="s">
        <v>384</v>
      </c>
      <c r="M90" s="8" t="s">
        <v>385</v>
      </c>
      <c r="N90" s="8" t="s">
        <v>386</v>
      </c>
      <c r="O90" s="8" t="s">
        <v>387</v>
      </c>
      <c r="P90" s="8" t="s">
        <v>385</v>
      </c>
      <c r="Q90" s="7" t="s">
        <v>81</v>
      </c>
    </row>
    <row r="91">
      <c r="A91" s="3">
        <v>90.0</v>
      </c>
      <c r="B91" s="5" t="str">
        <f>IFERROR(__xludf.DUMMYFUNCTION("GOOGLETRANSLATE(K91, ""en"", ""bn"")"),"প্রতিযোগী ডানদিকে মাটিতে হাত রেখে কী করছেন?")</f>
        <v>প্রতিযোগী ডানদিকে মাটিতে হাত রেখে কী করছেন?</v>
      </c>
      <c r="C91" s="5" t="str">
        <f>IFERROR(__xludf.DUMMYFUNCTION("GOOGLETRANSLATE(L91, ""en"", ""bn"")"),"প্রতিপক্ষকে ট্যাগ করার প্রস্তুতি নিচ্ছেন")</f>
        <v>প্রতিপক্ষকে ট্যাগ করার প্রস্তুতি নিচ্ছেন</v>
      </c>
      <c r="D91" s="5" t="str">
        <f>IFERROR(__xludf.DUMMYFUNCTION("GOOGLETRANSLATE(M91, ""en"", ""bn"")"),"নিচে পড়ে যাচ্ছে")</f>
        <v>নিচে পড়ে যাচ্ছে</v>
      </c>
      <c r="E91" s="5" t="str">
        <f>IFERROR(__xludf.DUMMYFUNCTION("GOOGLETRANSLATE(N91, ""en"", ""bn"")"),"একটি ধাক্কা আপ করছেন")</f>
        <v>একটি ধাক্কা আপ করছেন</v>
      </c>
      <c r="F91" s="5" t="str">
        <f>IFERROR(__xludf.DUMMYFUNCTION("GOOGLETRANSLATE(O91, ""en"", ""bn"")"),"স্ট্রেচিং")</f>
        <v>স্ট্রেচিং</v>
      </c>
      <c r="G91" s="5" t="str">
        <f>IFERROR(__xludf.DUMMYFUNCTION("GOOGLETRANSLATE(P91, ""en"", ""bn"")"),"প্রতিপক্ষকে ট্যাগ করার প্রস্তুতি নিচ্ছেন")</f>
        <v>প্রতিপক্ষকে ট্যাগ করার প্রস্তুতি নিচ্ছেন</v>
      </c>
      <c r="H91" s="5" t="str">
        <f>IFERROR(__xludf.DUMMYFUNCTION("GOOGLETRANSLATE(Q91, ""en"", ""bn"")"),"ছবি৮")</f>
        <v>ছবি৮</v>
      </c>
      <c r="J91" s="5" t="str">
        <f>IFERROR(__xludf.DUMMYFUNCTION("GOOGLETRANSLATE(A91, ""bn"", ""en"")"),"90")</f>
        <v>90</v>
      </c>
      <c r="K91" s="8" t="s">
        <v>388</v>
      </c>
      <c r="L91" s="8" t="s">
        <v>389</v>
      </c>
      <c r="M91" s="8" t="s">
        <v>390</v>
      </c>
      <c r="N91" s="8" t="s">
        <v>391</v>
      </c>
      <c r="O91" s="8" t="s">
        <v>392</v>
      </c>
      <c r="P91" s="8" t="s">
        <v>389</v>
      </c>
      <c r="Q91" s="7" t="s">
        <v>81</v>
      </c>
    </row>
    <row r="92">
      <c r="A92" s="3">
        <v>91.0</v>
      </c>
      <c r="B92" s="5" t="str">
        <f>IFERROR(__xludf.DUMMYFUNCTION("GOOGLETRANSLATE(K92, ""en"", ""bn"")"),"খেলোয়াড়দের জুতা কী?")</f>
        <v>খেলোয়াড়দের জুতা কী?</v>
      </c>
      <c r="C92" s="5" t="str">
        <f>IFERROR(__xludf.DUMMYFUNCTION("GOOGLETRANSLATE(L92, ""en"", ""bn"")"),"স্নিকার্স")</f>
        <v>স্নিকার্স</v>
      </c>
      <c r="D92" s="5" t="str">
        <f>IFERROR(__xludf.DUMMYFUNCTION("GOOGLETRANSLATE(M92, ""en"", ""bn"")"),"স্যান্ডেল")</f>
        <v>স্যান্ডেল</v>
      </c>
      <c r="E92" s="5" t="str">
        <f>IFERROR(__xludf.DUMMYFUNCTION("GOOGLETRANSLATE(N92, ""en"", ""bn"")"),"বুট")</f>
        <v>বুট</v>
      </c>
      <c r="F92" s="5" t="str">
        <f>IFERROR(__xludf.DUMMYFUNCTION("GOOGLETRANSLATE(O92, ""en"", ""bn"")"),"তারা খালি পায়ে।")</f>
        <v>তারা খালি পায়ে।</v>
      </c>
      <c r="G92" s="5" t="str">
        <f>IFERROR(__xludf.DUMMYFUNCTION("GOOGLETRANSLATE(P92, ""en"", ""bn"")"),"তারা খালি পায়ে।")</f>
        <v>তারা খালি পায়ে।</v>
      </c>
      <c r="H92" s="5" t="str">
        <f>IFERROR(__xludf.DUMMYFUNCTION("GOOGLETRANSLATE(Q92, ""en"", ""bn"")"),"ছবি9")</f>
        <v>ছবি9</v>
      </c>
      <c r="J92" s="5" t="str">
        <f>IFERROR(__xludf.DUMMYFUNCTION("GOOGLETRANSLATE(A92, ""bn"", ""en"")"),"91")</f>
        <v>91</v>
      </c>
      <c r="K92" s="8" t="s">
        <v>393</v>
      </c>
      <c r="L92" s="8" t="s">
        <v>394</v>
      </c>
      <c r="M92" s="8" t="s">
        <v>395</v>
      </c>
      <c r="N92" s="8" t="s">
        <v>396</v>
      </c>
      <c r="O92" s="8" t="s">
        <v>397</v>
      </c>
      <c r="P92" s="8" t="s">
        <v>397</v>
      </c>
      <c r="Q92" s="7" t="s">
        <v>88</v>
      </c>
    </row>
    <row r="93">
      <c r="A93" s="3">
        <v>92.0</v>
      </c>
      <c r="B93" s="5" t="str">
        <f>IFERROR(__xludf.DUMMYFUNCTION("GOOGLETRANSLATE(K93, ""en"", ""bn"")"),"বাম দিকের প্রতিযোগী হাত দিয়ে কী করছেন?")</f>
        <v>বাম দিকের প্রতিযোগী হাত দিয়ে কী করছেন?</v>
      </c>
      <c r="C93" s="5" t="str">
        <f>IFERROR(__xludf.DUMMYFUNCTION("GOOGLETRANSLATE(L93, ""en"", ""bn"")"),"ভিড়ের দিকে দোলা দিচ্ছে")</f>
        <v>ভিড়ের দিকে দোলা দিচ্ছে</v>
      </c>
      <c r="D93" s="5" t="str">
        <f>IFERROR(__xludf.DUMMYFUNCTION("GOOGLETRANSLATE(M93, ""en"", ""bn"")"),"প্রতিপক্ষের সঙ্গে করমর্দন")</f>
        <v>প্রতিপক্ষের সঙ্গে করমর্দন</v>
      </c>
      <c r="E93" s="5" t="str">
        <f>IFERROR(__xludf.DUMMYFUNCTION("GOOGLETRANSLATE(N93, ""en"", ""bn"")"),"রক্ষণাত্মক ভঙ্গিতে হাত তুলে ধরে")</f>
        <v>রক্ষণাত্মক ভঙ্গিতে হাত তুলে ধরে</v>
      </c>
      <c r="F93" s="5" t="str">
        <f>IFERROR(__xludf.DUMMYFUNCTION("GOOGLETRANSLATE(O93, ""en"", ""bn"")"),"প্রতিপক্ষকে আঘাত করে")</f>
        <v>প্রতিপক্ষকে আঘাত করে</v>
      </c>
      <c r="G93" s="5" t="str">
        <f>IFERROR(__xludf.DUMMYFUNCTION("GOOGLETRANSLATE(P93, ""en"", ""bn"")"),"রক্ষণাত্মক ভঙ্গিতে হাত তুলে ধরে")</f>
        <v>রক্ষণাত্মক ভঙ্গিতে হাত তুলে ধরে</v>
      </c>
      <c r="H93" s="5" t="str">
        <f>IFERROR(__xludf.DUMMYFUNCTION("GOOGLETRANSLATE(Q93, ""en"", ""bn"")"),"ছবি9")</f>
        <v>ছবি9</v>
      </c>
      <c r="J93" s="5" t="str">
        <f>IFERROR(__xludf.DUMMYFUNCTION("GOOGLETRANSLATE(A93, ""bn"", ""en"")"),"92")</f>
        <v>92</v>
      </c>
      <c r="K93" s="8" t="s">
        <v>398</v>
      </c>
      <c r="L93" s="8" t="s">
        <v>399</v>
      </c>
      <c r="M93" s="8" t="s">
        <v>400</v>
      </c>
      <c r="N93" s="8" t="s">
        <v>401</v>
      </c>
      <c r="O93" s="8" t="s">
        <v>402</v>
      </c>
      <c r="P93" s="8" t="s">
        <v>401</v>
      </c>
      <c r="Q93" s="7" t="s">
        <v>88</v>
      </c>
    </row>
    <row r="94">
      <c r="A94" s="3">
        <v>93.0</v>
      </c>
      <c r="B94" s="5" t="str">
        <f>IFERROR(__xludf.DUMMYFUNCTION("GOOGLETRANSLATE(K94, ""en"", ""bn"")"),"খেলোয়াড়দের ইউনিফর্মের রং কি?")</f>
        <v>খেলোয়াড়দের ইউনিফর্মের রং কি?</v>
      </c>
      <c r="C94" s="5" t="str">
        <f>IFERROR(__xludf.DUMMYFUNCTION("GOOGLETRANSLATE(L94, ""en"", ""bn"")"),"উজ্জ্বল রঙের")</f>
        <v>উজ্জ্বল রঙের</v>
      </c>
      <c r="D94" s="5" t="str">
        <f>IFERROR(__xludf.DUMMYFUNCTION("GOOGLETRANSLATE(M94, ""en"", ""bn"")"),"গাঢ় এবং হালকা ধূসর")</f>
        <v>গাঢ় এবং হালকা ধূসর</v>
      </c>
      <c r="E94" s="5" t="str">
        <f>IFERROR(__xludf.DUMMYFUNCTION("GOOGLETRANSLATE(N94, ""en"", ""bn"")"),"সম্পূর্ণ কালো")</f>
        <v>সম্পূর্ণ কালো</v>
      </c>
      <c r="F94" s="5" t="str">
        <f>IFERROR(__xludf.DUMMYFUNCTION("GOOGLETRANSLATE(O94, ""en"", ""bn"")"),"সব সাদা")</f>
        <v>সব সাদা</v>
      </c>
      <c r="G94" s="5" t="str">
        <f>IFERROR(__xludf.DUMMYFUNCTION("GOOGLETRANSLATE(P94, ""en"", ""bn"")"),"গাঢ় এবং হালকা ধূসর")</f>
        <v>গাঢ় এবং হালকা ধূসর</v>
      </c>
      <c r="H94" s="5" t="str">
        <f>IFERROR(__xludf.DUMMYFUNCTION("GOOGLETRANSLATE(Q94, ""en"", ""bn"")"),"ছবি9")</f>
        <v>ছবি9</v>
      </c>
      <c r="J94" s="5" t="str">
        <f>IFERROR(__xludf.DUMMYFUNCTION("GOOGLETRANSLATE(A94, ""bn"", ""en"")"),"93")</f>
        <v>93</v>
      </c>
      <c r="K94" s="8" t="s">
        <v>379</v>
      </c>
      <c r="L94" s="8" t="s">
        <v>403</v>
      </c>
      <c r="M94" s="8" t="s">
        <v>404</v>
      </c>
      <c r="N94" s="8" t="s">
        <v>361</v>
      </c>
      <c r="O94" s="8" t="s">
        <v>362</v>
      </c>
      <c r="P94" s="8" t="s">
        <v>404</v>
      </c>
      <c r="Q94" s="7" t="s">
        <v>88</v>
      </c>
    </row>
    <row r="95">
      <c r="A95" s="3">
        <v>94.0</v>
      </c>
      <c r="B95" s="5" t="str">
        <f>IFERROR(__xludf.DUMMYFUNCTION("GOOGLETRANSLATE(K95, ""en"", ""bn"")"),"দর্শকরা কী ধরণের পোশাক পরে?")</f>
        <v>দর্শকরা কী ধরণের পোশাক পরে?</v>
      </c>
      <c r="C95" s="5" t="str">
        <f>IFERROR(__xludf.DUMMYFUNCTION("GOOGLETRANSLATE(L95, ""en"", ""bn"")"),"ইউনিফর্ম")</f>
        <v>ইউনিফর্ম</v>
      </c>
      <c r="D95" s="5" t="str">
        <f>IFERROR(__xludf.DUMMYFUNCTION("GOOGLETRANSLATE(M95, ""en"", ""bn"")"),"ঐতিহ্যবাহী এবং নৈমিত্তিক পোশাক")</f>
        <v>ঐতিহ্যবাহী এবং নৈমিত্তিক পোশাক</v>
      </c>
      <c r="E95" s="5" t="str">
        <f>IFERROR(__xludf.DUMMYFUNCTION("GOOGLETRANSLATE(N95, ""en"", ""bn"")"),"আনুষ্ঠানিক স্যুট")</f>
        <v>আনুষ্ঠানিক স্যুট</v>
      </c>
      <c r="F95" s="5" t="str">
        <f>IFERROR(__xludf.DUMMYFUNCTION("GOOGLETRANSLATE(O95, ""en"", ""bn"")"),"শুধুমাত্র ক্রীড়া পরিধান")</f>
        <v>শুধুমাত্র ক্রীড়া পরিধান</v>
      </c>
      <c r="G95" s="5" t="str">
        <f>IFERROR(__xludf.DUMMYFUNCTION("GOOGLETRANSLATE(P95, ""en"", ""bn"")"),"ঐতিহ্যবাহী এবং নৈমিত্তিক পোশাক")</f>
        <v>ঐতিহ্যবাহী এবং নৈমিত্তিক পোশাক</v>
      </c>
      <c r="H95" s="5" t="str">
        <f>IFERROR(__xludf.DUMMYFUNCTION("GOOGLETRANSLATE(Q95, ""en"", ""bn"")"),"ছবি9")</f>
        <v>ছবি9</v>
      </c>
      <c r="J95" s="5" t="str">
        <f>IFERROR(__xludf.DUMMYFUNCTION("GOOGLETRANSLATE(A95, ""bn"", ""en"")"),"94")</f>
        <v>94</v>
      </c>
      <c r="K95" s="8" t="s">
        <v>369</v>
      </c>
      <c r="L95" s="8" t="s">
        <v>370</v>
      </c>
      <c r="M95" s="8" t="s">
        <v>405</v>
      </c>
      <c r="N95" s="8" t="s">
        <v>373</v>
      </c>
      <c r="O95" s="8" t="s">
        <v>372</v>
      </c>
      <c r="P95" s="8" t="s">
        <v>405</v>
      </c>
      <c r="Q95" s="7" t="s">
        <v>88</v>
      </c>
    </row>
    <row r="96">
      <c r="A96" s="3">
        <v>95.0</v>
      </c>
      <c r="B96" s="5" t="str">
        <f>IFERROR(__xludf.DUMMYFUNCTION("GOOGLETRANSLATE(K96, ""en"", ""bn"")"),"ডানদিকের প্রতিযোগী তার শরীর নিয়ে কী করছে?")</f>
        <v>ডানদিকের প্রতিযোগী তার শরীর নিয়ে কী করছে?</v>
      </c>
      <c r="C96" s="5" t="str">
        <f>IFERROR(__xludf.DUMMYFUNCTION("GOOGLETRANSLATE(L96, ""en"", ""bn"")"),"তার ব্যালেন্স ধরার চেষ্টা করছে")</f>
        <v>তার ব্যালেন্স ধরার চেষ্টা করছে</v>
      </c>
      <c r="D96" s="5" t="str">
        <f>IFERROR(__xludf.DUMMYFUNCTION("GOOGLETRANSLATE(M96, ""en"", ""bn"")"),"প্রতিপক্ষের কাছ থেকে পালিয়ে বেড়াচ্ছেন")</f>
        <v>প্রতিপক্ষের কাছ থেকে পালিয়ে বেড়াচ্ছেন</v>
      </c>
      <c r="E96" s="5" t="str">
        <f>IFERROR(__xludf.DUMMYFUNCTION("GOOGLETRANSLATE(N96, ""en"", ""bn"")"),"ট্যাগ হওয়া এড়াতে চেষ্টা করছি")</f>
        <v>ট্যাগ হওয়া এড়াতে চেষ্টা করছি</v>
      </c>
      <c r="F96" s="5" t="str">
        <f>IFERROR(__xludf.DUMMYFUNCTION("GOOGLETRANSLATE(O96, ""en"", ""bn"")"),"সোজা হয়ে দাঁড়িয়ে থাকা")</f>
        <v>সোজা হয়ে দাঁড়িয়ে থাকা</v>
      </c>
      <c r="G96" s="5" t="str">
        <f>IFERROR(__xludf.DUMMYFUNCTION("GOOGLETRANSLATE(P96, ""en"", ""bn"")"),"ট্যাগ হওয়া এড়াতে চেষ্টা করছি")</f>
        <v>ট্যাগ হওয়া এড়াতে চেষ্টা করছি</v>
      </c>
      <c r="H96" s="5" t="str">
        <f>IFERROR(__xludf.DUMMYFUNCTION("GOOGLETRANSLATE(Q96, ""en"", ""bn"")"),"ছবি9")</f>
        <v>ছবি9</v>
      </c>
      <c r="J96" s="5" t="str">
        <f>IFERROR(__xludf.DUMMYFUNCTION("GOOGLETRANSLATE(A96, ""bn"", ""en"")"),"95")</f>
        <v>95</v>
      </c>
      <c r="K96" s="8" t="s">
        <v>406</v>
      </c>
      <c r="L96" s="8" t="s">
        <v>407</v>
      </c>
      <c r="M96" s="8" t="s">
        <v>408</v>
      </c>
      <c r="N96" s="8" t="s">
        <v>409</v>
      </c>
      <c r="O96" s="8" t="s">
        <v>410</v>
      </c>
      <c r="P96" s="8" t="s">
        <v>409</v>
      </c>
      <c r="Q96" s="7" t="s">
        <v>88</v>
      </c>
    </row>
    <row r="97">
      <c r="A97" s="3">
        <v>96.0</v>
      </c>
      <c r="B97" s="5" t="str">
        <f>IFERROR(__xludf.DUMMYFUNCTION("GOOGLETRANSLATE(K97, ""en"", ""bn"")"),"খেলোয়াড়দের পা কী দিয়ে ঢাকা থাকে?")</f>
        <v>খেলোয়াড়দের পা কী দিয়ে ঢাকা থাকে?</v>
      </c>
      <c r="C97" s="5" t="str">
        <f>IFERROR(__xludf.DUMMYFUNCTION("GOOGLETRANSLATE(L97, ""en"", ""bn"")"),"কাদা")</f>
        <v>কাদা</v>
      </c>
      <c r="D97" s="5" t="str">
        <f>IFERROR(__xludf.DUMMYFUNCTION("GOOGLETRANSLATE(M97, ""en"", ""bn"")"),"মোজা")</f>
        <v>মোজা</v>
      </c>
      <c r="E97" s="5" t="str">
        <f>IFERROR(__xludf.DUMMYFUNCTION("GOOGLETRANSLATE(N97, ""en"", ""bn"")"),"জুতা")</f>
        <v>জুতা</v>
      </c>
      <c r="F97" s="5" t="str">
        <f>IFERROR(__xludf.DUMMYFUNCTION("GOOGLETRANSLATE(O97, ""en"", ""bn"")"),"কিছুই না")</f>
        <v>কিছুই না</v>
      </c>
      <c r="G97" s="5" t="str">
        <f>IFERROR(__xludf.DUMMYFUNCTION("GOOGLETRANSLATE(P97, ""en"", ""bn"")"),"কিছুই না")</f>
        <v>কিছুই না</v>
      </c>
      <c r="H97" s="5" t="str">
        <f>IFERROR(__xludf.DUMMYFUNCTION("GOOGLETRANSLATE(Q97, ""en"", ""bn"")"),"ছবি25")</f>
        <v>ছবি25</v>
      </c>
      <c r="J97" s="5" t="str">
        <f>IFERROR(__xludf.DUMMYFUNCTION("GOOGLETRANSLATE(A97, ""bn"", ""en"")"),"96")</f>
        <v>96</v>
      </c>
      <c r="K97" s="8" t="s">
        <v>411</v>
      </c>
      <c r="L97" s="8" t="s">
        <v>299</v>
      </c>
      <c r="M97" s="8" t="s">
        <v>333</v>
      </c>
      <c r="N97" s="8" t="s">
        <v>412</v>
      </c>
      <c r="O97" s="8" t="s">
        <v>332</v>
      </c>
      <c r="P97" s="8" t="s">
        <v>332</v>
      </c>
      <c r="Q97" s="7" t="s">
        <v>198</v>
      </c>
    </row>
    <row r="98">
      <c r="A98" s="3">
        <v>97.0</v>
      </c>
      <c r="B98" s="5" t="str">
        <f>IFERROR(__xludf.DUMMYFUNCTION("GOOGLETRANSLATE(K98, ""en"", ""bn"")"),"ট্যাকলিংয়ে কতজন খেলোয়াড় সক্রিয়ভাবে জড়িত?")</f>
        <v>ট্যাকলিংয়ে কতজন খেলোয়াড় সক্রিয়ভাবে জড়িত?</v>
      </c>
      <c r="C98" s="5" t="str">
        <f>IFERROR(__xludf.DUMMYFUNCTION("GOOGLETRANSLATE(L98, ""en"", ""bn"")"),"2")</f>
        <v>2</v>
      </c>
      <c r="D98" s="5" t="str">
        <f>IFERROR(__xludf.DUMMYFUNCTION("GOOGLETRANSLATE(M98, ""en"", ""bn"")"),"3")</f>
        <v>3</v>
      </c>
      <c r="E98" s="5" t="str">
        <f>IFERROR(__xludf.DUMMYFUNCTION("GOOGLETRANSLATE(N98, ""en"", ""bn"")"),"৪")</f>
        <v>৪</v>
      </c>
      <c r="F98" s="5" t="str">
        <f>IFERROR(__xludf.DUMMYFUNCTION("GOOGLETRANSLATE(O98, ""en"", ""bn"")"),"৫")</f>
        <v>৫</v>
      </c>
      <c r="G98" s="5" t="str">
        <f>IFERROR(__xludf.DUMMYFUNCTION("GOOGLETRANSLATE(P98, ""en"", ""bn"")"),"৫")</f>
        <v>৫</v>
      </c>
      <c r="H98" s="5" t="str">
        <f>IFERROR(__xludf.DUMMYFUNCTION("GOOGLETRANSLATE(Q98, ""en"", ""bn"")"),"ছবি25")</f>
        <v>ছবি25</v>
      </c>
      <c r="J98" s="5" t="str">
        <f>IFERROR(__xludf.DUMMYFUNCTION("GOOGLETRANSLATE(A98, ""bn"", ""en"")"),"97")</f>
        <v>97</v>
      </c>
      <c r="K98" s="8" t="s">
        <v>413</v>
      </c>
      <c r="L98" s="8">
        <v>2.0</v>
      </c>
      <c r="M98" s="8">
        <v>3.0</v>
      </c>
      <c r="N98" s="8">
        <v>4.0</v>
      </c>
      <c r="O98" s="8">
        <v>5.0</v>
      </c>
      <c r="P98" s="8">
        <v>5.0</v>
      </c>
      <c r="Q98" s="7" t="s">
        <v>198</v>
      </c>
    </row>
    <row r="99">
      <c r="A99" s="3">
        <v>98.0</v>
      </c>
      <c r="B99" s="5" t="str">
        <f>IFERROR(__xludf.DUMMYFUNCTION("GOOGLETRANSLATE(K99, ""en"", ""bn"")"),"খেলোয়াড়দের বেশিরভাগই কোন রঙের ইউনিফর্ম পরে?")</f>
        <v>খেলোয়াড়দের বেশিরভাগই কোন রঙের ইউনিফর্ম পরে?</v>
      </c>
      <c r="C99" s="5" t="str">
        <f>IFERROR(__xludf.DUMMYFUNCTION("GOOGLETRANSLATE(L99, ""en"", ""bn"")"),"হলুদ এবং লাল")</f>
        <v>হলুদ এবং লাল</v>
      </c>
      <c r="D99" s="5" t="str">
        <f>IFERROR(__xludf.DUMMYFUNCTION("GOOGLETRANSLATE(M99, ""en"", ""bn"")"),"সবুজ এবং লাল")</f>
        <v>সবুজ এবং লাল</v>
      </c>
      <c r="E99" s="5" t="str">
        <f>IFERROR(__xludf.DUMMYFUNCTION("GOOGLETRANSLATE(N99, ""en"", ""bn"")"),"হলুদ এবং কালো")</f>
        <v>হলুদ এবং কালো</v>
      </c>
      <c r="F99" s="5" t="str">
        <f>IFERROR(__xludf.DUMMYFUNCTION("GOOGLETRANSLATE(O99, ""en"", ""bn"")"),"নীল এবং সাদা")</f>
        <v>নীল এবং সাদা</v>
      </c>
      <c r="G99" s="5" t="str">
        <f>IFERROR(__xludf.DUMMYFUNCTION("GOOGLETRANSLATE(P99, ""en"", ""bn"")"),"হলুদ এবং কালো")</f>
        <v>হলুদ এবং কালো</v>
      </c>
      <c r="H99" s="5" t="str">
        <f>IFERROR(__xludf.DUMMYFUNCTION("GOOGLETRANSLATE(Q99, ""en"", ""bn"")"),"ছবি25")</f>
        <v>ছবি25</v>
      </c>
      <c r="J99" s="5" t="str">
        <f>IFERROR(__xludf.DUMMYFUNCTION("GOOGLETRANSLATE(A99, ""bn"", ""en"")"),"98")</f>
        <v>98</v>
      </c>
      <c r="K99" s="8" t="s">
        <v>414</v>
      </c>
      <c r="L99" s="8" t="s">
        <v>415</v>
      </c>
      <c r="M99" s="8" t="s">
        <v>416</v>
      </c>
      <c r="N99" s="8" t="s">
        <v>417</v>
      </c>
      <c r="O99" s="8" t="s">
        <v>336</v>
      </c>
      <c r="P99" s="8" t="s">
        <v>417</v>
      </c>
      <c r="Q99" s="7" t="s">
        <v>198</v>
      </c>
    </row>
    <row r="100">
      <c r="A100" s="3">
        <v>99.0</v>
      </c>
      <c r="B100" s="5" t="str">
        <f>IFERROR(__xludf.DUMMYFUNCTION("GOOGLETRANSLATE(K100, ""en"", ""bn"")"),"ট্যাকল করার সময় প্রতিপক্ষ কী করছে?")</f>
        <v>ট্যাকল করার সময় প্রতিপক্ষ কী করছে?</v>
      </c>
      <c r="C100" s="5" t="str">
        <f>IFERROR(__xludf.DUMMYFUNCTION("GOOGLETRANSLATE(L100, ""en"", ""bn"")"),"পালানোর চেষ্টা করছে")</f>
        <v>পালানোর চেষ্টা করছে</v>
      </c>
      <c r="D100" s="5" t="str">
        <f>IFERROR(__xludf.DUMMYFUNCTION("GOOGLETRANSLATE(M100, ""en"", ""bn"")"),"স্থির হয়ে দাঁড়িয়ে আছে")</f>
        <v>স্থির হয়ে দাঁড়িয়ে আছে</v>
      </c>
      <c r="E100" s="5" t="str">
        <f>IFERROR(__xludf.DUMMYFUNCTION("GOOGLETRANSLATE(N100, ""en"", ""bn"")"),"দ্রুত দৌড়ানোর চেষ্টা করছি")</f>
        <v>দ্রুত দৌড়ানোর চেষ্টা করছি</v>
      </c>
      <c r="F100" s="5" t="str">
        <f>IFERROR(__xludf.DUMMYFUNCTION("GOOGLETRANSLATE(O100, ""en"", ""bn"")"),"হাসছে")</f>
        <v>হাসছে</v>
      </c>
      <c r="G100" s="5" t="str">
        <f>IFERROR(__xludf.DUMMYFUNCTION("GOOGLETRANSLATE(P100, ""en"", ""bn"")"),"পালানোর চেষ্টা করছে")</f>
        <v>পালানোর চেষ্টা করছে</v>
      </c>
      <c r="H100" s="5" t="str">
        <f>IFERROR(__xludf.DUMMYFUNCTION("GOOGLETRANSLATE(Q100, ""en"", ""bn"")"),"ছবি25")</f>
        <v>ছবি25</v>
      </c>
      <c r="J100" s="5" t="str">
        <f>IFERROR(__xludf.DUMMYFUNCTION("GOOGLETRANSLATE(A100, ""bn"", ""en"")"),"99")</f>
        <v>99</v>
      </c>
      <c r="K100" s="8" t="s">
        <v>418</v>
      </c>
      <c r="L100" s="8" t="s">
        <v>419</v>
      </c>
      <c r="M100" s="8" t="s">
        <v>279</v>
      </c>
      <c r="N100" s="8" t="s">
        <v>420</v>
      </c>
      <c r="O100" s="8" t="s">
        <v>421</v>
      </c>
      <c r="P100" s="8" t="s">
        <v>419</v>
      </c>
      <c r="Q100" s="7" t="s">
        <v>198</v>
      </c>
    </row>
    <row r="101">
      <c r="A101" s="3">
        <v>100.0</v>
      </c>
      <c r="B101" s="5" t="str">
        <f>IFERROR(__xludf.DUMMYFUNCTION("GOOGLETRANSLATE(K101, ""en"", ""bn"")"),"খেলোয়াড়দের সম্ভাব্য বয়সসীমা কত?")</f>
        <v>খেলোয়াড়দের সম্ভাব্য বয়সসীমা কত?</v>
      </c>
      <c r="C101" s="5" t="str">
        <f>IFERROR(__xludf.DUMMYFUNCTION("GOOGLETRANSLATE(L101, ""en"", ""bn"")"),"৫-১০")</f>
        <v>৫-১০</v>
      </c>
      <c r="D101" s="5" t="str">
        <f>IFERROR(__xludf.DUMMYFUNCTION("GOOGLETRANSLATE(M101, ""en"", ""bn"")"),"১০-১৫")</f>
        <v>১০-১৫</v>
      </c>
      <c r="E101" s="5" t="str">
        <f>IFERROR(__xludf.DUMMYFUNCTION("GOOGLETRANSLATE(N101, ""en"", ""bn"")"),"২০-৩০")</f>
        <v>২০-৩০</v>
      </c>
      <c r="F101" s="5" t="str">
        <f>IFERROR(__xludf.DUMMYFUNCTION("GOOGLETRANSLATE(O101, ""en"", ""bn"")"),"30-40")</f>
        <v>30-40</v>
      </c>
      <c r="G101" s="5" t="str">
        <f>IFERROR(__xludf.DUMMYFUNCTION("GOOGLETRANSLATE(P101, ""en"", ""bn"")"),"১০-১৫")</f>
        <v>১০-১৫</v>
      </c>
      <c r="H101" s="5" t="str">
        <f>IFERROR(__xludf.DUMMYFUNCTION("GOOGLETRANSLATE(Q101, ""en"", ""bn"")"),"ছবি25")</f>
        <v>ছবি25</v>
      </c>
      <c r="J101" s="5" t="str">
        <f>IFERROR(__xludf.DUMMYFUNCTION("GOOGLETRANSLATE(A101, ""bn"", ""en"")"),"100")</f>
        <v>100</v>
      </c>
      <c r="K101" s="8" t="s">
        <v>422</v>
      </c>
      <c r="L101" s="10">
        <v>45787.0</v>
      </c>
      <c r="M101" s="10">
        <v>45945.0</v>
      </c>
      <c r="N101" s="8" t="s">
        <v>423</v>
      </c>
      <c r="O101" s="8" t="s">
        <v>424</v>
      </c>
      <c r="P101" s="10">
        <v>45945.0</v>
      </c>
      <c r="Q101" s="7" t="s">
        <v>198</v>
      </c>
    </row>
    <row r="102">
      <c r="A102" s="3">
        <v>101.0</v>
      </c>
      <c r="B102" s="5" t="str">
        <f>IFERROR(__xludf.DUMMYFUNCTION("GOOGLETRANSLATE(K102, ""en"", ""bn"")"),"খেলোয়াড়দের জুতা কী?")</f>
        <v>খেলোয়াড়দের জুতা কী?</v>
      </c>
      <c r="C102" s="5" t="str">
        <f>IFERROR(__xludf.DUMMYFUNCTION("GOOGLETRANSLATE(L102, ""en"", ""bn"")"),"স্নিকার্স")</f>
        <v>স্নিকার্স</v>
      </c>
      <c r="D102" s="5" t="str">
        <f>IFERROR(__xludf.DUMMYFUNCTION("GOOGLETRANSLATE(M102, ""en"", ""bn"")"),"স্যান্ডেল")</f>
        <v>স্যান্ডেল</v>
      </c>
      <c r="E102" s="5" t="str">
        <f>IFERROR(__xludf.DUMMYFUNCTION("GOOGLETRANSLATE(N102, ""en"", ""bn"")"),"বুট")</f>
        <v>বুট</v>
      </c>
      <c r="F102" s="5" t="str">
        <f>IFERROR(__xludf.DUMMYFUNCTION("GOOGLETRANSLATE(O102, ""en"", ""bn"")"),"তারা খালি পায়ে।")</f>
        <v>তারা খালি পায়ে।</v>
      </c>
      <c r="G102" s="5" t="str">
        <f>IFERROR(__xludf.DUMMYFUNCTION("GOOGLETRANSLATE(P102, ""en"", ""bn"")"),"তারা খালি পায়ে।")</f>
        <v>তারা খালি পায়ে।</v>
      </c>
      <c r="H102" s="5" t="str">
        <f>IFERROR(__xludf.DUMMYFUNCTION("GOOGLETRANSLATE(Q102, ""en"", ""bn"")"),"ছবি২২")</f>
        <v>ছবি২২</v>
      </c>
      <c r="J102" s="5" t="str">
        <f>IFERROR(__xludf.DUMMYFUNCTION("GOOGLETRANSLATE(A102, ""bn"", ""en"")"),"101")</f>
        <v>101</v>
      </c>
      <c r="K102" s="8" t="s">
        <v>393</v>
      </c>
      <c r="L102" s="8" t="s">
        <v>394</v>
      </c>
      <c r="M102" s="8" t="s">
        <v>395</v>
      </c>
      <c r="N102" s="8" t="s">
        <v>396</v>
      </c>
      <c r="O102" s="8" t="s">
        <v>397</v>
      </c>
      <c r="P102" s="8" t="s">
        <v>397</v>
      </c>
      <c r="Q102" s="7" t="s">
        <v>178</v>
      </c>
    </row>
    <row r="103">
      <c r="A103" s="3">
        <v>102.0</v>
      </c>
      <c r="B103" s="5" t="str">
        <f>IFERROR(__xludf.DUMMYFUNCTION("GOOGLETRANSLATE(K103, ""en"", ""bn"")"),"খেলার পৃষ্ঠটি কী দিয়ে তৈরি?")</f>
        <v>খেলার পৃষ্ঠটি কী দিয়ে তৈরি?</v>
      </c>
      <c r="C103" s="5" t="str">
        <f>IFERROR(__xludf.DUMMYFUNCTION("GOOGLETRANSLATE(L103, ""en"", ""bn"")"),"ঘাস")</f>
        <v>ঘাস</v>
      </c>
      <c r="D103" s="5" t="str">
        <f>IFERROR(__xludf.DUMMYFUNCTION("GOOGLETRANSLATE(M103, ""en"", ""bn"")"),"জল")</f>
        <v>জল</v>
      </c>
      <c r="E103" s="5" t="str">
        <f>IFERROR(__xludf.DUMMYFUNCTION("GOOGLETRANSLATE(N103, ""en"", ""bn"")"),"বালি")</f>
        <v>বালি</v>
      </c>
      <c r="F103" s="5" t="str">
        <f>IFERROR(__xludf.DUMMYFUNCTION("GOOGLETRANSLATE(O103, ""en"", ""bn"")"),"কংক্রিট")</f>
        <v>কংক্রিট</v>
      </c>
      <c r="G103" s="5" t="str">
        <f>IFERROR(__xludf.DUMMYFUNCTION("GOOGLETRANSLATE(P103, ""en"", ""bn"")"),"বালি")</f>
        <v>বালি</v>
      </c>
      <c r="H103" s="5" t="str">
        <f>IFERROR(__xludf.DUMMYFUNCTION("GOOGLETRANSLATE(Q103, ""en"", ""bn"")"),"ছবি২২")</f>
        <v>ছবি২২</v>
      </c>
      <c r="J103" s="5" t="str">
        <f>IFERROR(__xludf.DUMMYFUNCTION("GOOGLETRANSLATE(A103, ""bn"", ""en"")"),"102")</f>
        <v>102</v>
      </c>
      <c r="K103" s="8" t="s">
        <v>425</v>
      </c>
      <c r="L103" s="8" t="s">
        <v>302</v>
      </c>
      <c r="M103" s="8" t="s">
        <v>301</v>
      </c>
      <c r="N103" s="8" t="s">
        <v>300</v>
      </c>
      <c r="O103" s="8" t="s">
        <v>426</v>
      </c>
      <c r="P103" s="8" t="s">
        <v>300</v>
      </c>
      <c r="Q103" s="7" t="s">
        <v>178</v>
      </c>
    </row>
    <row r="104">
      <c r="A104" s="3">
        <v>103.0</v>
      </c>
      <c r="B104" s="5" t="str">
        <f>IFERROR(__xludf.DUMMYFUNCTION("GOOGLETRANSLATE(K104, ""en"", ""bn"")"),"ছবির ডান পাশে দলের জার্সির মূল রং কী?")</f>
        <v>ছবির ডান পাশে দলের জার্সির মূল রং কী?</v>
      </c>
      <c r="C104" s="5" t="str">
        <f>IFERROR(__xludf.DUMMYFUNCTION("GOOGLETRANSLATE(L104, ""en"", ""bn"")"),"লাল এবং সবুজ")</f>
        <v>লাল এবং সবুজ</v>
      </c>
      <c r="D104" s="5" t="str">
        <f>IFERROR(__xludf.DUMMYFUNCTION("GOOGLETRANSLATE(M104, ""en"", ""bn"")"),"নীল এবং লাল")</f>
        <v>নীল এবং লাল</v>
      </c>
      <c r="E104" s="5" t="str">
        <f>IFERROR(__xludf.DUMMYFUNCTION("GOOGLETRANSLATE(N104, ""en"", ""bn"")"),"হলুদ এবং কালো")</f>
        <v>হলুদ এবং কালো</v>
      </c>
      <c r="F104" s="5" t="str">
        <f>IFERROR(__xludf.DUMMYFUNCTION("GOOGLETRANSLATE(O104, ""en"", ""bn"")"),"সাদা এবং লাল")</f>
        <v>সাদা এবং লাল</v>
      </c>
      <c r="G104" s="5" t="str">
        <f>IFERROR(__xludf.DUMMYFUNCTION("GOOGLETRANSLATE(P104, ""en"", ""bn"")"),"লাল এবং সবুজ")</f>
        <v>লাল এবং সবুজ</v>
      </c>
      <c r="H104" s="5" t="str">
        <f>IFERROR(__xludf.DUMMYFUNCTION("GOOGLETRANSLATE(Q104, ""en"", ""bn"")"),"ছবি২২")</f>
        <v>ছবি২২</v>
      </c>
      <c r="J104" s="5" t="str">
        <f>IFERROR(__xludf.DUMMYFUNCTION("GOOGLETRANSLATE(A104, ""bn"", ""en"")"),"103")</f>
        <v>103</v>
      </c>
      <c r="K104" s="8" t="s">
        <v>427</v>
      </c>
      <c r="L104" s="8" t="s">
        <v>428</v>
      </c>
      <c r="M104" s="8" t="s">
        <v>429</v>
      </c>
      <c r="N104" s="8" t="s">
        <v>417</v>
      </c>
      <c r="O104" s="8" t="s">
        <v>430</v>
      </c>
      <c r="P104" s="8" t="s">
        <v>428</v>
      </c>
      <c r="Q104" s="7" t="s">
        <v>178</v>
      </c>
    </row>
    <row r="105">
      <c r="A105" s="3">
        <v>104.0</v>
      </c>
      <c r="B105" s="5" t="str">
        <f>IFERROR(__xludf.DUMMYFUNCTION("GOOGLETRANSLATE(K105, ""en"", ""bn"")"),"ছবিতে খেলোয়াড়দের সামগ্রিক লিঙ্গ কত?")</f>
        <v>ছবিতে খেলোয়াড়দের সামগ্রিক লিঙ্গ কত?</v>
      </c>
      <c r="C105" s="5" t="str">
        <f>IFERROR(__xludf.DUMMYFUNCTION("GOOGLETRANSLATE(L105, ""en"", ""bn"")"),"শুধুমাত্র পুরুষরা")</f>
        <v>শুধুমাত্র পুরুষরা</v>
      </c>
      <c r="D105" s="5" t="str">
        <f>IFERROR(__xludf.DUMMYFUNCTION("GOOGLETRANSLATE(M105, ""en"", ""bn"")"),"শুধু নারী")</f>
        <v>শুধু নারী</v>
      </c>
      <c r="E105" s="5" t="str">
        <f>IFERROR(__xludf.DUMMYFUNCTION("GOOGLETRANSLATE(N105, ""en"", ""bn"")"),"মিশ্র পুরুষ এবং মহিলা")</f>
        <v>মিশ্র পুরুষ এবং মহিলা</v>
      </c>
      <c r="F105" s="5" t="str">
        <f>IFERROR(__xludf.DUMMYFUNCTION("GOOGLETRANSLATE(O105, ""en"", ""bn"")"),"ছবি থেকে স্পষ্ট নয়")</f>
        <v>ছবি থেকে স্পষ্ট নয়</v>
      </c>
      <c r="G105" s="5" t="str">
        <f>IFERROR(__xludf.DUMMYFUNCTION("GOOGLETRANSLATE(P105, ""en"", ""bn"")"),"শুধু নারী")</f>
        <v>শুধু নারী</v>
      </c>
      <c r="H105" s="5" t="str">
        <f>IFERROR(__xludf.DUMMYFUNCTION("GOOGLETRANSLATE(Q105, ""en"", ""bn"")"),"ছবি২২")</f>
        <v>ছবি২২</v>
      </c>
      <c r="J105" s="5" t="str">
        <f>IFERROR(__xludf.DUMMYFUNCTION("GOOGLETRANSLATE(A105, ""bn"", ""en"")"),"104")</f>
        <v>104</v>
      </c>
      <c r="K105" s="8" t="s">
        <v>431</v>
      </c>
      <c r="L105" s="8" t="s">
        <v>432</v>
      </c>
      <c r="M105" s="8" t="s">
        <v>433</v>
      </c>
      <c r="N105" s="8" t="s">
        <v>434</v>
      </c>
      <c r="O105" s="8" t="s">
        <v>435</v>
      </c>
      <c r="P105" s="8" t="s">
        <v>433</v>
      </c>
      <c r="Q105" s="7" t="s">
        <v>178</v>
      </c>
    </row>
    <row r="106">
      <c r="A106" s="3">
        <v>105.0</v>
      </c>
      <c r="B106" s="5" t="str">
        <f>IFERROR(__xludf.DUMMYFUNCTION("GOOGLETRANSLATE(K106, ""en"", ""bn"")"),"যে খেলোয়াড় ক্যামেরার দিকে মুখ করে আছেন, তার জার্সির পিছনে কত নম্বর লেখা আছে?")</f>
        <v>যে খেলোয়াড় ক্যামেরার দিকে মুখ করে আছেন, তার জার্সির পিছনে কত নম্বর লেখা আছে?</v>
      </c>
      <c r="C106" s="5" t="str">
        <f>IFERROR(__xludf.DUMMYFUNCTION("GOOGLETRANSLATE(L106, ""en"", ""bn"")"),"1")</f>
        <v>1</v>
      </c>
      <c r="D106" s="5" t="str">
        <f>IFERROR(__xludf.DUMMYFUNCTION("GOOGLETRANSLATE(M106, ""en"", ""bn"")"),"3")</f>
        <v>3</v>
      </c>
      <c r="E106" s="5" t="str">
        <f>IFERROR(__xludf.DUMMYFUNCTION("GOOGLETRANSLATE(N106, ""en"", ""bn"")"),"৫")</f>
        <v>৫</v>
      </c>
      <c r="F106" s="5" t="str">
        <f>IFERROR(__xludf.DUMMYFUNCTION("GOOGLETRANSLATE(O106, ""en"", ""bn"")"),"৭")</f>
        <v>৭</v>
      </c>
      <c r="G106" s="5" t="str">
        <f>IFERROR(__xludf.DUMMYFUNCTION("GOOGLETRANSLATE(P106, ""en"", ""bn"")"),"৫")</f>
        <v>৫</v>
      </c>
      <c r="H106" s="5" t="str">
        <f>IFERROR(__xludf.DUMMYFUNCTION("GOOGLETRANSLATE(Q106, ""en"", ""bn"")"),"ছবি২২")</f>
        <v>ছবি২২</v>
      </c>
      <c r="J106" s="5" t="str">
        <f>IFERROR(__xludf.DUMMYFUNCTION("GOOGLETRANSLATE(A106, ""bn"", ""en"")"),"105")</f>
        <v>105</v>
      </c>
      <c r="K106" s="8" t="s">
        <v>436</v>
      </c>
      <c r="L106" s="8">
        <v>1.0</v>
      </c>
      <c r="M106" s="8">
        <v>3.0</v>
      </c>
      <c r="N106" s="8">
        <v>5.0</v>
      </c>
      <c r="O106" s="8">
        <v>7.0</v>
      </c>
      <c r="P106" s="8">
        <v>5.0</v>
      </c>
      <c r="Q106" s="9" t="s">
        <v>178</v>
      </c>
    </row>
    <row r="107">
      <c r="A107" s="3">
        <v>106.0</v>
      </c>
      <c r="B107" s="5" t="str">
        <f>IFERROR(__xludf.DUMMYFUNCTION("GOOGLETRANSLATE(K107, ""en"", ""bn"")"),"খেলোয়াড়দের জুতা কী?")</f>
        <v>খেলোয়াড়দের জুতা কী?</v>
      </c>
      <c r="C107" s="5" t="str">
        <f>IFERROR(__xludf.DUMMYFUNCTION("GOOGLETRANSLATE(L107, ""en"", ""bn"")"),"স্নিকার্স")</f>
        <v>স্নিকার্স</v>
      </c>
      <c r="D107" s="5" t="str">
        <f>IFERROR(__xludf.DUMMYFUNCTION("GOOGLETRANSLATE(M107, ""en"", ""bn"")"),"স্যান্ডেল")</f>
        <v>স্যান্ডেল</v>
      </c>
      <c r="E107" s="5" t="str">
        <f>IFERROR(__xludf.DUMMYFUNCTION("GOOGLETRANSLATE(N107, ""en"", ""bn"")"),"বুট")</f>
        <v>বুট</v>
      </c>
      <c r="F107" s="5" t="str">
        <f>IFERROR(__xludf.DUMMYFUNCTION("GOOGLETRANSLATE(O107, ""en"", ""bn"")"),"তারা খালি পায়ে।")</f>
        <v>তারা খালি পায়ে।</v>
      </c>
      <c r="G107" s="5" t="str">
        <f>IFERROR(__xludf.DUMMYFUNCTION("GOOGLETRANSLATE(P107, ""en"", ""bn"")"),"তারা খালি পায়ে।")</f>
        <v>তারা খালি পায়ে।</v>
      </c>
      <c r="H107" s="5" t="str">
        <f>IFERROR(__xludf.DUMMYFUNCTION("GOOGLETRANSLATE(Q107, ""en"", ""bn"")"),"ছবি16")</f>
        <v>ছবি16</v>
      </c>
      <c r="J107" s="5" t="str">
        <f>IFERROR(__xludf.DUMMYFUNCTION("GOOGLETRANSLATE(A107, ""bn"", ""en"")"),"106")</f>
        <v>106</v>
      </c>
      <c r="K107" s="8" t="s">
        <v>393</v>
      </c>
      <c r="L107" s="8" t="s">
        <v>394</v>
      </c>
      <c r="M107" s="8" t="s">
        <v>395</v>
      </c>
      <c r="N107" s="8" t="s">
        <v>396</v>
      </c>
      <c r="O107" s="8" t="s">
        <v>397</v>
      </c>
      <c r="P107" s="8" t="s">
        <v>397</v>
      </c>
      <c r="Q107" s="9" t="s">
        <v>149</v>
      </c>
    </row>
    <row r="108">
      <c r="A108" s="3">
        <v>107.0</v>
      </c>
      <c r="B108" s="5" t="str">
        <f>IFERROR(__xludf.DUMMYFUNCTION("GOOGLETRANSLATE(K108, ""en"", ""bn"")"),"মাঠে প্রতিযোগী কী করছেন?")</f>
        <v>মাঠে প্রতিযোগী কী করছেন?</v>
      </c>
      <c r="C108" s="5" t="str">
        <f>IFERROR(__xludf.DUMMYFUNCTION("GOOGLETRANSLATE(L108, ""en"", ""bn"")"),"বিশ্রাম নেওয়ার জন্য শুয়ে থাকা")</f>
        <v>বিশ্রাম নেওয়ার জন্য শুয়ে থাকা</v>
      </c>
      <c r="D108" s="5" t="str">
        <f>IFERROR(__xludf.DUMMYFUNCTION("GOOGLETRANSLATE(M108, ""en"", ""bn"")"),"প্রতিপক্ষদের হাত থেকে দূরে সরে যাওয়ার চেষ্টা করা")</f>
        <v>প্রতিপক্ষদের হাত থেকে দূরে সরে যাওয়ার চেষ্টা করা</v>
      </c>
      <c r="E108" s="5" t="str">
        <f>IFERROR(__xludf.DUMMYFUNCTION("GOOGLETRANSLATE(N108, ""en"", ""bn"")"),"একজন খেলোয়াড়কে মোকাবেলা করার চেষ্টা করা হচ্ছে")</f>
        <v>একজন খেলোয়াড়কে মোকাবেলা করার চেষ্টা করা হচ্ছে</v>
      </c>
      <c r="F108" s="5" t="str">
        <f>IFERROR(__xludf.DUMMYFUNCTION("GOOGLETRANSLATE(O108, ""en"", ""bn"")"),"পয়েন্ট স্কোর করার চেষ্টা করছে")</f>
        <v>পয়েন্ট স্কোর করার চেষ্টা করছে</v>
      </c>
      <c r="G108" s="5" t="str">
        <f>IFERROR(__xludf.DUMMYFUNCTION("GOOGLETRANSLATE(P108, ""en"", ""bn"")"),"প্রতিপক্ষদের হাত থেকে দূরে সরে যাওয়ার চেষ্টা করা")</f>
        <v>প্রতিপক্ষদের হাত থেকে দূরে সরে যাওয়ার চেষ্টা করা</v>
      </c>
      <c r="H108" s="5" t="str">
        <f>IFERROR(__xludf.DUMMYFUNCTION("GOOGLETRANSLATE(Q108, ""en"", ""bn"")"),"ছবি16")</f>
        <v>ছবি16</v>
      </c>
      <c r="J108" s="5" t="str">
        <f>IFERROR(__xludf.DUMMYFUNCTION("GOOGLETRANSLATE(A108, ""bn"", ""en"")"),"107")</f>
        <v>107</v>
      </c>
      <c r="K108" s="8" t="s">
        <v>437</v>
      </c>
      <c r="L108" s="8" t="s">
        <v>438</v>
      </c>
      <c r="M108" s="8" t="s">
        <v>439</v>
      </c>
      <c r="N108" s="8" t="s">
        <v>366</v>
      </c>
      <c r="O108" s="8" t="s">
        <v>440</v>
      </c>
      <c r="P108" s="8" t="s">
        <v>439</v>
      </c>
      <c r="Q108" s="9" t="s">
        <v>149</v>
      </c>
    </row>
    <row r="109">
      <c r="A109" s="3">
        <v>108.0</v>
      </c>
      <c r="B109" s="5" t="str">
        <f>IFERROR(__xludf.DUMMYFUNCTION("GOOGLETRANSLATE(K109, ""en"", ""bn"")"),"ছবির সামগ্রিক সুর কী?")</f>
        <v>ছবির সামগ্রিক সুর কী?</v>
      </c>
      <c r="C109" s="5" t="str">
        <f>IFERROR(__xludf.DUMMYFUNCTION("GOOGLETRANSLATE(L109, ""en"", ""bn"")"),"উজ্জ্বল এবং রঙিন")</f>
        <v>উজ্জ্বল এবং রঙিন</v>
      </c>
      <c r="D109" s="5" t="str">
        <f>IFERROR(__xludf.DUMMYFUNCTION("GOOGLETRANSLATE(M109, ""en"", ""bn"")"),"হাস্যরসাত্মক")</f>
        <v>হাস্যরসাত্মক</v>
      </c>
      <c r="E109" s="5" t="str">
        <f>IFERROR(__xludf.DUMMYFUNCTION("GOOGLETRANSLATE(N109, ""en"", ""bn"")"),"নাটকীয় এবং তীব্র")</f>
        <v>নাটকীয় এবং তীব্র</v>
      </c>
      <c r="F109" s="5" t="str">
        <f>IFERROR(__xludf.DUMMYFUNCTION("GOOGLETRANSLATE(O109, ""en"", ""bn"")"),"নিস্তেজ এবং অবাস্তব")</f>
        <v>নিস্তেজ এবং অবাস্তব</v>
      </c>
      <c r="G109" s="5" t="str">
        <f>IFERROR(__xludf.DUMMYFUNCTION("GOOGLETRANSLATE(P109, ""en"", ""bn"")"),"নাটকীয় এবং তীব্র")</f>
        <v>নাটকীয় এবং তীব্র</v>
      </c>
      <c r="H109" s="5" t="str">
        <f>IFERROR(__xludf.DUMMYFUNCTION("GOOGLETRANSLATE(Q109, ""en"", ""bn"")"),"ছবি16")</f>
        <v>ছবি16</v>
      </c>
      <c r="J109" s="5" t="str">
        <f>IFERROR(__xludf.DUMMYFUNCTION("GOOGLETRANSLATE(A109, ""bn"", ""en"")"),"108")</f>
        <v>108</v>
      </c>
      <c r="K109" s="8" t="s">
        <v>441</v>
      </c>
      <c r="L109" s="8" t="s">
        <v>442</v>
      </c>
      <c r="M109" s="8" t="s">
        <v>443</v>
      </c>
      <c r="N109" s="8" t="s">
        <v>444</v>
      </c>
      <c r="O109" s="8" t="s">
        <v>445</v>
      </c>
      <c r="P109" s="8" t="s">
        <v>444</v>
      </c>
      <c r="Q109" s="9" t="s">
        <v>149</v>
      </c>
    </row>
    <row r="110">
      <c r="A110" s="3">
        <v>109.0</v>
      </c>
      <c r="B110" s="5" t="str">
        <f>IFERROR(__xludf.DUMMYFUNCTION("GOOGLETRANSLATE(K110, ""en"", ""bn"")"),"খেলার মাঠ কেমন?")</f>
        <v>খেলার মাঠ কেমন?</v>
      </c>
      <c r="C110" s="5" t="str">
        <f>IFERROR(__xludf.DUMMYFUNCTION("GOOGLETRANSLATE(L110, ""en"", ""bn"")"),"ভেজা এবং কর্দমাক্ত")</f>
        <v>ভেজা এবং কর্দমাক্ত</v>
      </c>
      <c r="D110" s="5" t="str">
        <f>IFERROR(__xludf.DUMMYFUNCTION("GOOGLETRANSLATE(M110, ""en"", ""bn"")"),"ঘাসযুক্ত")</f>
        <v>ঘাসযুক্ত</v>
      </c>
      <c r="E110" s="5" t="str">
        <f>IFERROR(__xludf.DUMMYFUNCTION("GOOGLETRANSLATE(N110, ""en"", ""bn"")"),"শুষ্ক এবং বালুকাময়")</f>
        <v>শুষ্ক এবং বালুকাময়</v>
      </c>
      <c r="F110" s="5" t="str">
        <f>IFERROR(__xludf.DUMMYFUNCTION("GOOGLETRANSLATE(O110, ""en"", ""bn"")"),"কংক্রিট দিয়ে পাকা")</f>
        <v>কংক্রিট দিয়ে পাকা</v>
      </c>
      <c r="G110" s="5" t="str">
        <f>IFERROR(__xludf.DUMMYFUNCTION("GOOGLETRANSLATE(P110, ""en"", ""bn"")"),"শুষ্ক এবং বালুকাময়")</f>
        <v>শুষ্ক এবং বালুকাময়</v>
      </c>
      <c r="H110" s="5" t="str">
        <f>IFERROR(__xludf.DUMMYFUNCTION("GOOGLETRANSLATE(Q110, ""en"", ""bn"")"),"ছবি16")</f>
        <v>ছবি16</v>
      </c>
      <c r="J110" s="5" t="str">
        <f>IFERROR(__xludf.DUMMYFUNCTION("GOOGLETRANSLATE(A110, ""bn"", ""en"")"),"109")</f>
        <v>109</v>
      </c>
      <c r="K110" s="8" t="s">
        <v>446</v>
      </c>
      <c r="L110" s="8" t="s">
        <v>375</v>
      </c>
      <c r="M110" s="8" t="s">
        <v>447</v>
      </c>
      <c r="N110" s="8" t="s">
        <v>448</v>
      </c>
      <c r="O110" s="8" t="s">
        <v>374</v>
      </c>
      <c r="P110" s="8" t="s">
        <v>448</v>
      </c>
      <c r="Q110" s="9" t="s">
        <v>149</v>
      </c>
    </row>
    <row r="111">
      <c r="A111" s="3">
        <v>110.0</v>
      </c>
      <c r="B111" s="5" t="str">
        <f>IFERROR(__xludf.DUMMYFUNCTION("GOOGLETRANSLATE(K111, ""en"", ""bn"")"),"প্রতিযোগীরা কি ধরনের পোশাক পরেছেন?")</f>
        <v>প্রতিযোগীরা কি ধরনের পোশাক পরেছেন?</v>
      </c>
      <c r="C111" s="5" t="str">
        <f>IFERROR(__xludf.DUMMYFUNCTION("GOOGLETRANSLATE(L111, ""en"", ""bn"")"),"ঐতিহ্যবাহী শর্টস")</f>
        <v>ঐতিহ্যবাহী শর্টস</v>
      </c>
      <c r="D111" s="5" t="str">
        <f>IFERROR(__xludf.DUMMYFUNCTION("GOOGLETRANSLATE(M111, ""en"", ""bn"")"),"সম্পূর্ণ ইউনিফর্ম")</f>
        <v>সম্পূর্ণ ইউনিফর্ম</v>
      </c>
      <c r="E111" s="5" t="str">
        <f>IFERROR(__xludf.DUMMYFUNCTION("GOOGLETRANSLATE(N111, ""en"", ""bn"")"),"ক্যাজুয়াল শর্টস এবং স্লিভলেস টপস")</f>
        <v>ক্যাজুয়াল শর্টস এবং স্লিভলেস টপস</v>
      </c>
      <c r="F111" s="5" t="str">
        <f>IFERROR(__xludf.DUMMYFUNCTION("GOOGLETRANSLATE(O111, ""en"", ""bn"")"),"শার্ট এবং প্যান্টের মতো নিয়মিত পোশাক")</f>
        <v>শার্ট এবং প্যান্টের মতো নিয়মিত পোশাক</v>
      </c>
      <c r="G111" s="5" t="str">
        <f>IFERROR(__xludf.DUMMYFUNCTION("GOOGLETRANSLATE(P111, ""en"", ""bn"")"),"ক্যাজুয়াল শর্টস এবং স্লিভলেস টপস")</f>
        <v>ক্যাজুয়াল শর্টস এবং স্লিভলেস টপস</v>
      </c>
      <c r="H111" s="5" t="str">
        <f>IFERROR(__xludf.DUMMYFUNCTION("GOOGLETRANSLATE(Q111, ""en"", ""bn"")"),"ছবি16")</f>
        <v>ছবি16</v>
      </c>
      <c r="J111" s="5" t="str">
        <f>IFERROR(__xludf.DUMMYFUNCTION("GOOGLETRANSLATE(A111, ""bn"", ""en"")"),"110")</f>
        <v>110</v>
      </c>
      <c r="K111" s="8" t="s">
        <v>449</v>
      </c>
      <c r="L111" s="8" t="s">
        <v>450</v>
      </c>
      <c r="M111" s="8" t="s">
        <v>451</v>
      </c>
      <c r="N111" s="8" t="s">
        <v>452</v>
      </c>
      <c r="O111" s="8" t="s">
        <v>453</v>
      </c>
      <c r="P111" s="8" t="s">
        <v>452</v>
      </c>
      <c r="Q111" s="9" t="s">
        <v>149</v>
      </c>
      <c r="R111" s="11"/>
    </row>
    <row r="112">
      <c r="A112" s="3">
        <v>111.0</v>
      </c>
      <c r="B112" s="5" t="str">
        <f>IFERROR(__xludf.DUMMYFUNCTION("GOOGLETRANSLATE(K112, ""en"", ""bn"")"),"বাতাসে থাকা খেলোয়াড়টি কী করছে?")</f>
        <v>বাতাসে থাকা খেলোয়াড়টি কী করছে?</v>
      </c>
      <c r="C112" s="5" t="str">
        <f>IFERROR(__xludf.DUMMYFUNCTION("GOOGLETRANSLATE(L112, ""en"", ""bn"")"),"প্রতিপক্ষের ওপর ঝাঁপিয়ে পড়ছেন তিনি")</f>
        <v>প্রতিপক্ষের ওপর ঝাঁপিয়ে পড়ছেন তিনি</v>
      </c>
      <c r="D112" s="5" t="str">
        <f>IFERROR(__xludf.DUMMYFUNCTION("GOOGLETRANSLATE(M112, ""en"", ""bn"")"),"সে অবতরণের জন্য প্রস্তুত হচ্ছে।")</f>
        <v>সে অবতরণের জন্য প্রস্তুত হচ্ছে।</v>
      </c>
      <c r="E112" s="5" t="str">
        <f>IFERROR(__xludf.DUMMYFUNCTION("GOOGLETRANSLATE(N112, ""en"", ""bn"")"),"সে সীমানা ছাড়িয়ে যাওয়ার চেষ্টা করছে।")</f>
        <v>সে সীমানা ছাড়িয়ে যাওয়ার চেষ্টা করছে।</v>
      </c>
      <c r="F112" s="5" t="str">
        <f>IFERROR(__xludf.DUMMYFUNCTION("GOOGLETRANSLATE(O112, ""en"", ""bn"")"),"সে ফ্লিপ করছে")</f>
        <v>সে ফ্লিপ করছে</v>
      </c>
      <c r="G112" s="5" t="str">
        <f>IFERROR(__xludf.DUMMYFUNCTION("GOOGLETRANSLATE(P112, ""en"", ""bn"")"),"প্রতিপক্ষের ওপর ঝাঁপিয়ে পড়ছেন তিনি")</f>
        <v>প্রতিপক্ষের ওপর ঝাঁপিয়ে পড়ছেন তিনি</v>
      </c>
      <c r="H112" s="5" t="str">
        <f>IFERROR(__xludf.DUMMYFUNCTION("GOOGLETRANSLATE(Q112, ""en"", ""bn"")"),"ছবি26")</f>
        <v>ছবি26</v>
      </c>
      <c r="J112" s="5" t="str">
        <f>IFERROR(__xludf.DUMMYFUNCTION("GOOGLETRANSLATE(A112, ""bn"", ""en"")"),"111")</f>
        <v>111</v>
      </c>
      <c r="K112" s="8" t="s">
        <v>454</v>
      </c>
      <c r="L112" s="8" t="s">
        <v>455</v>
      </c>
      <c r="M112" s="8" t="s">
        <v>456</v>
      </c>
      <c r="N112" s="8" t="s">
        <v>457</v>
      </c>
      <c r="O112" s="8" t="s">
        <v>458</v>
      </c>
      <c r="P112" s="8" t="s">
        <v>455</v>
      </c>
      <c r="Q112" s="9" t="s">
        <v>205</v>
      </c>
      <c r="R112" s="11"/>
    </row>
    <row r="113">
      <c r="A113" s="3">
        <v>112.0</v>
      </c>
      <c r="B113" s="5" t="str">
        <f>IFERROR(__xludf.DUMMYFUNCTION("GOOGLETRANSLATE(K113, ""en"", ""bn"")"),"খেলোয়াড়দের ইউনিফর্ম কি রঙ?")</f>
        <v>খেলোয়াড়দের ইউনিফর্ম কি রঙ?</v>
      </c>
      <c r="C113" s="5" t="str">
        <f>IFERROR(__xludf.DUMMYFUNCTION("GOOGLETRANSLATE(L113, ""en"", ""bn"")"),"কালো এবং সাদা")</f>
        <v>কালো এবং সাদা</v>
      </c>
      <c r="D113" s="5" t="str">
        <f>IFERROR(__xludf.DUMMYFUNCTION("GOOGLETRANSLATE(M113, ""en"", ""bn"")"),"সবুজ এবং সাদা")</f>
        <v>সবুজ এবং সাদা</v>
      </c>
      <c r="E113" s="5" t="str">
        <f>IFERROR(__xludf.DUMMYFUNCTION("GOOGLETRANSLATE(N113, ""en"", ""bn"")"),"নীল এবং লাল")</f>
        <v>নীল এবং লাল</v>
      </c>
      <c r="F113" s="5" t="str">
        <f>IFERROR(__xludf.DUMMYFUNCTION("GOOGLETRANSLATE(O113, ""en"", ""bn"")"),"সব সাদা")</f>
        <v>সব সাদা</v>
      </c>
      <c r="G113" s="5" t="str">
        <f>IFERROR(__xludf.DUMMYFUNCTION("GOOGLETRANSLATE(P113, ""en"", ""bn"")"),"সব সাদা")</f>
        <v>সব সাদা</v>
      </c>
      <c r="H113" s="5" t="str">
        <f>IFERROR(__xludf.DUMMYFUNCTION("GOOGLETRANSLATE(Q113, ""en"", ""bn"")"),"ছবি26")</f>
        <v>ছবি26</v>
      </c>
      <c r="J113" s="5" t="str">
        <f>IFERROR(__xludf.DUMMYFUNCTION("GOOGLETRANSLATE(A113, ""bn"", ""en"")"),"112")</f>
        <v>112</v>
      </c>
      <c r="K113" s="8" t="s">
        <v>459</v>
      </c>
      <c r="L113" s="8" t="s">
        <v>460</v>
      </c>
      <c r="M113" s="8" t="s">
        <v>338</v>
      </c>
      <c r="N113" s="8" t="s">
        <v>429</v>
      </c>
      <c r="O113" s="8" t="s">
        <v>362</v>
      </c>
      <c r="P113" s="8" t="s">
        <v>362</v>
      </c>
      <c r="Q113" s="9" t="s">
        <v>205</v>
      </c>
      <c r="R113" s="11"/>
    </row>
    <row r="114">
      <c r="A114" s="3">
        <v>113.0</v>
      </c>
      <c r="B114" s="5" t="str">
        <f>IFERROR(__xludf.DUMMYFUNCTION("GOOGLETRANSLATE(K114, ""en"", ""bn"")"),"এই ছবির মূল বৈশিষ্ট্য কী?")</f>
        <v>এই ছবির মূল বৈশিষ্ট্য কী?</v>
      </c>
      <c r="C114" s="5" t="str">
        <f>IFERROR(__xludf.DUMMYFUNCTION("GOOGLETRANSLATE(L114, ""en"", ""bn"")"),"এটি রঙে রয়েছে")</f>
        <v>এটি রঙে রয়েছে</v>
      </c>
      <c r="D114" s="5" t="str">
        <f>IFERROR(__xludf.DUMMYFUNCTION("GOOGLETRANSLATE(M114, ""en"", ""bn"")"),"এটি একটি পুরানো ছবি")</f>
        <v>এটি একটি পুরানো ছবি</v>
      </c>
      <c r="E114" s="5" t="str">
        <f>IFERROR(__xludf.DUMMYFUNCTION("GOOGLETRANSLATE(N114, ""en"", ""bn"")"),"এটা ঝাপসা")</f>
        <v>এটা ঝাপসা</v>
      </c>
      <c r="F114" s="5" t="str">
        <f>IFERROR(__xludf.DUMMYFUNCTION("GOOGLETRANSLATE(O114, ""en"", ""bn"")"),"এটি একটি স্টেডিয়াম দেখায়")</f>
        <v>এটি একটি স্টেডিয়াম দেখায়</v>
      </c>
      <c r="G114" s="5" t="str">
        <f>IFERROR(__xludf.DUMMYFUNCTION("GOOGLETRANSLATE(P114, ""en"", ""bn"")"),"এটি একটি পুরানো ছবি")</f>
        <v>এটি একটি পুরানো ছবি</v>
      </c>
      <c r="H114" s="5" t="str">
        <f>IFERROR(__xludf.DUMMYFUNCTION("GOOGLETRANSLATE(Q114, ""en"", ""bn"")"),"ছবি26")</f>
        <v>ছবি26</v>
      </c>
      <c r="J114" s="5" t="str">
        <f>IFERROR(__xludf.DUMMYFUNCTION("GOOGLETRANSLATE(A114, ""bn"", ""en"")"),"113")</f>
        <v>113</v>
      </c>
      <c r="K114" s="8" t="s">
        <v>461</v>
      </c>
      <c r="L114" s="8" t="s">
        <v>462</v>
      </c>
      <c r="M114" s="8" t="s">
        <v>463</v>
      </c>
      <c r="N114" s="8" t="s">
        <v>464</v>
      </c>
      <c r="O114" s="8" t="s">
        <v>465</v>
      </c>
      <c r="P114" s="8" t="s">
        <v>463</v>
      </c>
      <c r="Q114" s="9" t="s">
        <v>205</v>
      </c>
      <c r="R114" s="11"/>
    </row>
    <row r="115">
      <c r="A115" s="3">
        <v>114.0</v>
      </c>
      <c r="B115" s="5" t="str">
        <f>IFERROR(__xludf.DUMMYFUNCTION("GOOGLETRANSLATE(K115, ""en"", ""bn"")"),"ডানদিকের খেলোয়াড়ের শারীরিক ভাষা কী?")</f>
        <v>ডানদিকের খেলোয়াড়ের শারীরিক ভাষা কী?</v>
      </c>
      <c r="C115" s="5" t="str">
        <f>IFERROR(__xludf.DUMMYFUNCTION("GOOGLETRANSLATE(L115, ""en"", ""bn"")"),"সে অ্যাকশন থেকে পালিয়ে বেড়াচ্ছে")</f>
        <v>সে অ্যাকশন থেকে পালিয়ে বেড়াচ্ছে</v>
      </c>
      <c r="D115" s="5" t="str">
        <f>IFERROR(__xludf.DUMMYFUNCTION("GOOGLETRANSLATE(M115, ""en"", ""bn"")"),"সে ভিড় দেখছে")</f>
        <v>সে ভিড় দেখছে</v>
      </c>
      <c r="E115" s="5" t="str">
        <f>IFERROR(__xludf.DUMMYFUNCTION("GOOGLETRANSLATE(N115, ""en"", ""bn"")"),"সে আকাশের দিকে তাকিয়ে আছে")</f>
        <v>সে আকাশের দিকে তাকিয়ে আছে</v>
      </c>
      <c r="F115" s="5" t="str">
        <f>IFERROR(__xludf.DUMMYFUNCTION("GOOGLETRANSLATE(O115, ""en"", ""bn"")"),"প্রতিপক্ষকে মোকাবেলা করতে হাত বাড়াচ্ছেন তিনি")</f>
        <v>প্রতিপক্ষকে মোকাবেলা করতে হাত বাড়াচ্ছেন তিনি</v>
      </c>
      <c r="G115" s="5" t="str">
        <f>IFERROR(__xludf.DUMMYFUNCTION("GOOGLETRANSLATE(P115, ""en"", ""bn"")"),"প্রতিপক্ষকে মোকাবেলা করতে হাত বাড়াচ্ছেন তিনি")</f>
        <v>প্রতিপক্ষকে মোকাবেলা করতে হাত বাড়াচ্ছেন তিনি</v>
      </c>
      <c r="H115" s="5" t="str">
        <f>IFERROR(__xludf.DUMMYFUNCTION("GOOGLETRANSLATE(Q115, ""en"", ""bn"")"),"ছবি26")</f>
        <v>ছবি26</v>
      </c>
      <c r="J115" s="5" t="str">
        <f>IFERROR(__xludf.DUMMYFUNCTION("GOOGLETRANSLATE(A115, ""bn"", ""en"")"),"114")</f>
        <v>114</v>
      </c>
      <c r="K115" s="8" t="s">
        <v>466</v>
      </c>
      <c r="L115" s="8" t="s">
        <v>467</v>
      </c>
      <c r="M115" s="8" t="s">
        <v>468</v>
      </c>
      <c r="N115" s="8" t="s">
        <v>469</v>
      </c>
      <c r="O115" s="8" t="s">
        <v>470</v>
      </c>
      <c r="P115" s="8" t="s">
        <v>470</v>
      </c>
      <c r="Q115" s="9" t="s">
        <v>205</v>
      </c>
      <c r="R115" s="12"/>
    </row>
    <row r="116">
      <c r="A116" s="3">
        <v>115.0</v>
      </c>
      <c r="B116" s="5" t="str">
        <f>IFERROR(__xludf.DUMMYFUNCTION("GOOGLETRANSLATE(K116, ""en"", ""bn"")"),"ছবির বাম পাশে ক্রুচিং খেলোয়াড়ের ভঙ্গি কী?")</f>
        <v>ছবির বাম পাশে ক্রুচিং খেলোয়াড়ের ভঙ্গি কী?</v>
      </c>
      <c r="C116" s="5" t="str">
        <f>IFERROR(__xludf.DUMMYFUNCTION("GOOGLETRANSLATE(L116, ""en"", ""bn"")"),"সে দ্রুত দৌড়াচ্ছে")</f>
        <v>সে দ্রুত দৌড়াচ্ছে</v>
      </c>
      <c r="D116" s="5" t="str">
        <f>IFERROR(__xludf.DUMMYFUNCTION("GOOGLETRANSLATE(M116, ""en"", ""bn"")"),"সে নিচে পড়ে যাচ্ছে")</f>
        <v>সে নিচে পড়ে যাচ্ছে</v>
      </c>
      <c r="E116" s="5" t="str">
        <f>IFERROR(__xludf.DUMMYFUNCTION("GOOGLETRANSLATE(N116, ""en"", ""bn"")"),"তিনি রক্ষণাত্মক অবস্থানে রয়েছেন")</f>
        <v>তিনি রক্ষণাত্মক অবস্থানে রয়েছেন</v>
      </c>
      <c r="F116" s="5" t="str">
        <f>IFERROR(__xludf.DUMMYFUNCTION("GOOGLETRANSLATE(O116, ""en"", ""bn"")"),"তিনি প্রসারিত করছেন")</f>
        <v>তিনি প্রসারিত করছেন</v>
      </c>
      <c r="G116" s="5" t="str">
        <f>IFERROR(__xludf.DUMMYFUNCTION("GOOGLETRANSLATE(P116, ""en"", ""bn"")"),"তিনি রক্ষণাত্মক অবস্থানে রয়েছেন")</f>
        <v>তিনি রক্ষণাত্মক অবস্থানে রয়েছেন</v>
      </c>
      <c r="H116" s="5" t="str">
        <f>IFERROR(__xludf.DUMMYFUNCTION("GOOGLETRANSLATE(Q116, ""en"", ""bn"")"),"ছবি26")</f>
        <v>ছবি26</v>
      </c>
      <c r="J116" s="5" t="str">
        <f>IFERROR(__xludf.DUMMYFUNCTION("GOOGLETRANSLATE(A116, ""bn"", ""en"")"),"115")</f>
        <v>115</v>
      </c>
      <c r="K116" s="8" t="s">
        <v>471</v>
      </c>
      <c r="L116" s="8" t="s">
        <v>472</v>
      </c>
      <c r="M116" s="8" t="s">
        <v>473</v>
      </c>
      <c r="N116" s="8" t="s">
        <v>474</v>
      </c>
      <c r="O116" s="8" t="s">
        <v>475</v>
      </c>
      <c r="P116" s="8" t="s">
        <v>474</v>
      </c>
      <c r="Q116" s="9" t="s">
        <v>205</v>
      </c>
    </row>
    <row r="117">
      <c r="A117" s="3">
        <v>116.0</v>
      </c>
      <c r="B117" s="5" t="str">
        <f>IFERROR(__xludf.DUMMYFUNCTION("GOOGLETRANSLATE(K117, ""en"", ""bn"")"),"খেলোয়াড়দের জুতা কী?")</f>
        <v>খেলোয়াড়দের জুতা কী?</v>
      </c>
      <c r="C117" s="5" t="str">
        <f>IFERROR(__xludf.DUMMYFUNCTION("GOOGLETRANSLATE(L117, ""en"", ""bn"")"),"স্নিকার্স")</f>
        <v>স্নিকার্স</v>
      </c>
      <c r="D117" s="5" t="str">
        <f>IFERROR(__xludf.DUMMYFUNCTION("GOOGLETRANSLATE(M117, ""en"", ""bn"")"),"স্যান্ডেল")</f>
        <v>স্যান্ডেল</v>
      </c>
      <c r="E117" s="5" t="str">
        <f>IFERROR(__xludf.DUMMYFUNCTION("GOOGLETRANSLATE(N117, ""en"", ""bn"")"),"বুট")</f>
        <v>বুট</v>
      </c>
      <c r="F117" s="5" t="str">
        <f>IFERROR(__xludf.DUMMYFUNCTION("GOOGLETRANSLATE(O117, ""en"", ""bn"")"),"তারা খালি পায়ে।")</f>
        <v>তারা খালি পায়ে।</v>
      </c>
      <c r="G117" s="5" t="str">
        <f>IFERROR(__xludf.DUMMYFUNCTION("GOOGLETRANSLATE(P117, ""en"", ""bn"")"),"তারা খালি পায়ে।")</f>
        <v>তারা খালি পায়ে।</v>
      </c>
      <c r="H117" s="5" t="str">
        <f>IFERROR(__xludf.DUMMYFUNCTION("GOOGLETRANSLATE(Q117, ""en"", ""bn"")"),"ছবি১৭")</f>
        <v>ছবি১৭</v>
      </c>
      <c r="J117" s="5" t="str">
        <f>IFERROR(__xludf.DUMMYFUNCTION("GOOGLETRANSLATE(A117, ""bn"", ""en"")"),"116")</f>
        <v>116</v>
      </c>
      <c r="K117" s="8" t="s">
        <v>393</v>
      </c>
      <c r="L117" s="8" t="s">
        <v>394</v>
      </c>
      <c r="M117" s="8" t="s">
        <v>395</v>
      </c>
      <c r="N117" s="8" t="s">
        <v>396</v>
      </c>
      <c r="O117" s="8" t="s">
        <v>397</v>
      </c>
      <c r="P117" s="8" t="s">
        <v>397</v>
      </c>
      <c r="Q117" s="9" t="s">
        <v>158</v>
      </c>
    </row>
    <row r="118">
      <c r="A118" s="3">
        <v>117.0</v>
      </c>
      <c r="B118" s="5" t="str">
        <f>IFERROR(__xludf.DUMMYFUNCTION("GOOGLETRANSLATE(K118, ""en"", ""bn"")"),"মাঠে প্রতিযোগীরা কী করছেন?")</f>
        <v>মাঠে প্রতিযোগীরা কী করছেন?</v>
      </c>
      <c r="C118" s="5" t="str">
        <f>IFERROR(__xludf.DUMMYFUNCTION("GOOGLETRANSLATE(L118, ""en"", ""bn"")"),"বিশ্রাম")</f>
        <v>বিশ্রাম</v>
      </c>
      <c r="D118" s="5" t="str">
        <f>IFERROR(__xludf.DUMMYFUNCTION("GOOGLETRANSLATE(M118, ""en"", ""bn"")"),"তাদের জুতার ফিতা বাঁধা")</f>
        <v>তাদের জুতার ফিতা বাঁধা</v>
      </c>
      <c r="E118" s="5" t="str">
        <f>IFERROR(__xludf.DUMMYFUNCTION("GOOGLETRANSLATE(N118, ""en"", ""bn"")"),"প্রতিপক্ষের দ্বারা ট্যাকল করা হচ্ছে")</f>
        <v>প্রতিপক্ষের দ্বারা ট্যাকল করা হচ্ছে</v>
      </c>
      <c r="F118" s="5" t="str">
        <f>IFERROR(__xludf.DUMMYFUNCTION("GOOGLETRANSLATE(O118, ""en"", ""bn"")"),"দাঁড়িয়ে থাকা")</f>
        <v>দাঁড়িয়ে থাকা</v>
      </c>
      <c r="G118" s="5" t="str">
        <f>IFERROR(__xludf.DUMMYFUNCTION("GOOGLETRANSLATE(P118, ""en"", ""bn"")"),"প্রতিপক্ষের দ্বারা ট্যাকল করা হচ্ছে")</f>
        <v>প্রতিপক্ষের দ্বারা ট্যাকল করা হচ্ছে</v>
      </c>
      <c r="H118" s="5" t="str">
        <f>IFERROR(__xludf.DUMMYFUNCTION("GOOGLETRANSLATE(Q118, ""en"", ""bn"")"),"ছবি১৭")</f>
        <v>ছবি১৭</v>
      </c>
      <c r="J118" s="5" t="str">
        <f>IFERROR(__xludf.DUMMYFUNCTION("GOOGLETRANSLATE(A118, ""bn"", ""en"")"),"117")</f>
        <v>117</v>
      </c>
      <c r="K118" s="8" t="s">
        <v>476</v>
      </c>
      <c r="L118" s="8" t="s">
        <v>477</v>
      </c>
      <c r="M118" s="8" t="s">
        <v>478</v>
      </c>
      <c r="N118" s="8" t="s">
        <v>479</v>
      </c>
      <c r="O118" s="8" t="s">
        <v>480</v>
      </c>
      <c r="P118" s="8" t="s">
        <v>479</v>
      </c>
      <c r="Q118" s="9" t="s">
        <v>158</v>
      </c>
    </row>
    <row r="119">
      <c r="A119" s="3">
        <v>118.0</v>
      </c>
      <c r="B119" s="5" t="str">
        <f>IFERROR(__xludf.DUMMYFUNCTION("GOOGLETRANSLATE(K119, ""en"", ""bn"")"),"পটভূমিতে জলের দেহটি কী দৃশ্যমান?")</f>
        <v>পটভূমিতে জলের দেহটি কী দৃশ্যমান?</v>
      </c>
      <c r="C119" s="5" t="str">
        <f>IFERROR(__xludf.DUMMYFUNCTION("GOOGLETRANSLATE(L119, ""en"", ""bn"")"),"একটি সুইমিং পুল")</f>
        <v>একটি সুইমিং পুল</v>
      </c>
      <c r="D119" s="5" t="str">
        <f>IFERROR(__xludf.DUMMYFUNCTION("GOOGLETRANSLATE(M119, ""en"", ""bn"")"),"নদী অথবা হ্রদ")</f>
        <v>নদী অথবা হ্রদ</v>
      </c>
      <c r="E119" s="5" t="str">
        <f>IFERROR(__xludf.DUMMYFUNCTION("GOOGLETRANSLATE(N119, ""en"", ""bn"")"),"মহাসাগর")</f>
        <v>মহাসাগর</v>
      </c>
      <c r="F119" s="5" t="str">
        <f>IFERROR(__xludf.DUMMYFUNCTION("GOOGLETRANSLATE(O119, ""en"", ""bn"")"),"একটা পুকুর")</f>
        <v>একটা পুকুর</v>
      </c>
      <c r="G119" s="5" t="str">
        <f>IFERROR(__xludf.DUMMYFUNCTION("GOOGLETRANSLATE(P119, ""en"", ""bn"")"),"নদী অথবা হ্রদ")</f>
        <v>নদী অথবা হ্রদ</v>
      </c>
      <c r="H119" s="5" t="str">
        <f>IFERROR(__xludf.DUMMYFUNCTION("GOOGLETRANSLATE(Q119, ""en"", ""bn"")"),"ছবি১৭")</f>
        <v>ছবি১৭</v>
      </c>
      <c r="J119" s="5" t="str">
        <f>IFERROR(__xludf.DUMMYFUNCTION("GOOGLETRANSLATE(A119, ""bn"", ""en"")"),"118")</f>
        <v>118</v>
      </c>
      <c r="K119" s="8" t="s">
        <v>481</v>
      </c>
      <c r="L119" s="8" t="s">
        <v>482</v>
      </c>
      <c r="M119" s="8" t="s">
        <v>483</v>
      </c>
      <c r="N119" s="8" t="s">
        <v>484</v>
      </c>
      <c r="O119" s="8" t="s">
        <v>485</v>
      </c>
      <c r="P119" s="8" t="s">
        <v>483</v>
      </c>
      <c r="Q119" s="9" t="s">
        <v>158</v>
      </c>
    </row>
    <row r="120">
      <c r="A120" s="3">
        <v>119.0</v>
      </c>
      <c r="B120" s="5" t="str">
        <f>IFERROR(__xludf.DUMMYFUNCTION("GOOGLETRANSLATE(K120, ""en"", ""bn"")"),"মাঝখানে দাঁড়িয়ে থাকা খেলোয়াড়ের সামগ্রিক ভঙ্গি কী?")</f>
        <v>মাঝখানে দাঁড়িয়ে থাকা খেলোয়াড়ের সামগ্রিক ভঙ্গি কী?</v>
      </c>
      <c r="C120" s="5" t="str">
        <f>IFERROR(__xludf.DUMMYFUNCTION("GOOGLETRANSLATE(L120, ""en"", ""bn"")"),"আরামে এবং সোজা")</f>
        <v>আরামে এবং সোজা</v>
      </c>
      <c r="D120" s="5" t="str">
        <f>IFERROR(__xludf.DUMMYFUNCTION("GOOGLETRANSLATE(M120, ""en"", ""bn"")"),"রক্ষণাত্মক অবস্থানে")</f>
        <v>রক্ষণাত্মক অবস্থানে</v>
      </c>
      <c r="E120" s="5" t="str">
        <f>IFERROR(__xludf.DUMMYFUNCTION("GOOGLETRANSLATE(N120, ""en"", ""bn"")"),"নিচু আঁচড়ানো")</f>
        <v>নিচু আঁচড়ানো</v>
      </c>
      <c r="F120" s="5" t="str">
        <f>IFERROR(__xludf.DUMMYFUNCTION("GOOGLETRANSLATE(O120, ""en"", ""bn"")"),"অনিচ্ছাকৃতভাবে হাঁটা")</f>
        <v>অনিচ্ছাকৃতভাবে হাঁটা</v>
      </c>
      <c r="G120" s="5" t="str">
        <f>IFERROR(__xludf.DUMMYFUNCTION("GOOGLETRANSLATE(P120, ""en"", ""bn"")"),"রক্ষণাত্মক অবস্থানে")</f>
        <v>রক্ষণাত্মক অবস্থানে</v>
      </c>
      <c r="H120" s="5" t="str">
        <f>IFERROR(__xludf.DUMMYFUNCTION("GOOGLETRANSLATE(Q120, ""en"", ""bn"")"),"ছবি১৭")</f>
        <v>ছবি১৭</v>
      </c>
      <c r="J120" s="5" t="str">
        <f>IFERROR(__xludf.DUMMYFUNCTION("GOOGLETRANSLATE(A120, ""bn"", ""en"")"),"119")</f>
        <v>119</v>
      </c>
      <c r="K120" s="8" t="s">
        <v>486</v>
      </c>
      <c r="L120" s="8" t="s">
        <v>321</v>
      </c>
      <c r="M120" s="8" t="s">
        <v>487</v>
      </c>
      <c r="N120" s="8" t="s">
        <v>488</v>
      </c>
      <c r="O120" s="8" t="s">
        <v>489</v>
      </c>
      <c r="P120" s="8" t="s">
        <v>487</v>
      </c>
      <c r="Q120" s="9" t="s">
        <v>158</v>
      </c>
    </row>
    <row r="121">
      <c r="A121" s="3">
        <v>120.0</v>
      </c>
      <c r="B121" s="5" t="str">
        <f>IFERROR(__xludf.DUMMYFUNCTION("GOOGLETRANSLATE(K121, ""en"", ""bn"")"),"দর্শকরা কি ধরনের পোশাক পরেছেন?")</f>
        <v>দর্শকরা কি ধরনের পোশাক পরেছেন?</v>
      </c>
      <c r="C121" s="5" t="str">
        <f>IFERROR(__xludf.DUMMYFUNCTION("GOOGLETRANSLATE(L121, ""en"", ""bn"")"),"ঐতিহ্যবাহী গ্রামীণ পোশাক")</f>
        <v>ঐতিহ্যবাহী গ্রামীণ পোশাক</v>
      </c>
      <c r="D121" s="5" t="str">
        <f>IFERROR(__xludf.DUMMYFUNCTION("GOOGLETRANSLATE(M121, ""en"", ""bn"")"),"আনুষ্ঠানিক স্যুট")</f>
        <v>আনুষ্ঠানিক স্যুট</v>
      </c>
      <c r="E121" s="5" t="str">
        <f>IFERROR(__xludf.DUMMYFUNCTION("GOOGLETRANSLATE(N121, ""en"", ""bn"")"),"সম্পূর্ণ ইউনিফর্ম")</f>
        <v>সম্পূর্ণ ইউনিফর্ম</v>
      </c>
      <c r="F121" s="5" t="str">
        <f>IFERROR(__xludf.DUMMYFUNCTION("GOOGLETRANSLATE(O121, ""en"", ""bn"")"),"খেলাধুলার পোশাক")</f>
        <v>খেলাধুলার পোশাক</v>
      </c>
      <c r="G121" s="5" t="str">
        <f>IFERROR(__xludf.DUMMYFUNCTION("GOOGLETRANSLATE(P121, ""en"", ""bn"")"),"ঐতিহ্যবাহী গ্রামীণ পোশাক")</f>
        <v>ঐতিহ্যবাহী গ্রামীণ পোশাক</v>
      </c>
      <c r="H121" s="5" t="str">
        <f>IFERROR(__xludf.DUMMYFUNCTION("GOOGLETRANSLATE(Q121, ""en"", ""bn"")"),"ছবি১৭")</f>
        <v>ছবি১৭</v>
      </c>
      <c r="J121" s="5" t="str">
        <f>IFERROR(__xludf.DUMMYFUNCTION("GOOGLETRANSLATE(A121, ""bn"", ""en"")"),"120")</f>
        <v>120</v>
      </c>
      <c r="K121" s="8" t="s">
        <v>490</v>
      </c>
      <c r="L121" s="8" t="s">
        <v>491</v>
      </c>
      <c r="M121" s="8" t="s">
        <v>373</v>
      </c>
      <c r="N121" s="8" t="s">
        <v>451</v>
      </c>
      <c r="O121" s="8" t="s">
        <v>492</v>
      </c>
      <c r="P121" s="8" t="s">
        <v>491</v>
      </c>
      <c r="Q121" s="9" t="s">
        <v>158</v>
      </c>
    </row>
    <row r="122">
      <c r="A122" s="3">
        <v>121.0</v>
      </c>
      <c r="B122" s="5" t="str">
        <f>IFERROR(__xludf.DUMMYFUNCTION("GOOGLETRANSLATE(K122, ""en"", ""bn"")"),"সামনের নীল জার্সিতে থাকা খেলোয়াড়ের মুখের অভিব্যক্তি কেমন?")</f>
        <v>সামনের নীল জার্সিতে থাকা খেলোয়াড়ের মুখের অভিব্যক্তি কেমন?</v>
      </c>
      <c r="C122" s="5" t="str">
        <f>IFERROR(__xludf.DUMMYFUNCTION("GOOGLETRANSLATE(L122, ""en"", ""bn"")"),"সে হাসছে।")</f>
        <v>সে হাসছে।</v>
      </c>
      <c r="D122" s="5" t="str">
        <f>IFERROR(__xludf.DUMMYFUNCTION("GOOGLETRANSLATE(M122, ""en"", ""bn"")"),"তিনি রাগান্বিত বা সংকল্পবদ্ধ")</f>
        <v>তিনি রাগান্বিত বা সংকল্পবদ্ধ</v>
      </c>
      <c r="E122" s="5" t="str">
        <f>IFERROR(__xludf.DUMMYFUNCTION("GOOGLETRANSLATE(N122, ""en"", ""bn"")"),"সে খুশি।")</f>
        <v>সে খুশি।</v>
      </c>
      <c r="F122" s="5" t="str">
        <f>IFERROR(__xludf.DUMMYFUNCTION("GOOGLETRANSLATE(O122, ""en"", ""bn"")"),"সে ভয় পায়")</f>
        <v>সে ভয় পায়</v>
      </c>
      <c r="G122" s="5" t="str">
        <f>IFERROR(__xludf.DUMMYFUNCTION("GOOGLETRANSLATE(P122, ""en"", ""bn"")"),"তিনি রাগান্বিত বা সংকল্পবদ্ধ")</f>
        <v>তিনি রাগান্বিত বা সংকল্পবদ্ধ</v>
      </c>
      <c r="H122" s="5" t="str">
        <f>IFERROR(__xludf.DUMMYFUNCTION("GOOGLETRANSLATE(Q122, ""en"", ""bn"")"),"ছবি২০")</f>
        <v>ছবি২০</v>
      </c>
      <c r="J122" s="5" t="str">
        <f>IFERROR(__xludf.DUMMYFUNCTION("GOOGLETRANSLATE(A122, ""bn"", ""en"")"),"121")</f>
        <v>121</v>
      </c>
      <c r="K122" s="8" t="s">
        <v>493</v>
      </c>
      <c r="L122" s="8" t="s">
        <v>494</v>
      </c>
      <c r="M122" s="8" t="s">
        <v>495</v>
      </c>
      <c r="N122" s="8" t="s">
        <v>496</v>
      </c>
      <c r="O122" s="8" t="s">
        <v>497</v>
      </c>
      <c r="P122" s="8" t="s">
        <v>495</v>
      </c>
      <c r="Q122" s="9" t="s">
        <v>175</v>
      </c>
      <c r="R122" s="11"/>
    </row>
    <row r="123">
      <c r="A123" s="3">
        <v>122.0</v>
      </c>
      <c r="B123" s="5" t="str">
        <f>IFERROR(__xludf.DUMMYFUNCTION("GOOGLETRANSLATE(K123, ""en"", ""bn"")"),"খেলার পৃষ্ঠটি কী দিয়ে তৈরি?")</f>
        <v>খেলার পৃষ্ঠটি কী দিয়ে তৈরি?</v>
      </c>
      <c r="C123" s="5" t="str">
        <f>IFERROR(__xludf.DUMMYFUNCTION("GOOGLETRANSLATE(L123, ""en"", ""bn"")"),"ঘাস")</f>
        <v>ঘাস</v>
      </c>
      <c r="D123" s="5" t="str">
        <f>IFERROR(__xludf.DUMMYFUNCTION("GOOGLETRANSLATE(M123, ""en"", ""bn"")"),"একটি কংক্রিটের মেঝে")</f>
        <v>একটি কংক্রিটের মেঝে</v>
      </c>
      <c r="E123" s="5" t="str">
        <f>IFERROR(__xludf.DUMMYFUNCTION("GOOGLETRANSLATE(N123, ""en"", ""bn"")"),"কাঠের কোর্ট")</f>
        <v>কাঠের কোর্ট</v>
      </c>
      <c r="F123" s="5" t="str">
        <f>IFERROR(__xludf.DUMMYFUNCTION("GOOGLETRANSLATE(O123, ""en"", ""bn"")"),"লাইন সহ একটি কুস্তি মাদুর")</f>
        <v>লাইন সহ একটি কুস্তি মাদুর</v>
      </c>
      <c r="G123" s="5" t="str">
        <f>IFERROR(__xludf.DUMMYFUNCTION("GOOGLETRANSLATE(P123, ""en"", ""bn"")"),"লাইন সহ একটি কুস্তি মাদুর")</f>
        <v>লাইন সহ একটি কুস্তি মাদুর</v>
      </c>
      <c r="H123" s="5" t="str">
        <f>IFERROR(__xludf.DUMMYFUNCTION("GOOGLETRANSLATE(Q123, ""en"", ""bn"")"),"ছবি২০")</f>
        <v>ছবি২০</v>
      </c>
      <c r="J123" s="5" t="str">
        <f>IFERROR(__xludf.DUMMYFUNCTION("GOOGLETRANSLATE(A123, ""bn"", ""en"")"),"122")</f>
        <v>122</v>
      </c>
      <c r="K123" s="8" t="s">
        <v>425</v>
      </c>
      <c r="L123" s="8" t="s">
        <v>302</v>
      </c>
      <c r="M123" s="8" t="s">
        <v>498</v>
      </c>
      <c r="N123" s="8" t="s">
        <v>499</v>
      </c>
      <c r="O123" s="8" t="s">
        <v>500</v>
      </c>
      <c r="P123" s="8" t="s">
        <v>500</v>
      </c>
      <c r="Q123" s="9" t="s">
        <v>175</v>
      </c>
      <c r="R123" s="11"/>
    </row>
    <row r="124">
      <c r="A124" s="3">
        <v>123.0</v>
      </c>
      <c r="B124" s="5" t="str">
        <f>IFERROR(__xludf.DUMMYFUNCTION("GOOGLETRANSLATE(K124, ""en"", ""bn"")"),"সবুজ জার্সিতে খেলোয়াড়ের শরীরের অবস্থান কী?")</f>
        <v>সবুজ জার্সিতে খেলোয়াড়ের শরীরের অবস্থান কী?</v>
      </c>
      <c r="C124" s="5" t="str">
        <f>IFERROR(__xludf.DUMMYFUNCTION("GOOGLETRANSLATE(L124, ""en"", ""bn"")"),"সে সোজা হয়ে দাঁড়িয়ে আছে।")</f>
        <v>সে সোজা হয়ে দাঁড়িয়ে আছে।</v>
      </c>
      <c r="D124" s="5" t="str">
        <f>IFERROR(__xludf.DUMMYFUNCTION("GOOGLETRANSLATE(M124, ""en"", ""bn"")"),"সে পালিয়ে বেড়াচ্ছে")</f>
        <v>সে পালিয়ে বেড়াচ্ছে</v>
      </c>
      <c r="E124" s="5" t="str">
        <f>IFERROR(__xludf.DUMMYFUNCTION("GOOGLETRANSLATE(N124, ""en"", ""bn"")"),"সে নিচু, প্রতিরক্ষামূলক ঝুঁকে আছে।")</f>
        <v>সে নিচু, প্রতিরক্ষামূলক ঝুঁকে আছে।</v>
      </c>
      <c r="F124" s="5" t="str">
        <f>IFERROR(__xludf.DUMMYFUNCTION("GOOGLETRANSLATE(O124, ""en"", ""bn"")"),"সে শুয়ে আছে।")</f>
        <v>সে শুয়ে আছে।</v>
      </c>
      <c r="G124" s="5" t="str">
        <f>IFERROR(__xludf.DUMMYFUNCTION("GOOGLETRANSLATE(P124, ""en"", ""bn"")"),"সে নিচু, প্রতিরক্ষামূলক ঝুঁকে আছে।")</f>
        <v>সে নিচু, প্রতিরক্ষামূলক ঝুঁকে আছে।</v>
      </c>
      <c r="H124" s="5" t="str">
        <f>IFERROR(__xludf.DUMMYFUNCTION("GOOGLETRANSLATE(Q124, ""en"", ""bn"")"),"ছবি২০")</f>
        <v>ছবি২০</v>
      </c>
      <c r="J124" s="5" t="str">
        <f>IFERROR(__xludf.DUMMYFUNCTION("GOOGLETRANSLATE(A124, ""bn"", ""en"")"),"123")</f>
        <v>123</v>
      </c>
      <c r="K124" s="8" t="s">
        <v>501</v>
      </c>
      <c r="L124" s="8" t="s">
        <v>502</v>
      </c>
      <c r="M124" s="8" t="s">
        <v>503</v>
      </c>
      <c r="N124" s="8" t="s">
        <v>504</v>
      </c>
      <c r="O124" s="8" t="s">
        <v>505</v>
      </c>
      <c r="P124" s="8" t="s">
        <v>504</v>
      </c>
      <c r="Q124" s="9" t="s">
        <v>175</v>
      </c>
      <c r="R124" s="11"/>
    </row>
    <row r="125">
      <c r="A125" s="3">
        <v>124.0</v>
      </c>
      <c r="B125" s="5" t="str">
        <f>IFERROR(__xludf.DUMMYFUNCTION("GOOGLETRANSLATE(K125, ""en"", ""bn"")"),"ম্যাচের সেটিং কী?")</f>
        <v>ম্যাচের সেটিং কী?</v>
      </c>
      <c r="C125" s="5" t="str">
        <f>IFERROR(__xludf.DUMMYFUNCTION("GOOGLETRANSLATE(L125, ""en"", ""bn"")"),"একটি বহিরঙ্গন মাঠ")</f>
        <v>একটি বহিরঙ্গন মাঠ</v>
      </c>
      <c r="D125" s="5" t="str">
        <f>IFERROR(__xludf.DUMMYFUNCTION("GOOGLETRANSLATE(M125, ""en"", ""bn"")"),"বিশাল ইনডোর স্টেডিয়াম")</f>
        <v>বিশাল ইনডোর স্টেডিয়াম</v>
      </c>
      <c r="E125" s="5" t="str">
        <f>IFERROR(__xludf.DUMMYFUNCTION("GOOGLETRANSLATE(N125, ""en"", ""bn"")"),"গ্রামের একটি উঠান")</f>
        <v>গ্রামের একটি উঠান</v>
      </c>
      <c r="F125" s="5" t="str">
        <f>IFERROR(__xludf.DUMMYFUNCTION("GOOGLETRANSLATE(O125, ""en"", ""bn"")"),"একটি স্কুল জিম")</f>
        <v>একটি স্কুল জিম</v>
      </c>
      <c r="G125" s="5" t="str">
        <f>IFERROR(__xludf.DUMMYFUNCTION("GOOGLETRANSLATE(P125, ""en"", ""bn"")"),"বিশাল ইনডোর স্টেডিয়াম")</f>
        <v>বিশাল ইনডোর স্টেডিয়াম</v>
      </c>
      <c r="H125" s="5" t="str">
        <f>IFERROR(__xludf.DUMMYFUNCTION("GOOGLETRANSLATE(Q125, ""en"", ""bn"")"),"ছবি২০")</f>
        <v>ছবি২০</v>
      </c>
      <c r="J125" s="5" t="str">
        <f>IFERROR(__xludf.DUMMYFUNCTION("GOOGLETRANSLATE(A125, ""bn"", ""en"")"),"124")</f>
        <v>124</v>
      </c>
      <c r="K125" s="8" t="s">
        <v>506</v>
      </c>
      <c r="L125" s="8" t="s">
        <v>507</v>
      </c>
      <c r="M125" s="8" t="s">
        <v>508</v>
      </c>
      <c r="N125" s="8" t="s">
        <v>509</v>
      </c>
      <c r="O125" s="8" t="s">
        <v>510</v>
      </c>
      <c r="P125" s="8" t="s">
        <v>508</v>
      </c>
      <c r="Q125" s="9" t="s">
        <v>175</v>
      </c>
      <c r="R125" s="11"/>
    </row>
    <row r="126">
      <c r="A126" s="3">
        <v>125.0</v>
      </c>
      <c r="B126" s="5" t="str">
        <f>IFERROR(__xludf.DUMMYFUNCTION("GOOGLETRANSLATE(K126, ""en"", ""bn"")"),"বাম দিকের খেলোয়াড়টি তার হাত দিয়ে কী করছে?")</f>
        <v>বাম দিকের খেলোয়াড়টি তার হাত দিয়ে কী করছে?</v>
      </c>
      <c r="C126" s="5" t="str">
        <f>IFERROR(__xludf.DUMMYFUNCTION("GOOGLETRANSLATE(L126, ""en"", ""bn"")"),"সে হাত বাড়াচ্ছে")</f>
        <v>সে হাত বাড়াচ্ছে</v>
      </c>
      <c r="D126" s="5" t="str">
        <f>IFERROR(__xludf.DUMMYFUNCTION("GOOGLETRANSLATE(M126, ""en"", ""bn"")"),"সে একটা বোতল ধরে আছে।")</f>
        <v>সে একটা বোতল ধরে আছে।</v>
      </c>
      <c r="E126" s="5" t="str">
        <f>IFERROR(__xludf.DUMMYFUNCTION("GOOGLETRANSLATE(N126, ""en"", ""bn"")"),"সে তার কোমরে হাত রাখছে।")</f>
        <v>সে তার কোমরে হাত রাখছে।</v>
      </c>
      <c r="F126" s="5" t="str">
        <f>IFERROR(__xludf.DUMMYFUNCTION("GOOGLETRANSLATE(O126, ""en"", ""bn"")"),"সে ভিড়ের দিকে হাত নাড়ছে।")</f>
        <v>সে ভিড়ের দিকে হাত নাড়ছে।</v>
      </c>
      <c r="G126" s="5" t="str">
        <f>IFERROR(__xludf.DUMMYFUNCTION("GOOGLETRANSLATE(P126, ""en"", ""bn"")"),"সে তার কোমরে হাত রাখছে।")</f>
        <v>সে তার কোমরে হাত রাখছে।</v>
      </c>
      <c r="H126" s="5" t="str">
        <f>IFERROR(__xludf.DUMMYFUNCTION("GOOGLETRANSLATE(Q126, ""en"", ""bn"")"),"ছবি২০")</f>
        <v>ছবি২০</v>
      </c>
      <c r="J126" s="5" t="str">
        <f>IFERROR(__xludf.DUMMYFUNCTION("GOOGLETRANSLATE(A126, ""bn"", ""en"")"),"125")</f>
        <v>125</v>
      </c>
      <c r="K126" s="8" t="s">
        <v>511</v>
      </c>
      <c r="L126" s="8" t="s">
        <v>512</v>
      </c>
      <c r="M126" s="8" t="s">
        <v>513</v>
      </c>
      <c r="N126" s="8" t="s">
        <v>514</v>
      </c>
      <c r="O126" s="8" t="s">
        <v>515</v>
      </c>
      <c r="P126" s="8" t="s">
        <v>514</v>
      </c>
      <c r="Q126" s="9" t="s">
        <v>175</v>
      </c>
      <c r="R126" s="12"/>
    </row>
    <row r="127">
      <c r="L127" s="12"/>
      <c r="Q127" s="13"/>
    </row>
    <row r="128">
      <c r="L128" s="12"/>
    </row>
    <row r="129">
      <c r="L129" s="12"/>
      <c r="M129" s="11"/>
      <c r="N129" s="11"/>
      <c r="O129" s="11"/>
      <c r="P129" s="11"/>
      <c r="Q129" s="11"/>
      <c r="R129" s="11"/>
    </row>
    <row r="130">
      <c r="L130" s="14"/>
      <c r="M130" s="11"/>
      <c r="N130" s="11"/>
      <c r="O130" s="11"/>
      <c r="P130" s="11"/>
      <c r="Q130" s="11"/>
      <c r="R130" s="11"/>
    </row>
    <row r="131">
      <c r="L131" s="12"/>
      <c r="M131" s="11"/>
      <c r="N131" s="11"/>
      <c r="O131" s="11"/>
      <c r="P131" s="11"/>
      <c r="Q131" s="11"/>
      <c r="R131" s="11"/>
    </row>
    <row r="132">
      <c r="L132" s="15"/>
      <c r="M132" s="11"/>
      <c r="N132" s="11"/>
      <c r="O132" s="11"/>
      <c r="P132" s="11"/>
      <c r="Q132" s="11"/>
      <c r="R132" s="11"/>
    </row>
    <row r="133">
      <c r="L133" s="12"/>
      <c r="M133" s="12"/>
      <c r="N133" s="12"/>
      <c r="O133" s="12"/>
      <c r="P133" s="12"/>
      <c r="Q133" s="12"/>
      <c r="R133" s="12"/>
    </row>
    <row r="134">
      <c r="L134" s="12"/>
    </row>
    <row r="135">
      <c r="L135" s="12"/>
      <c r="M135" s="11"/>
      <c r="N135" s="11"/>
      <c r="O135" s="11"/>
      <c r="P135" s="11"/>
      <c r="Q135" s="11"/>
      <c r="R135" s="11"/>
    </row>
    <row r="136">
      <c r="L136" s="14"/>
      <c r="M136" s="11"/>
      <c r="N136" s="11"/>
      <c r="O136" s="11"/>
      <c r="P136" s="11"/>
      <c r="Q136" s="11"/>
      <c r="R136" s="11"/>
    </row>
    <row r="137">
      <c r="L137" s="12"/>
      <c r="M137" s="11"/>
      <c r="N137" s="11"/>
      <c r="O137" s="11"/>
      <c r="P137" s="11"/>
      <c r="Q137" s="11"/>
      <c r="R137" s="11"/>
    </row>
    <row r="138">
      <c r="L138" s="14"/>
      <c r="M138" s="11"/>
      <c r="N138" s="11"/>
      <c r="O138" s="11"/>
      <c r="P138" s="11"/>
      <c r="Q138" s="11"/>
      <c r="R138" s="11"/>
    </row>
    <row r="139">
      <c r="L139" s="12"/>
      <c r="M139" s="12"/>
      <c r="N139" s="12"/>
      <c r="O139" s="12"/>
      <c r="P139" s="12"/>
      <c r="Q139" s="12"/>
      <c r="R139" s="12"/>
    </row>
    <row r="140">
      <c r="L140" s="12"/>
    </row>
    <row r="141">
      <c r="L141" s="12"/>
    </row>
    <row r="142">
      <c r="L142" s="12"/>
    </row>
    <row r="143">
      <c r="L143" s="12"/>
    </row>
    <row r="144">
      <c r="L144" s="1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4" width="21.88"/>
    <col customWidth="1" min="5" max="5" width="18.38"/>
    <col customWidth="1" min="6" max="6" width="20.63"/>
    <col customWidth="1" min="7" max="7" width="21.88"/>
    <col customWidth="1" min="10" max="10" width="14.38"/>
    <col customWidth="1" min="11" max="11" width="37.63"/>
    <col customWidth="1" min="12" max="13" width="17.25"/>
    <col customWidth="1" min="14" max="14" width="17.13"/>
    <col customWidth="1" min="15" max="15" width="20.13"/>
    <col customWidth="1" min="16" max="1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1.0</v>
      </c>
      <c r="B2" s="4" t="s">
        <v>516</v>
      </c>
      <c r="C2" s="4" t="s">
        <v>17</v>
      </c>
      <c r="D2" s="4" t="s">
        <v>18</v>
      </c>
      <c r="E2" s="4" t="s">
        <v>19</v>
      </c>
      <c r="F2" s="4" t="s">
        <v>517</v>
      </c>
      <c r="G2" s="4" t="s">
        <v>17</v>
      </c>
      <c r="H2" s="4" t="s">
        <v>21</v>
      </c>
      <c r="J2" s="5" t="str">
        <f>IFERROR(__xludf.DUMMYFUNCTION("GOOGLETRANSLATE(A2, ""bn"", ""en"")"),"1")</f>
        <v>1</v>
      </c>
      <c r="K2" s="5" t="str">
        <f>IFERROR(__xludf.DUMMYFUNCTION("GOOGLETRANSLATE(B2, ""bn"", ""en"")"),"What game is shown in the picture?")</f>
        <v>What game is shown in the picture?</v>
      </c>
      <c r="L2" s="5" t="str">
        <f>IFERROR(__xludf.DUMMYFUNCTION("GOOGLETRANSLATE(C2, ""bn"", ""en"")"),"Fencing")</f>
        <v>Fencing</v>
      </c>
      <c r="M2" s="5" t="str">
        <f>IFERROR(__xludf.DUMMYFUNCTION("GOOGLETRANSLATE(D2, ""bn"", ""en"")"),"Boxing")</f>
        <v>Boxing</v>
      </c>
      <c r="N2" s="5" t="str">
        <f>IFERROR(__xludf.DUMMYFUNCTION("GOOGLETRANSLATE(E2, ""bn"", ""en"")"),"tennis")</f>
        <v>tennis</v>
      </c>
      <c r="O2" s="5" t="str">
        <f>IFERROR(__xludf.DUMMYFUNCTION("GOOGLETRANSLATE(F2, ""bn"", ""en"")"),"basketball")</f>
        <v>basketball</v>
      </c>
      <c r="P2" s="5" t="str">
        <f>IFERROR(__xludf.DUMMYFUNCTION("GOOGLETRANSLATE(G2, ""bn"", ""en"")"),"Fencing")</f>
        <v>Fencing</v>
      </c>
      <c r="Q2" s="5" t="str">
        <f>IFERROR(__xludf.DUMMYFUNCTION("GOOGLETRANSLATE(H2, ""bn"", ""en"")"),"pic1")</f>
        <v>pic1</v>
      </c>
    </row>
    <row r="3">
      <c r="A3" s="3">
        <v>2.0</v>
      </c>
      <c r="B3" s="4" t="s">
        <v>518</v>
      </c>
      <c r="C3" s="4" t="s">
        <v>106</v>
      </c>
      <c r="D3" s="4" t="s">
        <v>519</v>
      </c>
      <c r="E3" s="4" t="s">
        <v>520</v>
      </c>
      <c r="F3" s="4" t="s">
        <v>521</v>
      </c>
      <c r="G3" s="4" t="s">
        <v>106</v>
      </c>
      <c r="H3" s="4" t="s">
        <v>21</v>
      </c>
      <c r="J3" s="5" t="str">
        <f>IFERROR(__xludf.DUMMYFUNCTION("GOOGLETRANSLATE(A3, ""bn"", ""en"")"),"2")</f>
        <v>2</v>
      </c>
      <c r="K3" s="5" t="str">
        <f>IFERROR(__xludf.DUMMYFUNCTION("GOOGLETRANSLATE(B3, ""bn"", ""en"")"),"Which country's name is mentioned on the fencing player's outfit on the left?")</f>
        <v>Which country's name is mentioned on the fencing player's outfit on the left?</v>
      </c>
      <c r="L3" s="5" t="str">
        <f>IFERROR(__xludf.DUMMYFUNCTION("GOOGLETRANSLATE(C3, ""bn"", ""en"")"),"Bangladesh")</f>
        <v>Bangladesh</v>
      </c>
      <c r="M3" s="5" t="str">
        <f>IFERROR(__xludf.DUMMYFUNCTION("GOOGLETRANSLATE(D3, ""bn"", ""en"")"),"Germany")</f>
        <v>Germany</v>
      </c>
      <c r="N3" s="5" t="str">
        <f>IFERROR(__xludf.DUMMYFUNCTION("GOOGLETRANSLATE(E3, ""bn"", ""en"")"),"France")</f>
        <v>France</v>
      </c>
      <c r="O3" s="5" t="str">
        <f>IFERROR(__xludf.DUMMYFUNCTION("GOOGLETRANSLATE(F3, ""bn"", ""en"")"),"Italy")</f>
        <v>Italy</v>
      </c>
      <c r="P3" s="5" t="str">
        <f>IFERROR(__xludf.DUMMYFUNCTION("GOOGLETRANSLATE(G3, ""bn"", ""en"")"),"Bangladesh")</f>
        <v>Bangladesh</v>
      </c>
      <c r="Q3" s="5" t="str">
        <f>IFERROR(__xludf.DUMMYFUNCTION("GOOGLETRANSLATE(H3, ""bn"", ""en"")"),"pic1")</f>
        <v>pic1</v>
      </c>
    </row>
    <row r="4">
      <c r="A4" s="3">
        <v>3.0</v>
      </c>
      <c r="B4" s="4" t="s">
        <v>516</v>
      </c>
      <c r="C4" s="4" t="s">
        <v>209</v>
      </c>
      <c r="D4" s="4" t="s">
        <v>169</v>
      </c>
      <c r="E4" s="4" t="s">
        <v>38</v>
      </c>
      <c r="F4" s="4" t="s">
        <v>517</v>
      </c>
      <c r="G4" s="4" t="s">
        <v>38</v>
      </c>
      <c r="H4" s="4" t="s">
        <v>32</v>
      </c>
      <c r="J4" s="5" t="str">
        <f>IFERROR(__xludf.DUMMYFUNCTION("GOOGLETRANSLATE(A4, ""bn"", ""en"")"),"3")</f>
        <v>3</v>
      </c>
      <c r="K4" s="5" t="str">
        <f>IFERROR(__xludf.DUMMYFUNCTION("GOOGLETRANSLATE(B4, ""bn"", ""en"")"),"What game is shown in the picture?")</f>
        <v>What game is shown in the picture?</v>
      </c>
      <c r="L4" s="5" t="str">
        <f>IFERROR(__xludf.DUMMYFUNCTION("GOOGLETRANSLATE(C4, ""bn"", ""en"")"),"football")</f>
        <v>football</v>
      </c>
      <c r="M4" s="5" t="str">
        <f>IFERROR(__xludf.DUMMYFUNCTION("GOOGLETRANSLATE(D4, ""bn"", ""en"")"),"Kabaddi")</f>
        <v>Kabaddi</v>
      </c>
      <c r="N4" s="5" t="str">
        <f>IFERROR(__xludf.DUMMYFUNCTION("GOOGLETRANSLATE(E4, ""bn"", ""en"")"),"wrestling")</f>
        <v>wrestling</v>
      </c>
      <c r="O4" s="5" t="str">
        <f>IFERROR(__xludf.DUMMYFUNCTION("GOOGLETRANSLATE(F4, ""bn"", ""en"")"),"basketball")</f>
        <v>basketball</v>
      </c>
      <c r="P4" s="5" t="str">
        <f>IFERROR(__xludf.DUMMYFUNCTION("GOOGLETRANSLATE(G4, ""bn"", ""en"")"),"wrestling")</f>
        <v>wrestling</v>
      </c>
      <c r="Q4" s="5" t="str">
        <f>IFERROR(__xludf.DUMMYFUNCTION("GOOGLETRANSLATE(H4, ""bn"", ""en"")"),"pic2")</f>
        <v>pic2</v>
      </c>
    </row>
    <row r="5">
      <c r="A5" s="3">
        <v>4.0</v>
      </c>
      <c r="B5" s="4" t="s">
        <v>522</v>
      </c>
      <c r="C5" s="4" t="s">
        <v>59</v>
      </c>
      <c r="D5" s="4" t="s">
        <v>60</v>
      </c>
      <c r="E5" s="4" t="s">
        <v>62</v>
      </c>
      <c r="F5" s="4" t="s">
        <v>61</v>
      </c>
      <c r="G5" s="4" t="s">
        <v>60</v>
      </c>
      <c r="H5" s="4" t="s">
        <v>32</v>
      </c>
      <c r="J5" s="5" t="str">
        <f>IFERROR(__xludf.DUMMYFUNCTION("GOOGLETRANSLATE(A5, ""bn"", ""en"")"),"4")</f>
        <v>4</v>
      </c>
      <c r="K5" s="5" t="str">
        <f>IFERROR(__xludf.DUMMYFUNCTION("GOOGLETRANSLATE(B5, ""bn"", ""en"")"),"Where is the competition venue shown in the picture?")</f>
        <v>Where is the competition venue shown in the picture?</v>
      </c>
      <c r="L5" s="5" t="str">
        <f>IFERROR(__xludf.DUMMYFUNCTION("GOOGLETRANSLATE(C5, ""bn"", ""en"")"),"inside the house")</f>
        <v>inside the house</v>
      </c>
      <c r="M5" s="5" t="str">
        <f>IFERROR(__xludf.DUMMYFUNCTION("GOOGLETRANSLATE(D5, ""bn"", ""en"")"),"in the open")</f>
        <v>in the open</v>
      </c>
      <c r="N5" s="5" t="str">
        <f>IFERROR(__xludf.DUMMYFUNCTION("GOOGLETRANSLATE(E5, ""bn"", ""en"")"),"in the gym")</f>
        <v>in the gym</v>
      </c>
      <c r="O5" s="5" t="str">
        <f>IFERROR(__xludf.DUMMYFUNCTION("GOOGLETRANSLATE(F5, ""bn"", ""en"")"),"at the stadium")</f>
        <v>at the stadium</v>
      </c>
      <c r="P5" s="5" t="str">
        <f>IFERROR(__xludf.DUMMYFUNCTION("GOOGLETRANSLATE(G5, ""bn"", ""en"")"),"in the open")</f>
        <v>in the open</v>
      </c>
      <c r="Q5" s="5" t="str">
        <f>IFERROR(__xludf.DUMMYFUNCTION("GOOGLETRANSLATE(H5, ""bn"", ""en"")"),"pic2")</f>
        <v>pic2</v>
      </c>
    </row>
    <row r="6">
      <c r="A6" s="3">
        <v>5.0</v>
      </c>
      <c r="B6" s="4" t="s">
        <v>523</v>
      </c>
      <c r="C6" s="4" t="s">
        <v>524</v>
      </c>
      <c r="D6" s="4" t="s">
        <v>525</v>
      </c>
      <c r="E6" s="4" t="s">
        <v>526</v>
      </c>
      <c r="F6" s="4" t="s">
        <v>527</v>
      </c>
      <c r="G6" s="4" t="s">
        <v>525</v>
      </c>
      <c r="H6" s="4" t="s">
        <v>39</v>
      </c>
      <c r="J6" s="5" t="str">
        <f>IFERROR(__xludf.DUMMYFUNCTION("GOOGLETRANSLATE(A6, ""bn"", ""en"")"),"5")</f>
        <v>5</v>
      </c>
      <c r="K6" s="5" t="str">
        <f>IFERROR(__xludf.DUMMYFUNCTION("GOOGLETRANSLATE(B6, ""bn"", ""en"")"),"What type of floor is used for the wrestling competition in the film?")</f>
        <v>What type of floor is used for the wrestling competition in the film?</v>
      </c>
      <c r="L6" s="5" t="str">
        <f>IFERROR(__xludf.DUMMYFUNCTION("GOOGLETRANSLATE(C6, ""bn"", ""en"")"),"Wooden floor")</f>
        <v>Wooden floor</v>
      </c>
      <c r="M6" s="5" t="str">
        <f>IFERROR(__xludf.DUMMYFUNCTION("GOOGLETRANSLATE(D6, ""bn"", ""en"")"),"the sand")</f>
        <v>the sand</v>
      </c>
      <c r="N6" s="5" t="str">
        <f>IFERROR(__xludf.DUMMYFUNCTION("GOOGLETRANSLATE(E6, ""bn"", ""en"")"),"rubber")</f>
        <v>rubber</v>
      </c>
      <c r="O6" s="5" t="str">
        <f>IFERROR(__xludf.DUMMYFUNCTION("GOOGLETRANSLATE(F6, ""bn"", ""en"")"),"the grass")</f>
        <v>the grass</v>
      </c>
      <c r="P6" s="5" t="str">
        <f>IFERROR(__xludf.DUMMYFUNCTION("GOOGLETRANSLATE(G6, ""bn"", ""en"")"),"the sand")</f>
        <v>the sand</v>
      </c>
      <c r="Q6" s="5" t="str">
        <f>IFERROR(__xludf.DUMMYFUNCTION("GOOGLETRANSLATE(H6, ""bn"", ""en"")"),"pic3")</f>
        <v>pic3</v>
      </c>
    </row>
    <row r="7">
      <c r="A7" s="3">
        <v>6.0</v>
      </c>
      <c r="B7" s="4" t="s">
        <v>528</v>
      </c>
      <c r="C7" s="4" t="s">
        <v>92</v>
      </c>
      <c r="D7" s="4" t="s">
        <v>529</v>
      </c>
      <c r="E7" s="4" t="s">
        <v>530</v>
      </c>
      <c r="F7" s="4" t="s">
        <v>51</v>
      </c>
      <c r="G7" s="4" t="s">
        <v>529</v>
      </c>
      <c r="H7" s="4" t="s">
        <v>39</v>
      </c>
      <c r="J7" s="5" t="str">
        <f>IFERROR(__xludf.DUMMYFUNCTION("GOOGLETRANSLATE(A7, ""bn"", ""en"")"),"6")</f>
        <v>6</v>
      </c>
      <c r="K7" s="5" t="str">
        <f>IFERROR(__xludf.DUMMYFUNCTION("GOOGLETRANSLATE(B7, ""bn"", ""en"")"),"What is the viewer behind showing?")</f>
        <v>What is the viewer behind showing?</v>
      </c>
      <c r="L7" s="5" t="str">
        <f>IFERROR(__xludf.DUMMYFUNCTION("GOOGLETRANSLATE(C7, ""bn"", ""en"")"),"dancing")</f>
        <v>dancing</v>
      </c>
      <c r="M7" s="5" t="str">
        <f>IFERROR(__xludf.DUMMYFUNCTION("GOOGLETRANSLATE(D7, ""bn"", ""en"")"),"Encouraging the players")</f>
        <v>Encouraging the players</v>
      </c>
      <c r="N7" s="5" t="str">
        <f>IFERROR(__xludf.DUMMYFUNCTION("GOOGLETRANSLATE(E7, ""bn"", ""en"")"),"Sitting quietly")</f>
        <v>Sitting quietly</v>
      </c>
      <c r="O7" s="5" t="str">
        <f>IFERROR(__xludf.DUMMYFUNCTION("GOOGLETRANSLATE(F7, ""bn"", ""en"")"),"Another game is playing")</f>
        <v>Another game is playing</v>
      </c>
      <c r="P7" s="5" t="str">
        <f>IFERROR(__xludf.DUMMYFUNCTION("GOOGLETRANSLATE(G7, ""bn"", ""en"")"),"Encouraging the players")</f>
        <v>Encouraging the players</v>
      </c>
      <c r="Q7" s="5" t="str">
        <f>IFERROR(__xludf.DUMMYFUNCTION("GOOGLETRANSLATE(H7, ""bn"", ""en"")"),"pic3")</f>
        <v>pic3</v>
      </c>
    </row>
    <row r="8">
      <c r="A8" s="3">
        <v>7.0</v>
      </c>
      <c r="B8" s="4" t="s">
        <v>531</v>
      </c>
      <c r="C8" s="4" t="s">
        <v>532</v>
      </c>
      <c r="D8" s="4" t="s">
        <v>533</v>
      </c>
      <c r="E8" s="4" t="s">
        <v>92</v>
      </c>
      <c r="F8" s="4" t="s">
        <v>214</v>
      </c>
      <c r="G8" s="4" t="s">
        <v>532</v>
      </c>
      <c r="H8" s="4" t="s">
        <v>46</v>
      </c>
      <c r="J8" s="5" t="str">
        <f>IFERROR(__xludf.DUMMYFUNCTION("GOOGLETRANSLATE(A8, ""bn"", ""en"")"),"7")</f>
        <v>7</v>
      </c>
      <c r="K8" s="5" t="str">
        <f>IFERROR(__xludf.DUMMYFUNCTION("GOOGLETRANSLATE(B8, ""bn"", ""en"")"),"What is the main player in white clothes doing in the film?")</f>
        <v>What is the main player in white clothes doing in the film?</v>
      </c>
      <c r="L8" s="5" t="str">
        <f>IFERROR(__xludf.DUMMYFUNCTION("GOOGLETRANSLATE(C8, ""bn"", ""en"")"),"Wrestling")</f>
        <v>Wrestling</v>
      </c>
      <c r="M8" s="5" t="str">
        <f>IFERROR(__xludf.DUMMYFUNCTION("GOOGLETRANSLATE(D8, ""bn"", ""en"")"),"playing a game")</f>
        <v>playing a game</v>
      </c>
      <c r="N8" s="5" t="str">
        <f>IFERROR(__xludf.DUMMYFUNCTION("GOOGLETRANSLATE(E8, ""bn"", ""en"")"),"dancing")</f>
        <v>dancing</v>
      </c>
      <c r="O8" s="5" t="str">
        <f>IFERROR(__xludf.DUMMYFUNCTION("GOOGLETRANSLATE(F8, ""bn"", ""en"")"),"Running")</f>
        <v>Running</v>
      </c>
      <c r="P8" s="5" t="str">
        <f>IFERROR(__xludf.DUMMYFUNCTION("GOOGLETRANSLATE(G8, ""bn"", ""en"")"),"Wrestling")</f>
        <v>Wrestling</v>
      </c>
      <c r="Q8" s="5" t="str">
        <f>IFERROR(__xludf.DUMMYFUNCTION("GOOGLETRANSLATE(H8, ""bn"", ""en"")"),"pic4")</f>
        <v>pic4</v>
      </c>
    </row>
    <row r="9">
      <c r="A9" s="3">
        <v>8.0</v>
      </c>
      <c r="B9" s="4" t="s">
        <v>528</v>
      </c>
      <c r="C9" s="4" t="s">
        <v>534</v>
      </c>
      <c r="D9" s="4" t="s">
        <v>535</v>
      </c>
      <c r="E9" s="4" t="s">
        <v>536</v>
      </c>
      <c r="F9" s="4" t="s">
        <v>537</v>
      </c>
      <c r="G9" s="4" t="s">
        <v>534</v>
      </c>
      <c r="H9" s="4" t="s">
        <v>46</v>
      </c>
      <c r="J9" s="5" t="str">
        <f>IFERROR(__xludf.DUMMYFUNCTION("GOOGLETRANSLATE(A9, ""bn"", ""en"")"),"8")</f>
        <v>8</v>
      </c>
      <c r="K9" s="5" t="str">
        <f>IFERROR(__xludf.DUMMYFUNCTION("GOOGLETRANSLATE(B9, ""bn"", ""en"")"),"What is the viewer behind showing?")</f>
        <v>What is the viewer behind showing?</v>
      </c>
      <c r="L9" s="5" t="str">
        <f>IFERROR(__xludf.DUMMYFUNCTION("GOOGLETRANSLATE(C9, ""bn"", ""en"")"),"Encouragement")</f>
        <v>Encouragement</v>
      </c>
      <c r="M9" s="5" t="str">
        <f>IFERROR(__xludf.DUMMYFUNCTION("GOOGLETRANSLATE(D9, ""bn"", ""en"")"),"indifference")</f>
        <v>indifference</v>
      </c>
      <c r="N9" s="5" t="str">
        <f>IFERROR(__xludf.DUMMYFUNCTION("GOOGLETRANSLATE(E9, ""bn"", ""en"")"),"to be surprised")</f>
        <v>to be surprised</v>
      </c>
      <c r="O9" s="5" t="str">
        <f>IFERROR(__xludf.DUMMYFUNCTION("GOOGLETRANSLATE(F9, ""bn"", ""en"")"),"sadness")</f>
        <v>sadness</v>
      </c>
      <c r="P9" s="5" t="str">
        <f>IFERROR(__xludf.DUMMYFUNCTION("GOOGLETRANSLATE(G9, ""bn"", ""en"")"),"Encouragement")</f>
        <v>Encouragement</v>
      </c>
      <c r="Q9" s="5" t="str">
        <f>IFERROR(__xludf.DUMMYFUNCTION("GOOGLETRANSLATE(H9, ""bn"", ""en"")"),"pic4")</f>
        <v>pic4</v>
      </c>
    </row>
    <row r="10">
      <c r="A10" s="3">
        <v>9.0</v>
      </c>
      <c r="B10" s="4" t="s">
        <v>538</v>
      </c>
      <c r="C10" s="4" t="s">
        <v>539</v>
      </c>
      <c r="D10" s="4" t="s">
        <v>540</v>
      </c>
      <c r="E10" s="4" t="s">
        <v>541</v>
      </c>
      <c r="F10" s="4" t="s">
        <v>542</v>
      </c>
      <c r="G10" s="4" t="s">
        <v>539</v>
      </c>
      <c r="H10" s="4" t="s">
        <v>57</v>
      </c>
      <c r="J10" s="5" t="str">
        <f>IFERROR(__xludf.DUMMYFUNCTION("GOOGLETRANSLATE(A10, ""bn"", ""en"")"),"9")</f>
        <v>9</v>
      </c>
      <c r="K10" s="5" t="str">
        <f>IFERROR(__xludf.DUMMYFUNCTION("GOOGLETRANSLATE(B10, ""bn"", ""en"")"),"Where is the competition in the picture?")</f>
        <v>Where is the competition in the picture?</v>
      </c>
      <c r="L10" s="5" t="str">
        <f>IFERROR(__xludf.DUMMYFUNCTION("GOOGLETRANSLATE(C10, ""bn"", ""en"")"),"Field")</f>
        <v>Field</v>
      </c>
      <c r="M10" s="5" t="str">
        <f>IFERROR(__xludf.DUMMYFUNCTION("GOOGLETRANSLATE(D10, ""bn"", ""en"")"),"Stadium")</f>
        <v>Stadium</v>
      </c>
      <c r="N10" s="5" t="str">
        <f>IFERROR(__xludf.DUMMYFUNCTION("GOOGLETRANSLATE(E10, ""bn"", ""en"")"),"Sports hall")</f>
        <v>Sports hall</v>
      </c>
      <c r="O10" s="5" t="str">
        <f>IFERROR(__xludf.DUMMYFUNCTION("GOOGLETRANSLATE(F10, ""bn"", ""en"")"),"Playground")</f>
        <v>Playground</v>
      </c>
      <c r="P10" s="5" t="str">
        <f>IFERROR(__xludf.DUMMYFUNCTION("GOOGLETRANSLATE(G10, ""bn"", ""en"")"),"Field")</f>
        <v>Field</v>
      </c>
      <c r="Q10" s="5" t="str">
        <f>IFERROR(__xludf.DUMMYFUNCTION("GOOGLETRANSLATE(H10, ""bn"", ""en"")"),"pic5")</f>
        <v>pic5</v>
      </c>
    </row>
    <row r="11">
      <c r="A11" s="3">
        <v>10.0</v>
      </c>
      <c r="B11" s="4" t="s">
        <v>543</v>
      </c>
      <c r="C11" s="4" t="s">
        <v>529</v>
      </c>
      <c r="D11" s="4" t="s">
        <v>544</v>
      </c>
      <c r="E11" s="4" t="s">
        <v>545</v>
      </c>
      <c r="F11" s="4" t="s">
        <v>170</v>
      </c>
      <c r="G11" s="4" t="s">
        <v>529</v>
      </c>
      <c r="H11" s="4" t="s">
        <v>57</v>
      </c>
      <c r="J11" s="5" t="str">
        <f>IFERROR(__xludf.DUMMYFUNCTION("GOOGLETRANSLATE(A11, ""bn"", ""en"")"),"10")</f>
        <v>10</v>
      </c>
      <c r="K11" s="5" t="str">
        <f>IFERROR(__xludf.DUMMYFUNCTION("GOOGLETRANSLATE(B11, ""bn"", ""en"")"),"What is the person playing the traditional drum doing in the picture?")</f>
        <v>What is the person playing the traditional drum doing in the picture?</v>
      </c>
      <c r="L11" s="5" t="str">
        <f>IFERROR(__xludf.DUMMYFUNCTION("GOOGLETRANSLATE(C11, ""bn"", ""en"")"),"Encouraging the players")</f>
        <v>Encouraging the players</v>
      </c>
      <c r="M11" s="5" t="str">
        <f>IFERROR(__xludf.DUMMYFUNCTION("GOOGLETRANSLATE(D11, ""bn"", ""en"")"),"Preparing to play")</f>
        <v>Preparing to play</v>
      </c>
      <c r="N11" s="5" t="str">
        <f>IFERROR(__xludf.DUMMYFUNCTION("GOOGLETRANSLATE(E11, ""bn"", ""en"")"),"Drums are showing")</f>
        <v>Drums are showing</v>
      </c>
      <c r="O11" s="5" t="str">
        <f>IFERROR(__xludf.DUMMYFUNCTION("GOOGLETRANSLATE(F11, ""bn"", ""en"")"),"Protecting its territory")</f>
        <v>Protecting its territory</v>
      </c>
      <c r="P11" s="5" t="str">
        <f>IFERROR(__xludf.DUMMYFUNCTION("GOOGLETRANSLATE(G11, ""bn"", ""en"")"),"Encouraging the players")</f>
        <v>Encouraging the players</v>
      </c>
      <c r="Q11" s="5" t="str">
        <f>IFERROR(__xludf.DUMMYFUNCTION("GOOGLETRANSLATE(H11, ""bn"", ""en"")"),"pic5")</f>
        <v>pic5</v>
      </c>
    </row>
    <row r="12">
      <c r="A12" s="3">
        <v>11.0</v>
      </c>
      <c r="B12" s="4" t="s">
        <v>546</v>
      </c>
      <c r="C12" s="4" t="s">
        <v>182</v>
      </c>
      <c r="D12" s="4" t="s">
        <v>45</v>
      </c>
      <c r="E12" s="4" t="s">
        <v>547</v>
      </c>
      <c r="F12" s="4" t="s">
        <v>548</v>
      </c>
      <c r="G12" s="4" t="s">
        <v>182</v>
      </c>
      <c r="H12" s="4" t="s">
        <v>68</v>
      </c>
      <c r="J12" s="5" t="str">
        <f>IFERROR(__xludf.DUMMYFUNCTION("GOOGLETRANSLATE(A12, ""bn"", ""en"")"),"11")</f>
        <v>11</v>
      </c>
      <c r="K12" s="5" t="str">
        <f>IFERROR(__xludf.DUMMYFUNCTION("GOOGLETRANSLATE(B12, ""bn"", ""en"")"),"What are the two wrestlers showing in the picture?")</f>
        <v>What are the two wrestlers showing in the picture?</v>
      </c>
      <c r="L12" s="5" t="str">
        <f>IFERROR(__xludf.DUMMYFUNCTION("GOOGLETRANSLATE(C12, ""bn"", ""en"")"),"the game")</f>
        <v>the game</v>
      </c>
      <c r="M12" s="5" t="str">
        <f>IFERROR(__xludf.DUMMYFUNCTION("GOOGLETRANSLATE(D12, ""bn"", ""en"")"),"Training")</f>
        <v>Training</v>
      </c>
      <c r="N12" s="5" t="str">
        <f>IFERROR(__xludf.DUMMYFUNCTION("GOOGLETRANSLATE(E12, ""bn"", ""en"")"),"Show of strength")</f>
        <v>Show of strength</v>
      </c>
      <c r="O12" s="5" t="str">
        <f>IFERROR(__xludf.DUMMYFUNCTION("GOOGLETRANSLATE(F12, ""bn"", ""en"")"),"Dance performance")</f>
        <v>Dance performance</v>
      </c>
      <c r="P12" s="5" t="str">
        <f>IFERROR(__xludf.DUMMYFUNCTION("GOOGLETRANSLATE(G12, ""bn"", ""en"")"),"the game")</f>
        <v>the game</v>
      </c>
      <c r="Q12" s="5" t="str">
        <f>IFERROR(__xludf.DUMMYFUNCTION("GOOGLETRANSLATE(H12, ""bn"", ""en"")"),"pic6")</f>
        <v>pic6</v>
      </c>
    </row>
    <row r="13">
      <c r="A13" s="3">
        <v>12.0</v>
      </c>
      <c r="B13" s="4" t="s">
        <v>549</v>
      </c>
      <c r="C13" s="4" t="s">
        <v>550</v>
      </c>
      <c r="D13" s="4" t="s">
        <v>551</v>
      </c>
      <c r="E13" s="4" t="s">
        <v>552</v>
      </c>
      <c r="F13" s="4" t="s">
        <v>125</v>
      </c>
      <c r="G13" s="4" t="s">
        <v>552</v>
      </c>
      <c r="H13" s="4" t="s">
        <v>68</v>
      </c>
      <c r="J13" s="5" t="str">
        <f>IFERROR(__xludf.DUMMYFUNCTION("GOOGLETRANSLATE(A13, ""bn"", ""en"")"),"12")</f>
        <v>12</v>
      </c>
      <c r="K13" s="5" t="str">
        <f>IFERROR(__xludf.DUMMYFUNCTION("GOOGLETRANSLATE(B13, ""bn"", ""en"")"),"What is the role of the audience in the film?")</f>
        <v>What is the role of the audience in the film?</v>
      </c>
      <c r="L13" s="5" t="str">
        <f>IFERROR(__xludf.DUMMYFUNCTION("GOOGLETRANSLATE(C13, ""bn"", ""en"")"),"Judge")</f>
        <v>Judge</v>
      </c>
      <c r="M13" s="5" t="str">
        <f>IFERROR(__xludf.DUMMYFUNCTION("GOOGLETRANSLATE(D13, ""bn"", ""en"")"),"competitor")</f>
        <v>competitor</v>
      </c>
      <c r="N13" s="5" t="str">
        <f>IFERROR(__xludf.DUMMYFUNCTION("GOOGLETRANSLATE(E13, ""bn"", ""en"")"),"Observer")</f>
        <v>Observer</v>
      </c>
      <c r="O13" s="5" t="str">
        <f>IFERROR(__xludf.DUMMYFUNCTION("GOOGLETRANSLATE(F13, ""bn"", ""en"")"),"trainer")</f>
        <v>trainer</v>
      </c>
      <c r="P13" s="5" t="str">
        <f>IFERROR(__xludf.DUMMYFUNCTION("GOOGLETRANSLATE(G13, ""bn"", ""en"")"),"Observer")</f>
        <v>Observer</v>
      </c>
      <c r="Q13" s="5" t="str">
        <f>IFERROR(__xludf.DUMMYFUNCTION("GOOGLETRANSLATE(H13, ""bn"", ""en"")"),"pic6")</f>
        <v>pic6</v>
      </c>
    </row>
    <row r="14">
      <c r="A14" s="3">
        <v>13.0</v>
      </c>
      <c r="B14" s="4" t="s">
        <v>553</v>
      </c>
      <c r="C14" s="4" t="s">
        <v>554</v>
      </c>
      <c r="D14" s="4" t="s">
        <v>555</v>
      </c>
      <c r="E14" s="4" t="s">
        <v>556</v>
      </c>
      <c r="F14" s="4" t="s">
        <v>557</v>
      </c>
      <c r="G14" s="4" t="s">
        <v>555</v>
      </c>
      <c r="H14" s="4" t="s">
        <v>68</v>
      </c>
      <c r="J14" s="5" t="str">
        <f>IFERROR(__xludf.DUMMYFUNCTION("GOOGLETRANSLATE(A14, ""bn"", ""en"")"),"13")</f>
        <v>13</v>
      </c>
      <c r="K14" s="5" t="str">
        <f>IFERROR(__xludf.DUMMYFUNCTION("GOOGLETRANSLATE(B14, ""bn"", ""en"")"),"What are the main techniques used by wrestlers?")</f>
        <v>What are the main techniques used by wrestlers?</v>
      </c>
      <c r="L14" s="5" t="str">
        <f>IFERROR(__xludf.DUMMYFUNCTION("GOOGLETRANSLATE(C14, ""bn"", ""en"")"),"To pass underfoot")</f>
        <v>To pass underfoot</v>
      </c>
      <c r="M14" s="5" t="str">
        <f>IFERROR(__xludf.DUMMYFUNCTION("GOOGLETRANSLATE(D14, ""bn"", ""en"")"),"Detain")</f>
        <v>Detain</v>
      </c>
      <c r="N14" s="5" t="str">
        <f>IFERROR(__xludf.DUMMYFUNCTION("GOOGLETRANSLATE(E14, ""bn"", ""en"")"),"To hit")</f>
        <v>To hit</v>
      </c>
      <c r="O14" s="5" t="str">
        <f>IFERROR(__xludf.DUMMYFUNCTION("GOOGLETRANSLATE(F14, ""bn"", ""en"")"),"blow up")</f>
        <v>blow up</v>
      </c>
      <c r="P14" s="5" t="str">
        <f>IFERROR(__xludf.DUMMYFUNCTION("GOOGLETRANSLATE(G14, ""bn"", ""en"")"),"Detain")</f>
        <v>Detain</v>
      </c>
      <c r="Q14" s="5" t="str">
        <f>IFERROR(__xludf.DUMMYFUNCTION("GOOGLETRANSLATE(H14, ""bn"", ""en"")"),"pic6")</f>
        <v>pic6</v>
      </c>
    </row>
    <row r="15">
      <c r="A15" s="3">
        <v>14.0</v>
      </c>
      <c r="B15" s="4" t="s">
        <v>558</v>
      </c>
      <c r="C15" s="4" t="s">
        <v>559</v>
      </c>
      <c r="D15" s="4" t="s">
        <v>560</v>
      </c>
      <c r="E15" s="4" t="s">
        <v>561</v>
      </c>
      <c r="F15" s="4" t="s">
        <v>562</v>
      </c>
      <c r="G15" s="4" t="s">
        <v>560</v>
      </c>
      <c r="H15" s="4" t="s">
        <v>72</v>
      </c>
      <c r="J15" s="5" t="str">
        <f>IFERROR(__xludf.DUMMYFUNCTION("GOOGLETRANSLATE(A15, ""bn"", ""en"")"),"14")</f>
        <v>14</v>
      </c>
      <c r="K15" s="5" t="str">
        <f>IFERROR(__xludf.DUMMYFUNCTION("GOOGLETRANSLATE(B15, ""bn"", ""en"")"),"What is the atmosphere of competition in the film?")</f>
        <v>What is the atmosphere of competition in the film?</v>
      </c>
      <c r="L15" s="5" t="str">
        <f>IFERROR(__xludf.DUMMYFUNCTION("GOOGLETRANSLATE(C15, ""bn"", ""en"")"),"Joyful")</f>
        <v>Joyful</v>
      </c>
      <c r="M15" s="5" t="str">
        <f>IFERROR(__xludf.DUMMYFUNCTION("GOOGLETRANSLATE(D15, ""bn"", ""en"")"),"anxious")</f>
        <v>anxious</v>
      </c>
      <c r="N15" s="5" t="str">
        <f>IFERROR(__xludf.DUMMYFUNCTION("GOOGLETRANSLATE(E15, ""bn"", ""en"")"),"calm down")</f>
        <v>calm down</v>
      </c>
      <c r="O15" s="5" t="str">
        <f>IFERROR(__xludf.DUMMYFUNCTION("GOOGLETRANSLATE(F15, ""bn"", ""en"")"),"Boring")</f>
        <v>Boring</v>
      </c>
      <c r="P15" s="5" t="str">
        <f>IFERROR(__xludf.DUMMYFUNCTION("GOOGLETRANSLATE(G15, ""bn"", ""en"")"),"anxious")</f>
        <v>anxious</v>
      </c>
      <c r="Q15" s="5" t="str">
        <f>IFERROR(__xludf.DUMMYFUNCTION("GOOGLETRANSLATE(H15, ""bn"", ""en"")"),"pic7")</f>
        <v>pic7</v>
      </c>
    </row>
    <row r="16">
      <c r="A16" s="3">
        <v>15.0</v>
      </c>
      <c r="B16" s="4" t="s">
        <v>563</v>
      </c>
      <c r="C16" s="4" t="s">
        <v>564</v>
      </c>
      <c r="D16" s="4" t="s">
        <v>565</v>
      </c>
      <c r="E16" s="4" t="s">
        <v>566</v>
      </c>
      <c r="F16" s="4" t="s">
        <v>567</v>
      </c>
      <c r="G16" s="4" t="s">
        <v>566</v>
      </c>
      <c r="H16" s="4" t="s">
        <v>72</v>
      </c>
      <c r="J16" s="5" t="str">
        <f>IFERROR(__xludf.DUMMYFUNCTION("GOOGLETRANSLATE(A16, ""bn"", ""en"")"),"15")</f>
        <v>15</v>
      </c>
      <c r="K16" s="5" t="str">
        <f>IFERROR(__xludf.DUMMYFUNCTION("GOOGLETRANSLATE(B16, ""bn"", ""en"")"),"What is the wrestler wearing black shorts trying to do?")</f>
        <v>What is the wrestler wearing black shorts trying to do?</v>
      </c>
      <c r="L16" s="5" t="str">
        <f>IFERROR(__xludf.DUMMYFUNCTION("GOOGLETRANSLATE(C16, ""bn"", ""en"")"),"lifting the opponent")</f>
        <v>lifting the opponent</v>
      </c>
      <c r="M16" s="5" t="str">
        <f>IFERROR(__xludf.DUMMYFUNCTION("GOOGLETRANSLATE(D16, ""bn"", ""en"")"),"Holding the opponent")</f>
        <v>Holding the opponent</v>
      </c>
      <c r="N16" s="5" t="str">
        <f>IFERROR(__xludf.DUMMYFUNCTION("GOOGLETRANSLATE(E16, ""bn"", ""en"")"),"Throwing an opponent")</f>
        <v>Throwing an opponent</v>
      </c>
      <c r="O16" s="5" t="str">
        <f>IFERROR(__xludf.DUMMYFUNCTION("GOOGLETRANSLATE(F16, ""bn"", ""en"")"),"rotate")</f>
        <v>rotate</v>
      </c>
      <c r="P16" s="5" t="str">
        <f>IFERROR(__xludf.DUMMYFUNCTION("GOOGLETRANSLATE(G16, ""bn"", ""en"")"),"Throwing an opponent")</f>
        <v>Throwing an opponent</v>
      </c>
      <c r="Q16" s="5" t="str">
        <f>IFERROR(__xludf.DUMMYFUNCTION("GOOGLETRANSLATE(H16, ""bn"", ""en"")"),"pic7")</f>
        <v>pic7</v>
      </c>
    </row>
    <row r="17">
      <c r="A17" s="3">
        <v>16.0</v>
      </c>
      <c r="B17" s="4" t="s">
        <v>568</v>
      </c>
      <c r="C17" s="4" t="s">
        <v>569</v>
      </c>
      <c r="D17" s="4" t="s">
        <v>535</v>
      </c>
      <c r="E17" s="4" t="s">
        <v>570</v>
      </c>
      <c r="F17" s="4" t="s">
        <v>571</v>
      </c>
      <c r="G17" s="4" t="s">
        <v>569</v>
      </c>
      <c r="H17" s="4" t="s">
        <v>81</v>
      </c>
      <c r="J17" s="5" t="str">
        <f>IFERROR(__xludf.DUMMYFUNCTION("GOOGLETRANSLATE(A17, ""bn"", ""en"")"),"16")</f>
        <v>16</v>
      </c>
      <c r="K17" s="5" t="str">
        <f>IFERROR(__xludf.DUMMYFUNCTION("GOOGLETRANSLATE(B17, ""bn"", ""en"")"),"What is the emotion of the audience behind?")</f>
        <v>What is the emotion of the audience behind?</v>
      </c>
      <c r="L17" s="5" t="str">
        <f>IFERROR(__xludf.DUMMYFUNCTION("GOOGLETRANSLATE(C17, ""bn"", ""en"")"),"Excitement")</f>
        <v>Excitement</v>
      </c>
      <c r="M17" s="5" t="str">
        <f>IFERROR(__xludf.DUMMYFUNCTION("GOOGLETRANSLATE(D17, ""bn"", ""en"")"),"indifference")</f>
        <v>indifference</v>
      </c>
      <c r="N17" s="5" t="str">
        <f>IFERROR(__xludf.DUMMYFUNCTION("GOOGLETRANSLATE(E17, ""bn"", ""en"")"),"Dissatisfaction")</f>
        <v>Dissatisfaction</v>
      </c>
      <c r="O17" s="5" t="str">
        <f>IFERROR(__xludf.DUMMYFUNCTION("GOOGLETRANSLATE(F17, ""bn"", ""en"")"),"Joy")</f>
        <v>Joy</v>
      </c>
      <c r="P17" s="5" t="str">
        <f>IFERROR(__xludf.DUMMYFUNCTION("GOOGLETRANSLATE(G17, ""bn"", ""en"")"),"Excitement")</f>
        <v>Excitement</v>
      </c>
      <c r="Q17" s="5" t="str">
        <f>IFERROR(__xludf.DUMMYFUNCTION("GOOGLETRANSLATE(H17, ""bn"", ""en"")"),"pic8")</f>
        <v>pic8</v>
      </c>
    </row>
    <row r="18">
      <c r="A18" s="3">
        <v>17.0</v>
      </c>
      <c r="B18" s="4" t="s">
        <v>572</v>
      </c>
      <c r="C18" s="4" t="s">
        <v>573</v>
      </c>
      <c r="D18" s="4" t="s">
        <v>574</v>
      </c>
      <c r="E18" s="4" t="s">
        <v>554</v>
      </c>
      <c r="F18" s="4" t="s">
        <v>128</v>
      </c>
      <c r="G18" s="4" t="s">
        <v>573</v>
      </c>
      <c r="H18" s="4" t="s">
        <v>81</v>
      </c>
      <c r="J18" s="5" t="str">
        <f>IFERROR(__xludf.DUMMYFUNCTION("GOOGLETRANSLATE(A18, ""bn"", ""en"")"),"17")</f>
        <v>17</v>
      </c>
      <c r="K18" s="5" t="str">
        <f>IFERROR(__xludf.DUMMYFUNCTION("GOOGLETRANSLATE(B18, ""bn"", ""en"")"),"What is the strategy used to hold the opponent?")</f>
        <v>What is the strategy used to hold the opponent?</v>
      </c>
      <c r="L18" s="5" t="str">
        <f>IFERROR(__xludf.DUMMYFUNCTION("GOOGLETRANSLATE(C18, ""bn"", ""en"")"),"Head arrest")</f>
        <v>Head arrest</v>
      </c>
      <c r="M18" s="5" t="str">
        <f>IFERROR(__xludf.DUMMYFUNCTION("GOOGLETRANSLATE(D18, ""bn"", ""en"")"),"hand grip")</f>
        <v>hand grip</v>
      </c>
      <c r="N18" s="5" t="str">
        <f>IFERROR(__xludf.DUMMYFUNCTION("GOOGLETRANSLATE(E18, ""bn"", ""en"")"),"To pass underfoot")</f>
        <v>To pass underfoot</v>
      </c>
      <c r="O18" s="5" t="str">
        <f>IFERROR(__xludf.DUMMYFUNCTION("GOOGLETRANSLATE(F18, ""bn"", ""en"")"),"caught")</f>
        <v>caught</v>
      </c>
      <c r="P18" s="5" t="str">
        <f>IFERROR(__xludf.DUMMYFUNCTION("GOOGLETRANSLATE(G18, ""bn"", ""en"")"),"Head arrest")</f>
        <v>Head arrest</v>
      </c>
      <c r="Q18" s="5" t="str">
        <f>IFERROR(__xludf.DUMMYFUNCTION("GOOGLETRANSLATE(H18, ""bn"", ""en"")"),"pic8")</f>
        <v>pic8</v>
      </c>
    </row>
    <row r="19">
      <c r="A19" s="3">
        <v>18.0</v>
      </c>
      <c r="B19" s="4" t="s">
        <v>575</v>
      </c>
      <c r="C19" s="4" t="s">
        <v>576</v>
      </c>
      <c r="D19" s="4" t="s">
        <v>577</v>
      </c>
      <c r="E19" s="4" t="s">
        <v>578</v>
      </c>
      <c r="F19" s="4" t="s">
        <v>579</v>
      </c>
      <c r="G19" s="4" t="s">
        <v>577</v>
      </c>
      <c r="H19" s="4" t="s">
        <v>88</v>
      </c>
      <c r="J19" s="5" t="str">
        <f>IFERROR(__xludf.DUMMYFUNCTION("GOOGLETRANSLATE(A19, ""bn"", ""en"")"),"18")</f>
        <v>18</v>
      </c>
      <c r="K19" s="5" t="str">
        <f>IFERROR(__xludf.DUMMYFUNCTION("GOOGLETRANSLATE(B19, ""bn"", ""en"")"),"What are the viewers doing in the back?")</f>
        <v>What are the viewers doing in the back?</v>
      </c>
      <c r="L19" s="5" t="str">
        <f>IFERROR(__xludf.DUMMYFUNCTION("GOOGLETRANSLATE(C19, ""bn"", ""en"")"),"encouraging")</f>
        <v>encouraging</v>
      </c>
      <c r="M19" s="5" t="str">
        <f>IFERROR(__xludf.DUMMYFUNCTION("GOOGLETRANSLATE(D19, ""bn"", ""en"")"),"Showing interest")</f>
        <v>Showing interest</v>
      </c>
      <c r="N19" s="5" t="str">
        <f>IFERROR(__xludf.DUMMYFUNCTION("GOOGLETRANSLATE(E19, ""bn"", ""en"")"),"It is quiet.")</f>
        <v>It is quiet.</v>
      </c>
      <c r="O19" s="5" t="str">
        <f>IFERROR(__xludf.DUMMYFUNCTION("GOOGLETRANSLATE(F19, ""bn"", ""en"")"),"careless")</f>
        <v>careless</v>
      </c>
      <c r="P19" s="5" t="str">
        <f>IFERROR(__xludf.DUMMYFUNCTION("GOOGLETRANSLATE(G19, ""bn"", ""en"")"),"Showing interest")</f>
        <v>Showing interest</v>
      </c>
      <c r="Q19" s="5" t="str">
        <f>IFERROR(__xludf.DUMMYFUNCTION("GOOGLETRANSLATE(H19, ""bn"", ""en"")"),"pic9")</f>
        <v>pic9</v>
      </c>
    </row>
    <row r="20">
      <c r="A20" s="3">
        <v>19.0</v>
      </c>
      <c r="B20" s="4" t="s">
        <v>580</v>
      </c>
      <c r="C20" s="4" t="s">
        <v>581</v>
      </c>
      <c r="D20" s="4" t="s">
        <v>550</v>
      </c>
      <c r="E20" s="4" t="s">
        <v>582</v>
      </c>
      <c r="F20" s="4" t="s">
        <v>583</v>
      </c>
      <c r="G20" s="4" t="s">
        <v>550</v>
      </c>
      <c r="H20" s="4" t="s">
        <v>88</v>
      </c>
      <c r="J20" s="5" t="str">
        <f>IFERROR(__xludf.DUMMYFUNCTION("GOOGLETRANSLATE(A20, ""bn"", ""en"")"),"19")</f>
        <v>19</v>
      </c>
      <c r="K20" s="5" t="str">
        <f>IFERROR(__xludf.DUMMYFUNCTION("GOOGLETRANSLATE(B20, ""bn"", ""en"")"),"What is the role of the person wearing the yellow hat and red scarf?")</f>
        <v>What is the role of the person wearing the yellow hat and red scarf?</v>
      </c>
      <c r="L20" s="5" t="str">
        <f>IFERROR(__xludf.DUMMYFUNCTION("GOOGLETRANSLATE(C20, ""bn"", ""en"")"),"Viewer")</f>
        <v>Viewer</v>
      </c>
      <c r="M20" s="5" t="str">
        <f>IFERROR(__xludf.DUMMYFUNCTION("GOOGLETRANSLATE(D20, ""bn"", ""en"")"),"Judge")</f>
        <v>Judge</v>
      </c>
      <c r="N20" s="5" t="str">
        <f>IFERROR(__xludf.DUMMYFUNCTION("GOOGLETRANSLATE(E20, ""bn"", ""en"")"),"organizer")</f>
        <v>organizer</v>
      </c>
      <c r="O20" s="5" t="str">
        <f>IFERROR(__xludf.DUMMYFUNCTION("GOOGLETRANSLATE(F20, ""bn"", ""en"")"),"the player")</f>
        <v>the player</v>
      </c>
      <c r="P20" s="5" t="str">
        <f>IFERROR(__xludf.DUMMYFUNCTION("GOOGLETRANSLATE(G20, ""bn"", ""en"")"),"Judge")</f>
        <v>Judge</v>
      </c>
      <c r="Q20" s="5" t="str">
        <f>IFERROR(__xludf.DUMMYFUNCTION("GOOGLETRANSLATE(H20, ""bn"", ""en"")"),"pic9")</f>
        <v>pic9</v>
      </c>
    </row>
    <row r="21">
      <c r="A21" s="3">
        <v>20.0</v>
      </c>
      <c r="B21" s="4" t="s">
        <v>584</v>
      </c>
      <c r="C21" s="4" t="s">
        <v>128</v>
      </c>
      <c r="D21" s="4" t="s">
        <v>554</v>
      </c>
      <c r="E21" s="4" t="s">
        <v>128</v>
      </c>
      <c r="F21" s="4" t="s">
        <v>129</v>
      </c>
      <c r="G21" s="4" t="s">
        <v>128</v>
      </c>
      <c r="H21" s="4" t="s">
        <v>98</v>
      </c>
      <c r="J21" s="5" t="str">
        <f>IFERROR(__xludf.DUMMYFUNCTION("GOOGLETRANSLATE(A21, ""bn"", ""en"")"),"20")</f>
        <v>20</v>
      </c>
      <c r="K21" s="5" t="str">
        <f>IFERROR(__xludf.DUMMYFUNCTION("GOOGLETRANSLATE(B21, ""bn"", ""en"")"),"What are the main techniques used by the wrestlers in the film?")</f>
        <v>What are the main techniques used by the wrestlers in the film?</v>
      </c>
      <c r="L21" s="5" t="str">
        <f>IFERROR(__xludf.DUMMYFUNCTION("GOOGLETRANSLATE(C21, ""bn"", ""en"")"),"caught")</f>
        <v>caught</v>
      </c>
      <c r="M21" s="5" t="str">
        <f>IFERROR(__xludf.DUMMYFUNCTION("GOOGLETRANSLATE(D21, ""bn"", ""en"")"),"To pass underfoot")</f>
        <v>To pass underfoot</v>
      </c>
      <c r="N21" s="5" t="str">
        <f>IFERROR(__xludf.DUMMYFUNCTION("GOOGLETRANSLATE(E21, ""bn"", ""en"")"),"caught")</f>
        <v>caught</v>
      </c>
      <c r="O21" s="5" t="str">
        <f>IFERROR(__xludf.DUMMYFUNCTION("GOOGLETRANSLATE(F21, ""bn"", ""en"")"),"injury")</f>
        <v>injury</v>
      </c>
      <c r="P21" s="5" t="str">
        <f>IFERROR(__xludf.DUMMYFUNCTION("GOOGLETRANSLATE(G21, ""bn"", ""en"")"),"caught")</f>
        <v>caught</v>
      </c>
      <c r="Q21" s="5" t="str">
        <f>IFERROR(__xludf.DUMMYFUNCTION("GOOGLETRANSLATE(H21, ""bn"", ""en"")"),"pic10")</f>
        <v>pic10</v>
      </c>
    </row>
    <row r="22">
      <c r="A22" s="3">
        <v>21.0</v>
      </c>
      <c r="B22" s="4" t="s">
        <v>585</v>
      </c>
      <c r="C22" s="4" t="s">
        <v>38</v>
      </c>
      <c r="D22" s="4" t="s">
        <v>586</v>
      </c>
      <c r="E22" s="4" t="s">
        <v>587</v>
      </c>
      <c r="F22" s="4" t="s">
        <v>588</v>
      </c>
      <c r="G22" s="4" t="s">
        <v>38</v>
      </c>
      <c r="H22" s="4" t="s">
        <v>98</v>
      </c>
      <c r="J22" s="5" t="str">
        <f>IFERROR(__xludf.DUMMYFUNCTION("GOOGLETRANSLATE(A22, ""bn"", ""en"")"),"21")</f>
        <v>21</v>
      </c>
      <c r="K22" s="5" t="str">
        <f>IFERROR(__xludf.DUMMYFUNCTION("GOOGLETRANSLATE(B22, ""bn"", ""en"")"),"What is shown in the front view of the picture?")</f>
        <v>What is shown in the front view of the picture?</v>
      </c>
      <c r="L22" s="5" t="str">
        <f>IFERROR(__xludf.DUMMYFUNCTION("GOOGLETRANSLATE(C22, ""bn"", ""en"")"),"wrestling")</f>
        <v>wrestling</v>
      </c>
      <c r="M22" s="5" t="str">
        <f>IFERROR(__xludf.DUMMYFUNCTION("GOOGLETRANSLATE(D22, ""bn"", ""en"")"),"football game")</f>
        <v>football game</v>
      </c>
      <c r="N22" s="5" t="str">
        <f>IFERROR(__xludf.DUMMYFUNCTION("GOOGLETRANSLATE(E22, ""bn"", ""en"")"),"Family picnic")</f>
        <v>Family picnic</v>
      </c>
      <c r="O22" s="5" t="str">
        <f>IFERROR(__xludf.DUMMYFUNCTION("GOOGLETRANSLATE(F22, ""bn"", ""en"")"),"lecture")</f>
        <v>lecture</v>
      </c>
      <c r="P22" s="5" t="str">
        <f>IFERROR(__xludf.DUMMYFUNCTION("GOOGLETRANSLATE(G22, ""bn"", ""en"")"),"wrestling")</f>
        <v>wrestling</v>
      </c>
      <c r="Q22" s="5" t="str">
        <f>IFERROR(__xludf.DUMMYFUNCTION("GOOGLETRANSLATE(H22, ""bn"", ""en"")"),"pic10")</f>
        <v>pic10</v>
      </c>
    </row>
    <row r="23">
      <c r="A23" s="3">
        <v>22.0</v>
      </c>
      <c r="B23" s="4" t="s">
        <v>589</v>
      </c>
      <c r="C23" s="4" t="s">
        <v>590</v>
      </c>
      <c r="D23" s="4" t="s">
        <v>591</v>
      </c>
      <c r="E23" s="4" t="s">
        <v>542</v>
      </c>
      <c r="F23" s="4" t="s">
        <v>540</v>
      </c>
      <c r="G23" s="4" t="s">
        <v>542</v>
      </c>
      <c r="H23" s="4" t="s">
        <v>109</v>
      </c>
      <c r="J23" s="5" t="str">
        <f>IFERROR(__xludf.DUMMYFUNCTION("GOOGLETRANSLATE(A23, ""bn"", ""en"")"),"22")</f>
        <v>22</v>
      </c>
      <c r="K23" s="5" t="str">
        <f>IFERROR(__xludf.DUMMYFUNCTION("GOOGLETRANSLATE(B23, ""bn"", ""en"")"),"Where is the competition in the picture?")</f>
        <v>Where is the competition in the picture?</v>
      </c>
      <c r="L23" s="5" t="str">
        <f>IFERROR(__xludf.DUMMYFUNCTION("GOOGLETRANSLATE(C23, ""bn"", ""en"")"),"the beach")</f>
        <v>the beach</v>
      </c>
      <c r="M23" s="5" t="str">
        <f>IFERROR(__xludf.DUMMYFUNCTION("GOOGLETRANSLATE(D23, ""bn"", ""en"")"),"the park")</f>
        <v>the park</v>
      </c>
      <c r="N23" s="5" t="str">
        <f>IFERROR(__xludf.DUMMYFUNCTION("GOOGLETRANSLATE(E23, ""bn"", ""en"")"),"Playground")</f>
        <v>Playground</v>
      </c>
      <c r="O23" s="5" t="str">
        <f>IFERROR(__xludf.DUMMYFUNCTION("GOOGLETRANSLATE(F23, ""bn"", ""en"")"),"Stadium")</f>
        <v>Stadium</v>
      </c>
      <c r="P23" s="5" t="str">
        <f>IFERROR(__xludf.DUMMYFUNCTION("GOOGLETRANSLATE(G23, ""bn"", ""en"")"),"Playground")</f>
        <v>Playground</v>
      </c>
      <c r="Q23" s="5" t="str">
        <f>IFERROR(__xludf.DUMMYFUNCTION("GOOGLETRANSLATE(H23, ""bn"", ""en"")"),"pic11")</f>
        <v>pic11</v>
      </c>
    </row>
    <row r="24">
      <c r="A24" s="3">
        <v>23.0</v>
      </c>
      <c r="B24" s="4" t="s">
        <v>585</v>
      </c>
      <c r="C24" s="4" t="s">
        <v>38</v>
      </c>
      <c r="D24" s="4" t="s">
        <v>586</v>
      </c>
      <c r="E24" s="4" t="s">
        <v>587</v>
      </c>
      <c r="F24" s="4" t="s">
        <v>588</v>
      </c>
      <c r="G24" s="4" t="s">
        <v>38</v>
      </c>
      <c r="H24" s="4" t="s">
        <v>109</v>
      </c>
      <c r="J24" s="5" t="str">
        <f>IFERROR(__xludf.DUMMYFUNCTION("GOOGLETRANSLATE(A24, ""bn"", ""en"")"),"23")</f>
        <v>23</v>
      </c>
      <c r="K24" s="5" t="str">
        <f>IFERROR(__xludf.DUMMYFUNCTION("GOOGLETRANSLATE(B24, ""bn"", ""en"")"),"What is shown in the front view of the picture?")</f>
        <v>What is shown in the front view of the picture?</v>
      </c>
      <c r="L24" s="5" t="str">
        <f>IFERROR(__xludf.DUMMYFUNCTION("GOOGLETRANSLATE(C24, ""bn"", ""en"")"),"wrestling")</f>
        <v>wrestling</v>
      </c>
      <c r="M24" s="5" t="str">
        <f>IFERROR(__xludf.DUMMYFUNCTION("GOOGLETRANSLATE(D24, ""bn"", ""en"")"),"football game")</f>
        <v>football game</v>
      </c>
      <c r="N24" s="5" t="str">
        <f>IFERROR(__xludf.DUMMYFUNCTION("GOOGLETRANSLATE(E24, ""bn"", ""en"")"),"Family picnic")</f>
        <v>Family picnic</v>
      </c>
      <c r="O24" s="5" t="str">
        <f>IFERROR(__xludf.DUMMYFUNCTION("GOOGLETRANSLATE(F24, ""bn"", ""en"")"),"lecture")</f>
        <v>lecture</v>
      </c>
      <c r="P24" s="5" t="str">
        <f>IFERROR(__xludf.DUMMYFUNCTION("GOOGLETRANSLATE(G24, ""bn"", ""en"")"),"wrestling")</f>
        <v>wrestling</v>
      </c>
      <c r="Q24" s="5" t="str">
        <f>IFERROR(__xludf.DUMMYFUNCTION("GOOGLETRANSLATE(H24, ""bn"", ""en"")"),"pic11")</f>
        <v>pic11</v>
      </c>
    </row>
    <row r="25">
      <c r="A25" s="3">
        <v>24.0</v>
      </c>
      <c r="B25" s="4" t="s">
        <v>592</v>
      </c>
      <c r="C25" s="4" t="s">
        <v>38</v>
      </c>
      <c r="D25" s="4" t="s">
        <v>45</v>
      </c>
      <c r="E25" s="4" t="s">
        <v>182</v>
      </c>
      <c r="F25" s="4" t="s">
        <v>181</v>
      </c>
      <c r="G25" s="4" t="s">
        <v>38</v>
      </c>
      <c r="H25" s="4" t="s">
        <v>120</v>
      </c>
      <c r="J25" s="5" t="str">
        <f>IFERROR(__xludf.DUMMYFUNCTION("GOOGLETRANSLATE(A25, ""bn"", ""en"")"),"24")</f>
        <v>24</v>
      </c>
      <c r="K25" s="5" t="str">
        <f>IFERROR(__xludf.DUMMYFUNCTION("GOOGLETRANSLATE(B25, ""bn"", ""en"")"),"What kind of action is going on in the picture?")</f>
        <v>What kind of action is going on in the picture?</v>
      </c>
      <c r="L25" s="5" t="str">
        <f>IFERROR(__xludf.DUMMYFUNCTION("GOOGLETRANSLATE(C25, ""bn"", ""en"")"),"wrestling")</f>
        <v>wrestling</v>
      </c>
      <c r="M25" s="5" t="str">
        <f>IFERROR(__xludf.DUMMYFUNCTION("GOOGLETRANSLATE(D25, ""bn"", ""en"")"),"Training")</f>
        <v>Training</v>
      </c>
      <c r="N25" s="5" t="str">
        <f>IFERROR(__xludf.DUMMYFUNCTION("GOOGLETRANSLATE(E25, ""bn"", ""en"")"),"the game")</f>
        <v>the game</v>
      </c>
      <c r="O25" s="5" t="str">
        <f>IFERROR(__xludf.DUMMYFUNCTION("GOOGLETRANSLATE(F25, ""bn"", ""en"")"),"competition")</f>
        <v>competition</v>
      </c>
      <c r="P25" s="5" t="str">
        <f>IFERROR(__xludf.DUMMYFUNCTION("GOOGLETRANSLATE(G25, ""bn"", ""en"")"),"wrestling")</f>
        <v>wrestling</v>
      </c>
      <c r="Q25" s="5" t="str">
        <f>IFERROR(__xludf.DUMMYFUNCTION("GOOGLETRANSLATE(H25, ""bn"", ""en"")"),"pic12")</f>
        <v>pic12</v>
      </c>
    </row>
    <row r="26">
      <c r="A26" s="3">
        <v>25.0</v>
      </c>
      <c r="B26" s="4" t="s">
        <v>593</v>
      </c>
      <c r="C26" s="4" t="s">
        <v>38</v>
      </c>
      <c r="D26" s="4" t="s">
        <v>594</v>
      </c>
      <c r="E26" s="4" t="s">
        <v>517</v>
      </c>
      <c r="F26" s="4" t="s">
        <v>209</v>
      </c>
      <c r="G26" s="4" t="s">
        <v>38</v>
      </c>
      <c r="H26" s="4" t="s">
        <v>120</v>
      </c>
      <c r="J26" s="5" t="str">
        <f>IFERROR(__xludf.DUMMYFUNCTION("GOOGLETRANSLATE(A26, ""bn"", ""en"")"),"25")</f>
        <v>25</v>
      </c>
      <c r="K26" s="5" t="str">
        <f>IFERROR(__xludf.DUMMYFUNCTION("GOOGLETRANSLATE(B26, ""bn"", ""en"")"),"What action is taking place in the picture?")</f>
        <v>What action is taking place in the picture?</v>
      </c>
      <c r="L26" s="5" t="str">
        <f>IFERROR(__xludf.DUMMYFUNCTION("GOOGLETRANSLATE(C26, ""bn"", ""en"")"),"wrestling")</f>
        <v>wrestling</v>
      </c>
      <c r="M26" s="5" t="str">
        <f>IFERROR(__xludf.DUMMYFUNCTION("GOOGLETRANSLATE(D26, ""bn"", ""en"")"),"Tennis game")</f>
        <v>Tennis game</v>
      </c>
      <c r="N26" s="5" t="str">
        <f>IFERROR(__xludf.DUMMYFUNCTION("GOOGLETRANSLATE(E26, ""bn"", ""en"")"),"basketball")</f>
        <v>basketball</v>
      </c>
      <c r="O26" s="5" t="str">
        <f>IFERROR(__xludf.DUMMYFUNCTION("GOOGLETRANSLATE(F26, ""bn"", ""en"")"),"football")</f>
        <v>football</v>
      </c>
      <c r="P26" s="5" t="str">
        <f>IFERROR(__xludf.DUMMYFUNCTION("GOOGLETRANSLATE(G26, ""bn"", ""en"")"),"wrestling")</f>
        <v>wrestling</v>
      </c>
      <c r="Q26" s="5" t="str">
        <f>IFERROR(__xludf.DUMMYFUNCTION("GOOGLETRANSLATE(H26, ""bn"", ""en"")"),"pic12")</f>
        <v>pic12</v>
      </c>
    </row>
    <row r="27">
      <c r="A27" s="3">
        <v>26.0</v>
      </c>
      <c r="B27" s="4" t="s">
        <v>595</v>
      </c>
      <c r="C27" s="4" t="s">
        <v>569</v>
      </c>
      <c r="D27" s="4" t="s">
        <v>535</v>
      </c>
      <c r="E27" s="4" t="s">
        <v>596</v>
      </c>
      <c r="F27" s="4" t="s">
        <v>561</v>
      </c>
      <c r="G27" s="4" t="s">
        <v>569</v>
      </c>
      <c r="H27" s="4" t="s">
        <v>131</v>
      </c>
      <c r="J27" s="5" t="str">
        <f>IFERROR(__xludf.DUMMYFUNCTION("GOOGLETRANSLATE(A27, ""bn"", ""en"")"),"26")</f>
        <v>26</v>
      </c>
      <c r="K27" s="5" t="str">
        <f>IFERROR(__xludf.DUMMYFUNCTION("GOOGLETRANSLATE(B27, ""bn"", ""en"")"),"What is the audience response to the competition?")</f>
        <v>What is the audience response to the competition?</v>
      </c>
      <c r="L27" s="5" t="str">
        <f>IFERROR(__xludf.DUMMYFUNCTION("GOOGLETRANSLATE(C27, ""bn"", ""en"")"),"Excitement")</f>
        <v>Excitement</v>
      </c>
      <c r="M27" s="5" t="str">
        <f>IFERROR(__xludf.DUMMYFUNCTION("GOOGLETRANSLATE(D27, ""bn"", ""en"")"),"indifference")</f>
        <v>indifference</v>
      </c>
      <c r="N27" s="5" t="str">
        <f>IFERROR(__xludf.DUMMYFUNCTION("GOOGLETRANSLATE(E27, ""bn"", ""en"")"),"Depression")</f>
        <v>Depression</v>
      </c>
      <c r="O27" s="5" t="str">
        <f>IFERROR(__xludf.DUMMYFUNCTION("GOOGLETRANSLATE(F27, ""bn"", ""en"")"),"calm down")</f>
        <v>calm down</v>
      </c>
      <c r="P27" s="5" t="str">
        <f>IFERROR(__xludf.DUMMYFUNCTION("GOOGLETRANSLATE(G27, ""bn"", ""en"")"),"Excitement")</f>
        <v>Excitement</v>
      </c>
      <c r="Q27" s="5" t="str">
        <f>IFERROR(__xludf.DUMMYFUNCTION("GOOGLETRANSLATE(H27, ""bn"", ""en"")"),"pic13")</f>
        <v>pic13</v>
      </c>
    </row>
    <row r="28">
      <c r="A28" s="3">
        <v>27.0</v>
      </c>
      <c r="B28" s="4" t="s">
        <v>597</v>
      </c>
      <c r="C28" s="4" t="s">
        <v>38</v>
      </c>
      <c r="D28" s="4" t="s">
        <v>182</v>
      </c>
      <c r="E28" s="4" t="s">
        <v>45</v>
      </c>
      <c r="F28" s="4" t="s">
        <v>598</v>
      </c>
      <c r="G28" s="4" t="s">
        <v>38</v>
      </c>
      <c r="H28" s="4" t="s">
        <v>131</v>
      </c>
      <c r="J28" s="5" t="str">
        <f>IFERROR(__xludf.DUMMYFUNCTION("GOOGLETRANSLATE(A28, ""bn"", ""en"")"),"27")</f>
        <v>27</v>
      </c>
      <c r="K28" s="5" t="str">
        <f>IFERROR(__xludf.DUMMYFUNCTION("GOOGLETRANSLATE(B28, ""bn"", ""en"")"),"What is shown in the foreground?")</f>
        <v>What is shown in the foreground?</v>
      </c>
      <c r="L28" s="5" t="str">
        <f>IFERROR(__xludf.DUMMYFUNCTION("GOOGLETRANSLATE(C28, ""bn"", ""en"")"),"wrestling")</f>
        <v>wrestling</v>
      </c>
      <c r="M28" s="5" t="str">
        <f>IFERROR(__xludf.DUMMYFUNCTION("GOOGLETRANSLATE(D28, ""bn"", ""en"")"),"the game")</f>
        <v>the game</v>
      </c>
      <c r="N28" s="5" t="str">
        <f>IFERROR(__xludf.DUMMYFUNCTION("GOOGLETRANSLATE(E28, ""bn"", ""en"")"),"Training")</f>
        <v>Training</v>
      </c>
      <c r="O28" s="5" t="str">
        <f>IFERROR(__xludf.DUMMYFUNCTION("GOOGLETRANSLATE(F28, ""bn"", ""en"")"),"the dance")</f>
        <v>the dance</v>
      </c>
      <c r="P28" s="5" t="str">
        <f>IFERROR(__xludf.DUMMYFUNCTION("GOOGLETRANSLATE(G28, ""bn"", ""en"")"),"wrestling")</f>
        <v>wrestling</v>
      </c>
      <c r="Q28" s="5" t="str">
        <f>IFERROR(__xludf.DUMMYFUNCTION("GOOGLETRANSLATE(H28, ""bn"", ""en"")"),"pic13")</f>
        <v>pic13</v>
      </c>
    </row>
    <row r="29">
      <c r="A29" s="3">
        <v>28.0</v>
      </c>
      <c r="B29" s="4" t="s">
        <v>599</v>
      </c>
      <c r="C29" s="4" t="s">
        <v>183</v>
      </c>
      <c r="D29" s="4" t="s">
        <v>181</v>
      </c>
      <c r="E29" s="4" t="s">
        <v>600</v>
      </c>
      <c r="F29" s="4" t="s">
        <v>182</v>
      </c>
      <c r="G29" s="4" t="s">
        <v>181</v>
      </c>
      <c r="H29" s="4" t="s">
        <v>141</v>
      </c>
      <c r="J29" s="5" t="str">
        <f>IFERROR(__xludf.DUMMYFUNCTION("GOOGLETRANSLATE(A29, ""bn"", ""en"")"),"28")</f>
        <v>28</v>
      </c>
      <c r="K29" s="5" t="str">
        <f>IFERROR(__xludf.DUMMYFUNCTION("GOOGLETRANSLATE(B29, ""bn"", ""en"")"),"What is the flag indicating in the rear view?")</f>
        <v>What is the flag indicating in the rear view?</v>
      </c>
      <c r="L29" s="5" t="str">
        <f>IFERROR(__xludf.DUMMYFUNCTION("GOOGLETRANSLATE(C29, ""bn"", ""en"")"),"Festival")</f>
        <v>Festival</v>
      </c>
      <c r="M29" s="5" t="str">
        <f>IFERROR(__xludf.DUMMYFUNCTION("GOOGLETRANSLATE(D29, ""bn"", ""en"")"),"competition")</f>
        <v>competition</v>
      </c>
      <c r="N29" s="5" t="str">
        <f>IFERROR(__xludf.DUMMYFUNCTION("GOOGLETRANSLATE(E29, ""bn"", ""en"")"),"festival")</f>
        <v>festival</v>
      </c>
      <c r="O29" s="5" t="str">
        <f>IFERROR(__xludf.DUMMYFUNCTION("GOOGLETRANSLATE(F29, ""bn"", ""en"")"),"the game")</f>
        <v>the game</v>
      </c>
      <c r="P29" s="5" t="str">
        <f>IFERROR(__xludf.DUMMYFUNCTION("GOOGLETRANSLATE(G29, ""bn"", ""en"")"),"competition")</f>
        <v>competition</v>
      </c>
      <c r="Q29" s="5" t="str">
        <f>IFERROR(__xludf.DUMMYFUNCTION("GOOGLETRANSLATE(H29, ""bn"", ""en"")"),"pic14")</f>
        <v>pic14</v>
      </c>
    </row>
    <row r="30">
      <c r="A30" s="3">
        <v>29.0</v>
      </c>
      <c r="B30" s="4" t="s">
        <v>601</v>
      </c>
      <c r="C30" s="4" t="s">
        <v>602</v>
      </c>
      <c r="D30" s="4" t="s">
        <v>603</v>
      </c>
      <c r="E30" s="4" t="s">
        <v>111</v>
      </c>
      <c r="F30" s="4" t="s">
        <v>604</v>
      </c>
      <c r="G30" s="4" t="s">
        <v>602</v>
      </c>
      <c r="H30" s="4" t="s">
        <v>141</v>
      </c>
      <c r="J30" s="5" t="str">
        <f>IFERROR(__xludf.DUMMYFUNCTION("GOOGLETRANSLATE(A30, ""bn"", ""en"")"),"29")</f>
        <v>29</v>
      </c>
      <c r="K30" s="5" t="str">
        <f>IFERROR(__xludf.DUMMYFUNCTION("GOOGLETRANSLATE(B30, ""bn"", ""en"")"),"What is the photo judge doing?")</f>
        <v>What is the photo judge doing?</v>
      </c>
      <c r="L30" s="5" t="str">
        <f>IFERROR(__xludf.DUMMYFUNCTION("GOOGLETRANSLATE(C30, ""bn"", ""en"")"),"Signaling the start of the game")</f>
        <v>Signaling the start of the game</v>
      </c>
      <c r="M30" s="5" t="str">
        <f>IFERROR(__xludf.DUMMYFUNCTION("GOOGLETRANSLATE(D30, ""bn"", ""en"")"),"Checking the condition of the wrestlers")</f>
        <v>Checking the condition of the wrestlers</v>
      </c>
      <c r="N30" s="5" t="str">
        <f>IFERROR(__xludf.DUMMYFUNCTION("GOOGLETRANSLATE(E30, ""bn"", ""en"")"),"Resting")</f>
        <v>Resting</v>
      </c>
      <c r="O30" s="5" t="str">
        <f>IFERROR(__xludf.DUMMYFUNCTION("GOOGLETRANSLATE(F30, ""bn"", ""en"")"),"Preparing for the next round")</f>
        <v>Preparing for the next round</v>
      </c>
      <c r="P30" s="5" t="str">
        <f>IFERROR(__xludf.DUMMYFUNCTION("GOOGLETRANSLATE(G30, ""bn"", ""en"")"),"Signaling the start of the game")</f>
        <v>Signaling the start of the game</v>
      </c>
      <c r="Q30" s="5" t="str">
        <f>IFERROR(__xludf.DUMMYFUNCTION("GOOGLETRANSLATE(H30, ""bn"", ""en"")"),"pic14")</f>
        <v>pic14</v>
      </c>
    </row>
    <row r="31">
      <c r="A31" s="3">
        <v>30.0</v>
      </c>
      <c r="B31" s="4" t="s">
        <v>605</v>
      </c>
      <c r="C31" s="4" t="s">
        <v>128</v>
      </c>
      <c r="D31" s="4" t="s">
        <v>129</v>
      </c>
      <c r="E31" s="4" t="s">
        <v>606</v>
      </c>
      <c r="F31" s="4" t="s">
        <v>607</v>
      </c>
      <c r="G31" s="4" t="s">
        <v>128</v>
      </c>
      <c r="H31" s="4" t="s">
        <v>608</v>
      </c>
      <c r="J31" s="5" t="str">
        <f>IFERROR(__xludf.DUMMYFUNCTION("GOOGLETRANSLATE(A31, ""bn"", ""en"")"),"30")</f>
        <v>30</v>
      </c>
      <c r="K31" s="5" t="str">
        <f>IFERROR(__xludf.DUMMYFUNCTION("GOOGLETRANSLATE(B31, ""bn"", ""en"")"),"What is the main technique of the wrestler wearing white?")</f>
        <v>What is the main technique of the wrestler wearing white?</v>
      </c>
      <c r="L31" s="5" t="str">
        <f>IFERROR(__xludf.DUMMYFUNCTION("GOOGLETRANSLATE(C31, ""bn"", ""en"")"),"caught")</f>
        <v>caught</v>
      </c>
      <c r="M31" s="5" t="str">
        <f>IFERROR(__xludf.DUMMYFUNCTION("GOOGLETRANSLATE(D31, ""bn"", ""en"")"),"injury")</f>
        <v>injury</v>
      </c>
      <c r="N31" s="5" t="str">
        <f>IFERROR(__xludf.DUMMYFUNCTION("GOOGLETRANSLATE(E31, ""bn"", ""en"")"),"Transfer")</f>
        <v>Transfer</v>
      </c>
      <c r="O31" s="5" t="str">
        <f>IFERROR(__xludf.DUMMYFUNCTION("GOOGLETRANSLATE(F31, ""bn"", ""en"")"),"Hold")</f>
        <v>Hold</v>
      </c>
      <c r="P31" s="5" t="str">
        <f>IFERROR(__xludf.DUMMYFUNCTION("GOOGLETRANSLATE(G31, ""bn"", ""en"")"),"caught")</f>
        <v>caught</v>
      </c>
      <c r="Q31" s="5" t="str">
        <f>IFERROR(__xludf.DUMMYFUNCTION("GOOGLETRANSLATE(H31, ""bn"", ""en"")"),"pic15")</f>
        <v>pic15</v>
      </c>
    </row>
    <row r="32">
      <c r="A32" s="3">
        <v>31.0</v>
      </c>
      <c r="B32" s="4" t="s">
        <v>609</v>
      </c>
      <c r="C32" s="4" t="s">
        <v>128</v>
      </c>
      <c r="D32" s="4" t="s">
        <v>554</v>
      </c>
      <c r="E32" s="4" t="s">
        <v>607</v>
      </c>
      <c r="F32" s="4" t="s">
        <v>129</v>
      </c>
      <c r="G32" s="4" t="s">
        <v>128</v>
      </c>
      <c r="H32" s="4" t="s">
        <v>608</v>
      </c>
      <c r="J32" s="5" t="str">
        <f>IFERROR(__xludf.DUMMYFUNCTION("GOOGLETRANSLATE(A32, ""bn"", ""en"")"),"31")</f>
        <v>31</v>
      </c>
      <c r="K32" s="5" t="str">
        <f>IFERROR(__xludf.DUMMYFUNCTION("GOOGLETRANSLATE(B32, ""bn"", ""en"")"),"What are the techniques used by the wrestlers in the film?")</f>
        <v>What are the techniques used by the wrestlers in the film?</v>
      </c>
      <c r="L32" s="5" t="str">
        <f>IFERROR(__xludf.DUMMYFUNCTION("GOOGLETRANSLATE(C32, ""bn"", ""en"")"),"caught")</f>
        <v>caught</v>
      </c>
      <c r="M32" s="5" t="str">
        <f>IFERROR(__xludf.DUMMYFUNCTION("GOOGLETRANSLATE(D32, ""bn"", ""en"")"),"To pass underfoot")</f>
        <v>To pass underfoot</v>
      </c>
      <c r="N32" s="5" t="str">
        <f>IFERROR(__xludf.DUMMYFUNCTION("GOOGLETRANSLATE(E32, ""bn"", ""en"")"),"Hold")</f>
        <v>Hold</v>
      </c>
      <c r="O32" s="5" t="str">
        <f>IFERROR(__xludf.DUMMYFUNCTION("GOOGLETRANSLATE(F32, ""bn"", ""en"")"),"injury")</f>
        <v>injury</v>
      </c>
      <c r="P32" s="5" t="str">
        <f>IFERROR(__xludf.DUMMYFUNCTION("GOOGLETRANSLATE(G32, ""bn"", ""en"")"),"caught")</f>
        <v>caught</v>
      </c>
      <c r="Q32" s="5" t="str">
        <f>IFERROR(__xludf.DUMMYFUNCTION("GOOGLETRANSLATE(H32, ""bn"", ""en"")"),"pic15")</f>
        <v>pic15</v>
      </c>
    </row>
    <row r="33">
      <c r="A33" s="3">
        <v>32.0</v>
      </c>
      <c r="B33" s="4" t="s">
        <v>575</v>
      </c>
      <c r="C33" s="4" t="s">
        <v>610</v>
      </c>
      <c r="D33" s="4" t="s">
        <v>48</v>
      </c>
      <c r="E33" s="4" t="s">
        <v>92</v>
      </c>
      <c r="F33" s="4" t="s">
        <v>611</v>
      </c>
      <c r="G33" s="4" t="s">
        <v>610</v>
      </c>
      <c r="H33" s="4" t="s">
        <v>149</v>
      </c>
      <c r="J33" s="5" t="str">
        <f>IFERROR(__xludf.DUMMYFUNCTION("GOOGLETRANSLATE(A33, ""bn"", ""en"")"),"32")</f>
        <v>32</v>
      </c>
      <c r="K33" s="5" t="str">
        <f>IFERROR(__xludf.DUMMYFUNCTION("GOOGLETRANSLATE(B33, ""bn"", ""en"")"),"What are the viewers doing in the back?")</f>
        <v>What are the viewers doing in the back?</v>
      </c>
      <c r="L33" s="5" t="str">
        <f>IFERROR(__xludf.DUMMYFUNCTION("GOOGLETRANSLATE(C33, ""bn"", ""en"")"),"observing")</f>
        <v>observing</v>
      </c>
      <c r="M33" s="5" t="str">
        <f>IFERROR(__xludf.DUMMYFUNCTION("GOOGLETRANSLATE(D33, ""bn"", ""en"")"),"Sitting")</f>
        <v>Sitting</v>
      </c>
      <c r="N33" s="5" t="str">
        <f>IFERROR(__xludf.DUMMYFUNCTION("GOOGLETRANSLATE(E33, ""bn"", ""en"")"),"dancing")</f>
        <v>dancing</v>
      </c>
      <c r="O33" s="5" t="str">
        <f>IFERROR(__xludf.DUMMYFUNCTION("GOOGLETRANSLATE(F33, ""bn"", ""en"")"),"Playing")</f>
        <v>Playing</v>
      </c>
      <c r="P33" s="5" t="str">
        <f>IFERROR(__xludf.DUMMYFUNCTION("GOOGLETRANSLATE(G33, ""bn"", ""en"")"),"observing")</f>
        <v>observing</v>
      </c>
      <c r="Q33" s="5" t="str">
        <f>IFERROR(__xludf.DUMMYFUNCTION("GOOGLETRANSLATE(H33, ""bn"", ""en"")"),"pic16")</f>
        <v>pic16</v>
      </c>
    </row>
    <row r="34">
      <c r="A34" s="3">
        <v>33.0</v>
      </c>
      <c r="B34" s="4" t="s">
        <v>612</v>
      </c>
      <c r="C34" s="4" t="s">
        <v>613</v>
      </c>
      <c r="D34" s="4" t="s">
        <v>614</v>
      </c>
      <c r="E34" s="4" t="s">
        <v>615</v>
      </c>
      <c r="F34" s="4" t="s">
        <v>616</v>
      </c>
      <c r="G34" s="4" t="s">
        <v>613</v>
      </c>
      <c r="H34" s="4" t="s">
        <v>149</v>
      </c>
      <c r="J34" s="5" t="str">
        <f>IFERROR(__xludf.DUMMYFUNCTION("GOOGLETRANSLATE(A34, ""bn"", ""en"")"),"33")</f>
        <v>33</v>
      </c>
      <c r="K34" s="5" t="str">
        <f>IFERROR(__xludf.DUMMYFUNCTION("GOOGLETRANSLATE(B34, ""bn"", ""en"")"),"How many wrestlers are there in the picture?")</f>
        <v>How many wrestlers are there in the picture?</v>
      </c>
      <c r="L34" s="5" t="str">
        <f>IFERROR(__xludf.DUMMYFUNCTION("GOOGLETRANSLATE(C34, ""bn"", ""en"")"),"two")</f>
        <v>two</v>
      </c>
      <c r="M34" s="5" t="str">
        <f>IFERROR(__xludf.DUMMYFUNCTION("GOOGLETRANSLATE(D34, ""bn"", ""en"")"),"Three")</f>
        <v>Three</v>
      </c>
      <c r="N34" s="5" t="str">
        <f>IFERROR(__xludf.DUMMYFUNCTION("GOOGLETRANSLATE(E34, ""bn"", ""en"")"),"Four")</f>
        <v>Four</v>
      </c>
      <c r="O34" s="5" t="str">
        <f>IFERROR(__xludf.DUMMYFUNCTION("GOOGLETRANSLATE(F34, ""bn"", ""en"")"),"Five")</f>
        <v>Five</v>
      </c>
      <c r="P34" s="5" t="str">
        <f>IFERROR(__xludf.DUMMYFUNCTION("GOOGLETRANSLATE(G34, ""bn"", ""en"")"),"two")</f>
        <v>two</v>
      </c>
      <c r="Q34" s="5" t="str">
        <f>IFERROR(__xludf.DUMMYFUNCTION("GOOGLETRANSLATE(H34, ""bn"", ""en"")"),"pic16")</f>
        <v>pic16</v>
      </c>
    </row>
    <row r="35">
      <c r="A35" s="3">
        <v>34.0</v>
      </c>
      <c r="B35" s="4" t="s">
        <v>617</v>
      </c>
      <c r="C35" s="4" t="s">
        <v>618</v>
      </c>
      <c r="D35" s="4" t="s">
        <v>92</v>
      </c>
      <c r="E35" s="4" t="s">
        <v>619</v>
      </c>
      <c r="F35" s="4" t="s">
        <v>620</v>
      </c>
      <c r="G35" s="4" t="s">
        <v>618</v>
      </c>
      <c r="H35" s="4" t="s">
        <v>158</v>
      </c>
      <c r="J35" s="5" t="str">
        <f>IFERROR(__xludf.DUMMYFUNCTION("GOOGLETRANSLATE(A35, ""bn"", ""en"")"),"34")</f>
        <v>34</v>
      </c>
      <c r="K35" s="5" t="str">
        <f>IFERROR(__xludf.DUMMYFUNCTION("GOOGLETRANSLATE(B35, ""bn"", ""en"")"),"What is the crowd in the back doing?")</f>
        <v>What is the crowd in the back doing?</v>
      </c>
      <c r="L35" s="5" t="str">
        <f>IFERROR(__xludf.DUMMYFUNCTION("GOOGLETRANSLATE(C35, ""bn"", ""en"")"),"Taking pictures")</f>
        <v>Taking pictures</v>
      </c>
      <c r="M35" s="5" t="str">
        <f>IFERROR(__xludf.DUMMYFUNCTION("GOOGLETRANSLATE(D35, ""bn"", ""en"")"),"dancing")</f>
        <v>dancing</v>
      </c>
      <c r="N35" s="5" t="str">
        <f>IFERROR(__xludf.DUMMYFUNCTION("GOOGLETRANSLATE(E35, ""bn"", ""en"")"),"singing")</f>
        <v>singing</v>
      </c>
      <c r="O35" s="5" t="str">
        <f>IFERROR(__xludf.DUMMYFUNCTION("GOOGLETRANSLATE(F35, ""bn"", ""en"")"),"is drawing")</f>
        <v>is drawing</v>
      </c>
      <c r="P35" s="5" t="str">
        <f>IFERROR(__xludf.DUMMYFUNCTION("GOOGLETRANSLATE(G35, ""bn"", ""en"")"),"Taking pictures")</f>
        <v>Taking pictures</v>
      </c>
      <c r="Q35" s="5" t="str">
        <f>IFERROR(__xludf.DUMMYFUNCTION("GOOGLETRANSLATE(H35, ""bn"", ""en"")"),"pic17")</f>
        <v>pic17</v>
      </c>
    </row>
    <row r="36">
      <c r="A36" s="3">
        <v>35.0</v>
      </c>
      <c r="B36" s="4" t="s">
        <v>621</v>
      </c>
      <c r="C36" s="4" t="s">
        <v>38</v>
      </c>
      <c r="D36" s="4" t="s">
        <v>182</v>
      </c>
      <c r="E36" s="4" t="s">
        <v>622</v>
      </c>
      <c r="F36" s="4" t="s">
        <v>623</v>
      </c>
      <c r="G36" s="4" t="s">
        <v>38</v>
      </c>
      <c r="H36" s="4" t="s">
        <v>158</v>
      </c>
      <c r="J36" s="5" t="str">
        <f>IFERROR(__xludf.DUMMYFUNCTION("GOOGLETRANSLATE(A36, ""bn"", ""en"")"),"35")</f>
        <v>35</v>
      </c>
      <c r="K36" s="5" t="str">
        <f>IFERROR(__xludf.DUMMYFUNCTION("GOOGLETRANSLATE(B36, ""bn"", ""en"")"),"What action is shown in the next scene?")</f>
        <v>What action is shown in the next scene?</v>
      </c>
      <c r="L36" s="5" t="str">
        <f>IFERROR(__xludf.DUMMYFUNCTION("GOOGLETRANSLATE(C36, ""bn"", ""en"")"),"wrestling")</f>
        <v>wrestling</v>
      </c>
      <c r="M36" s="5" t="str">
        <f>IFERROR(__xludf.DUMMYFUNCTION("GOOGLETRANSLATE(D36, ""bn"", ""en"")"),"the game")</f>
        <v>the game</v>
      </c>
      <c r="N36" s="5" t="str">
        <f>IFERROR(__xludf.DUMMYFUNCTION("GOOGLETRANSLATE(E36, ""bn"", ""en"")"),"Running")</f>
        <v>Running</v>
      </c>
      <c r="O36" s="5" t="str">
        <f>IFERROR(__xludf.DUMMYFUNCTION("GOOGLETRANSLATE(F36, ""bn"", ""en"")"),"the dance")</f>
        <v>the dance</v>
      </c>
      <c r="P36" s="5" t="str">
        <f>IFERROR(__xludf.DUMMYFUNCTION("GOOGLETRANSLATE(G36, ""bn"", ""en"")"),"wrestling")</f>
        <v>wrestling</v>
      </c>
      <c r="Q36" s="5" t="str">
        <f>IFERROR(__xludf.DUMMYFUNCTION("GOOGLETRANSLATE(H36, ""bn"", ""en"")"),"pic17")</f>
        <v>pic17</v>
      </c>
    </row>
    <row r="37">
      <c r="A37" s="3">
        <v>36.0</v>
      </c>
      <c r="B37" s="4" t="s">
        <v>624</v>
      </c>
      <c r="C37" s="4" t="s">
        <v>610</v>
      </c>
      <c r="D37" s="4" t="s">
        <v>618</v>
      </c>
      <c r="E37" s="4" t="s">
        <v>619</v>
      </c>
      <c r="F37" s="4" t="s">
        <v>92</v>
      </c>
      <c r="G37" s="4" t="s">
        <v>610</v>
      </c>
      <c r="H37" s="4" t="s">
        <v>166</v>
      </c>
      <c r="J37" s="5" t="str">
        <f>IFERROR(__xludf.DUMMYFUNCTION("GOOGLETRANSLATE(A37, ""bn"", ""en"")"),"36")</f>
        <v>36</v>
      </c>
      <c r="K37" s="5" t="str">
        <f>IFERROR(__xludf.DUMMYFUNCTION("GOOGLETRANSLATE(B37, ""bn"", ""en"")"),"What is the upper right viewer doing?")</f>
        <v>What is the upper right viewer doing?</v>
      </c>
      <c r="L37" s="5" t="str">
        <f>IFERROR(__xludf.DUMMYFUNCTION("GOOGLETRANSLATE(C37, ""bn"", ""en"")"),"observing")</f>
        <v>observing</v>
      </c>
      <c r="M37" s="5" t="str">
        <f>IFERROR(__xludf.DUMMYFUNCTION("GOOGLETRANSLATE(D37, ""bn"", ""en"")"),"Taking pictures")</f>
        <v>Taking pictures</v>
      </c>
      <c r="N37" s="5" t="str">
        <f>IFERROR(__xludf.DUMMYFUNCTION("GOOGLETRANSLATE(E37, ""bn"", ""en"")"),"singing")</f>
        <v>singing</v>
      </c>
      <c r="O37" s="5" t="str">
        <f>IFERROR(__xludf.DUMMYFUNCTION("GOOGLETRANSLATE(F37, ""bn"", ""en"")"),"dancing")</f>
        <v>dancing</v>
      </c>
      <c r="P37" s="5" t="str">
        <f>IFERROR(__xludf.DUMMYFUNCTION("GOOGLETRANSLATE(G37, ""bn"", ""en"")"),"observing")</f>
        <v>observing</v>
      </c>
      <c r="Q37" s="5" t="str">
        <f>IFERROR(__xludf.DUMMYFUNCTION("GOOGLETRANSLATE(H37, ""bn"", ""en"")"),"pic18")</f>
        <v>pic18</v>
      </c>
    </row>
    <row r="38">
      <c r="A38" s="3">
        <v>37.0</v>
      </c>
      <c r="B38" s="4" t="s">
        <v>625</v>
      </c>
      <c r="C38" s="4" t="s">
        <v>38</v>
      </c>
      <c r="D38" s="4" t="s">
        <v>209</v>
      </c>
      <c r="E38" s="4" t="s">
        <v>208</v>
      </c>
      <c r="F38" s="4" t="s">
        <v>517</v>
      </c>
      <c r="G38" s="4" t="s">
        <v>38</v>
      </c>
      <c r="H38" s="4" t="s">
        <v>166</v>
      </c>
      <c r="J38" s="5" t="str">
        <f>IFERROR(__xludf.DUMMYFUNCTION("GOOGLETRANSLATE(A38, ""bn"", ""en"")"),"37")</f>
        <v>37</v>
      </c>
      <c r="K38" s="5" t="str">
        <f>IFERROR(__xludf.DUMMYFUNCTION("GOOGLETRANSLATE(B38, ""bn"", ""en"")"),"What game scene is shown in the film?")</f>
        <v>What game scene is shown in the film?</v>
      </c>
      <c r="L38" s="5" t="str">
        <f>IFERROR(__xludf.DUMMYFUNCTION("GOOGLETRANSLATE(C38, ""bn"", ""en"")"),"wrestling")</f>
        <v>wrestling</v>
      </c>
      <c r="M38" s="5" t="str">
        <f>IFERROR(__xludf.DUMMYFUNCTION("GOOGLETRANSLATE(D38, ""bn"", ""en"")"),"football")</f>
        <v>football</v>
      </c>
      <c r="N38" s="5" t="str">
        <f>IFERROR(__xludf.DUMMYFUNCTION("GOOGLETRANSLATE(E38, ""bn"", ""en"")"),"cricket")</f>
        <v>cricket</v>
      </c>
      <c r="O38" s="5" t="str">
        <f>IFERROR(__xludf.DUMMYFUNCTION("GOOGLETRANSLATE(F38, ""bn"", ""en"")"),"basketball")</f>
        <v>basketball</v>
      </c>
      <c r="P38" s="5" t="str">
        <f>IFERROR(__xludf.DUMMYFUNCTION("GOOGLETRANSLATE(G38, ""bn"", ""en"")"),"wrestling")</f>
        <v>wrestling</v>
      </c>
      <c r="Q38" s="5" t="str">
        <f>IFERROR(__xludf.DUMMYFUNCTION("GOOGLETRANSLATE(H38, ""bn"", ""en"")"),"pic18")</f>
        <v>pic18</v>
      </c>
    </row>
    <row r="39">
      <c r="A39" s="3">
        <v>38.0</v>
      </c>
      <c r="B39" s="4" t="s">
        <v>575</v>
      </c>
      <c r="C39" s="4" t="s">
        <v>610</v>
      </c>
      <c r="D39" s="4" t="s">
        <v>611</v>
      </c>
      <c r="E39" s="4" t="s">
        <v>92</v>
      </c>
      <c r="F39" s="4" t="s">
        <v>626</v>
      </c>
      <c r="G39" s="4" t="s">
        <v>610</v>
      </c>
      <c r="H39" s="4" t="s">
        <v>174</v>
      </c>
      <c r="J39" s="5" t="str">
        <f>IFERROR(__xludf.DUMMYFUNCTION("GOOGLETRANSLATE(A39, ""bn"", ""en"")"),"38")</f>
        <v>38</v>
      </c>
      <c r="K39" s="5" t="str">
        <f>IFERROR(__xludf.DUMMYFUNCTION("GOOGLETRANSLATE(B39, ""bn"", ""en"")"),"What are the viewers doing in the back?")</f>
        <v>What are the viewers doing in the back?</v>
      </c>
      <c r="L39" s="5" t="str">
        <f>IFERROR(__xludf.DUMMYFUNCTION("GOOGLETRANSLATE(C39, ""bn"", ""en"")"),"observing")</f>
        <v>observing</v>
      </c>
      <c r="M39" s="5" t="str">
        <f>IFERROR(__xludf.DUMMYFUNCTION("GOOGLETRANSLATE(D39, ""bn"", ""en"")"),"Playing")</f>
        <v>Playing</v>
      </c>
      <c r="N39" s="5" t="str">
        <f>IFERROR(__xludf.DUMMYFUNCTION("GOOGLETRANSLATE(E39, ""bn"", ""en"")"),"dancing")</f>
        <v>dancing</v>
      </c>
      <c r="O39" s="5" t="str">
        <f>IFERROR(__xludf.DUMMYFUNCTION("GOOGLETRANSLATE(F39, ""bn"", ""en"")"),"Talking")</f>
        <v>Talking</v>
      </c>
      <c r="P39" s="5" t="str">
        <f>IFERROR(__xludf.DUMMYFUNCTION("GOOGLETRANSLATE(G39, ""bn"", ""en"")"),"observing")</f>
        <v>observing</v>
      </c>
      <c r="Q39" s="5" t="str">
        <f>IFERROR(__xludf.DUMMYFUNCTION("GOOGLETRANSLATE(H39, ""bn"", ""en"")"),"pic19")</f>
        <v>pic19</v>
      </c>
    </row>
    <row r="40">
      <c r="A40" s="3">
        <v>39.0</v>
      </c>
      <c r="B40" s="4" t="s">
        <v>609</v>
      </c>
      <c r="C40" s="4" t="s">
        <v>128</v>
      </c>
      <c r="D40" s="4" t="s">
        <v>554</v>
      </c>
      <c r="E40" s="4" t="s">
        <v>607</v>
      </c>
      <c r="F40" s="4" t="s">
        <v>129</v>
      </c>
      <c r="G40" s="4" t="s">
        <v>128</v>
      </c>
      <c r="H40" s="4" t="s">
        <v>174</v>
      </c>
      <c r="J40" s="5" t="str">
        <f>IFERROR(__xludf.DUMMYFUNCTION("GOOGLETRANSLATE(A40, ""bn"", ""en"")"),"39")</f>
        <v>39</v>
      </c>
      <c r="K40" s="5" t="str">
        <f>IFERROR(__xludf.DUMMYFUNCTION("GOOGLETRANSLATE(B40, ""bn"", ""en"")"),"What are the techniques used by the wrestlers in the film?")</f>
        <v>What are the techniques used by the wrestlers in the film?</v>
      </c>
      <c r="L40" s="5" t="str">
        <f>IFERROR(__xludf.DUMMYFUNCTION("GOOGLETRANSLATE(C40, ""bn"", ""en"")"),"caught")</f>
        <v>caught</v>
      </c>
      <c r="M40" s="5" t="str">
        <f>IFERROR(__xludf.DUMMYFUNCTION("GOOGLETRANSLATE(D40, ""bn"", ""en"")"),"To pass underfoot")</f>
        <v>To pass underfoot</v>
      </c>
      <c r="N40" s="5" t="str">
        <f>IFERROR(__xludf.DUMMYFUNCTION("GOOGLETRANSLATE(E40, ""bn"", ""en"")"),"Hold")</f>
        <v>Hold</v>
      </c>
      <c r="O40" s="5" t="str">
        <f>IFERROR(__xludf.DUMMYFUNCTION("GOOGLETRANSLATE(F40, ""bn"", ""en"")"),"injury")</f>
        <v>injury</v>
      </c>
      <c r="P40" s="5" t="str">
        <f>IFERROR(__xludf.DUMMYFUNCTION("GOOGLETRANSLATE(G40, ""bn"", ""en"")"),"caught")</f>
        <v>caught</v>
      </c>
      <c r="Q40" s="5" t="str">
        <f>IFERROR(__xludf.DUMMYFUNCTION("GOOGLETRANSLATE(H40, ""bn"", ""en"")"),"pic19")</f>
        <v>pic19</v>
      </c>
    </row>
    <row r="41">
      <c r="A41" s="3">
        <v>40.0</v>
      </c>
      <c r="B41" s="4" t="s">
        <v>575</v>
      </c>
      <c r="C41" s="4" t="s">
        <v>576</v>
      </c>
      <c r="D41" s="4" t="s">
        <v>610</v>
      </c>
      <c r="E41" s="4" t="s">
        <v>92</v>
      </c>
      <c r="F41" s="4" t="s">
        <v>619</v>
      </c>
      <c r="G41" s="4" t="s">
        <v>576</v>
      </c>
      <c r="H41" s="4" t="s">
        <v>175</v>
      </c>
      <c r="J41" s="5" t="str">
        <f>IFERROR(__xludf.DUMMYFUNCTION("GOOGLETRANSLATE(A41, ""bn"", ""en"")"),"40")</f>
        <v>40</v>
      </c>
      <c r="K41" s="5" t="str">
        <f>IFERROR(__xludf.DUMMYFUNCTION("GOOGLETRANSLATE(B41, ""bn"", ""en"")"),"What are the viewers doing in the back?")</f>
        <v>What are the viewers doing in the back?</v>
      </c>
      <c r="L41" s="5" t="str">
        <f>IFERROR(__xludf.DUMMYFUNCTION("GOOGLETRANSLATE(C41, ""bn"", ""en"")"),"encouraging")</f>
        <v>encouraging</v>
      </c>
      <c r="M41" s="5" t="str">
        <f>IFERROR(__xludf.DUMMYFUNCTION("GOOGLETRANSLATE(D41, ""bn"", ""en"")"),"observing")</f>
        <v>observing</v>
      </c>
      <c r="N41" s="5" t="str">
        <f>IFERROR(__xludf.DUMMYFUNCTION("GOOGLETRANSLATE(E41, ""bn"", ""en"")"),"dancing")</f>
        <v>dancing</v>
      </c>
      <c r="O41" s="5" t="str">
        <f>IFERROR(__xludf.DUMMYFUNCTION("GOOGLETRANSLATE(F41, ""bn"", ""en"")"),"singing")</f>
        <v>singing</v>
      </c>
      <c r="P41" s="5" t="str">
        <f>IFERROR(__xludf.DUMMYFUNCTION("GOOGLETRANSLATE(G41, ""bn"", ""en"")"),"encouraging")</f>
        <v>encouraging</v>
      </c>
      <c r="Q41" s="5" t="str">
        <f>IFERROR(__xludf.DUMMYFUNCTION("GOOGLETRANSLATE(H41, ""bn"", ""en"")"),"pic20")</f>
        <v>pic20</v>
      </c>
    </row>
    <row r="42">
      <c r="A42" s="3">
        <v>41.0</v>
      </c>
      <c r="B42" s="4" t="s">
        <v>563</v>
      </c>
      <c r="C42" s="4" t="s">
        <v>627</v>
      </c>
      <c r="D42" s="4" t="s">
        <v>565</v>
      </c>
      <c r="E42" s="4" t="s">
        <v>628</v>
      </c>
      <c r="F42" s="4" t="s">
        <v>629</v>
      </c>
      <c r="G42" s="4" t="s">
        <v>627</v>
      </c>
      <c r="H42" s="4" t="s">
        <v>175</v>
      </c>
      <c r="J42" s="5" t="str">
        <f>IFERROR(__xludf.DUMMYFUNCTION("GOOGLETRANSLATE(A42, ""bn"", ""en"")"),"41")</f>
        <v>41</v>
      </c>
      <c r="K42" s="5" t="str">
        <f>IFERROR(__xludf.DUMMYFUNCTION("GOOGLETRANSLATE(B42, ""bn"", ""en"")"),"What is the wrestler wearing black shorts trying to do?")</f>
        <v>What is the wrestler wearing black shorts trying to do?</v>
      </c>
      <c r="L42" s="5" t="str">
        <f>IFERROR(__xludf.DUMMYFUNCTION("GOOGLETRANSLATE(C42, ""bn"", ""en"")"),"Defeat the opponent")</f>
        <v>Defeat the opponent</v>
      </c>
      <c r="M42" s="5" t="str">
        <f>IFERROR(__xludf.DUMMYFUNCTION("GOOGLETRANSLATE(D42, ""bn"", ""en"")"),"Holding the opponent")</f>
        <v>Holding the opponent</v>
      </c>
      <c r="N42" s="5" t="str">
        <f>IFERROR(__xludf.DUMMYFUNCTION("GOOGLETRANSLATE(E42, ""bn"", ""en"")"),"stop the attack")</f>
        <v>stop the attack</v>
      </c>
      <c r="O42" s="5" t="str">
        <f>IFERROR(__xludf.DUMMYFUNCTION("GOOGLETRANSLATE(F42, ""bn"", ""en"")"),"Trying to lift the opponent")</f>
        <v>Trying to lift the opponent</v>
      </c>
      <c r="P42" s="5" t="str">
        <f>IFERROR(__xludf.DUMMYFUNCTION("GOOGLETRANSLATE(G42, ""bn"", ""en"")"),"Defeat the opponent")</f>
        <v>Defeat the opponent</v>
      </c>
      <c r="Q42" s="5" t="str">
        <f>IFERROR(__xludf.DUMMYFUNCTION("GOOGLETRANSLATE(H42, ""bn"", ""en"")"),"pic20")</f>
        <v>pic20</v>
      </c>
    </row>
    <row r="43">
      <c r="A43" s="3">
        <v>42.0</v>
      </c>
      <c r="B43" s="4" t="s">
        <v>630</v>
      </c>
      <c r="C43" s="4" t="s">
        <v>569</v>
      </c>
      <c r="D43" s="4" t="s">
        <v>570</v>
      </c>
      <c r="E43" s="4" t="s">
        <v>535</v>
      </c>
      <c r="F43" s="4" t="s">
        <v>571</v>
      </c>
      <c r="G43" s="4" t="s">
        <v>569</v>
      </c>
      <c r="H43" s="4" t="s">
        <v>631</v>
      </c>
      <c r="J43" s="5" t="str">
        <f>IFERROR(__xludf.DUMMYFUNCTION("GOOGLETRANSLATE(A43, ""bn"", ""en"")"),"42")</f>
        <v>42</v>
      </c>
      <c r="K43" s="5" t="str">
        <f>IFERROR(__xludf.DUMMYFUNCTION("GOOGLETRANSLATE(B43, ""bn"", ""en"")"),"What is the reaction of the audience in the back?")</f>
        <v>What is the reaction of the audience in the back?</v>
      </c>
      <c r="L43" s="5" t="str">
        <f>IFERROR(__xludf.DUMMYFUNCTION("GOOGLETRANSLATE(C43, ""bn"", ""en"")"),"Excitement")</f>
        <v>Excitement</v>
      </c>
      <c r="M43" s="5" t="str">
        <f>IFERROR(__xludf.DUMMYFUNCTION("GOOGLETRANSLATE(D43, ""bn"", ""en"")"),"Dissatisfaction")</f>
        <v>Dissatisfaction</v>
      </c>
      <c r="N43" s="5" t="str">
        <f>IFERROR(__xludf.DUMMYFUNCTION("GOOGLETRANSLATE(E43, ""bn"", ""en"")"),"indifference")</f>
        <v>indifference</v>
      </c>
      <c r="O43" s="5" t="str">
        <f>IFERROR(__xludf.DUMMYFUNCTION("GOOGLETRANSLATE(F43, ""bn"", ""en"")"),"Joy")</f>
        <v>Joy</v>
      </c>
      <c r="P43" s="5" t="str">
        <f>IFERROR(__xludf.DUMMYFUNCTION("GOOGLETRANSLATE(G43, ""bn"", ""en"")"),"Excitement")</f>
        <v>Excitement</v>
      </c>
      <c r="Q43" s="5" t="str">
        <f>IFERROR(__xludf.DUMMYFUNCTION("GOOGLETRANSLATE(H43, ""bn"", ""en"")"),"pic21")</f>
        <v>pic21</v>
      </c>
    </row>
    <row r="44">
      <c r="A44" s="3">
        <v>43.0</v>
      </c>
      <c r="B44" s="4" t="s">
        <v>632</v>
      </c>
      <c r="C44" s="4" t="s">
        <v>633</v>
      </c>
      <c r="D44" s="4" t="s">
        <v>128</v>
      </c>
      <c r="E44" s="4" t="s">
        <v>129</v>
      </c>
      <c r="F44" s="4" t="s">
        <v>622</v>
      </c>
      <c r="G44" s="4" t="s">
        <v>633</v>
      </c>
      <c r="H44" s="4" t="s">
        <v>178</v>
      </c>
      <c r="J44" s="5" t="str">
        <f>IFERROR(__xludf.DUMMYFUNCTION("GOOGLETRANSLATE(A44, ""bn"", ""en"")"),"43")</f>
        <v>43</v>
      </c>
      <c r="K44" s="5" t="str">
        <f>IFERROR(__xludf.DUMMYFUNCTION("GOOGLETRANSLATE(B44, ""bn"", ""en"")"),"What is the main wrestler in the picture showing?")</f>
        <v>What is the main wrestler in the picture showing?</v>
      </c>
      <c r="L44" s="5" t="str">
        <f>IFERROR(__xludf.DUMMYFUNCTION("GOOGLETRANSLATE(C44, ""bn"", ""en"")"),"raise hand")</f>
        <v>raise hand</v>
      </c>
      <c r="M44" s="5" t="str">
        <f>IFERROR(__xludf.DUMMYFUNCTION("GOOGLETRANSLATE(D44, ""bn"", ""en"")"),"caught")</f>
        <v>caught</v>
      </c>
      <c r="N44" s="5" t="str">
        <f>IFERROR(__xludf.DUMMYFUNCTION("GOOGLETRANSLATE(E44, ""bn"", ""en"")"),"injury")</f>
        <v>injury</v>
      </c>
      <c r="O44" s="5" t="str">
        <f>IFERROR(__xludf.DUMMYFUNCTION("GOOGLETRANSLATE(F44, ""bn"", ""en"")"),"Running")</f>
        <v>Running</v>
      </c>
      <c r="P44" s="5" t="str">
        <f>IFERROR(__xludf.DUMMYFUNCTION("GOOGLETRANSLATE(G44, ""bn"", ""en"")"),"raise hand")</f>
        <v>raise hand</v>
      </c>
      <c r="Q44" s="5" t="str">
        <f>IFERROR(__xludf.DUMMYFUNCTION("GOOGLETRANSLATE(H44, ""bn"", ""en"")"),"pic22")</f>
        <v>pic22</v>
      </c>
    </row>
    <row r="45">
      <c r="A45" s="3">
        <v>44.0</v>
      </c>
      <c r="B45" s="4" t="s">
        <v>617</v>
      </c>
      <c r="C45" s="4" t="s">
        <v>618</v>
      </c>
      <c r="D45" s="4" t="s">
        <v>619</v>
      </c>
      <c r="E45" s="4" t="s">
        <v>92</v>
      </c>
      <c r="F45" s="4" t="s">
        <v>610</v>
      </c>
      <c r="G45" s="4" t="s">
        <v>618</v>
      </c>
      <c r="H45" s="4" t="s">
        <v>178</v>
      </c>
      <c r="J45" s="5" t="str">
        <f>IFERROR(__xludf.DUMMYFUNCTION("GOOGLETRANSLATE(A45, ""bn"", ""en"")"),"44")</f>
        <v>44</v>
      </c>
      <c r="K45" s="5" t="str">
        <f>IFERROR(__xludf.DUMMYFUNCTION("GOOGLETRANSLATE(B45, ""bn"", ""en"")"),"What is the crowd in the back doing?")</f>
        <v>What is the crowd in the back doing?</v>
      </c>
      <c r="L45" s="5" t="str">
        <f>IFERROR(__xludf.DUMMYFUNCTION("GOOGLETRANSLATE(C45, ""bn"", ""en"")"),"Taking pictures")</f>
        <v>Taking pictures</v>
      </c>
      <c r="M45" s="5" t="str">
        <f>IFERROR(__xludf.DUMMYFUNCTION("GOOGLETRANSLATE(D45, ""bn"", ""en"")"),"singing")</f>
        <v>singing</v>
      </c>
      <c r="N45" s="5" t="str">
        <f>IFERROR(__xludf.DUMMYFUNCTION("GOOGLETRANSLATE(E45, ""bn"", ""en"")"),"dancing")</f>
        <v>dancing</v>
      </c>
      <c r="O45" s="5" t="str">
        <f>IFERROR(__xludf.DUMMYFUNCTION("GOOGLETRANSLATE(F45, ""bn"", ""en"")"),"observing")</f>
        <v>observing</v>
      </c>
      <c r="P45" s="5" t="str">
        <f>IFERROR(__xludf.DUMMYFUNCTION("GOOGLETRANSLATE(G45, ""bn"", ""en"")"),"Taking pictures")</f>
        <v>Taking pictures</v>
      </c>
      <c r="Q45" s="5" t="str">
        <f>IFERROR(__xludf.DUMMYFUNCTION("GOOGLETRANSLATE(H45, ""bn"", ""en"")"),"pic22")</f>
        <v>pic22</v>
      </c>
    </row>
    <row r="46">
      <c r="A46" s="3">
        <v>45.0</v>
      </c>
      <c r="B46" s="4" t="s">
        <v>609</v>
      </c>
      <c r="C46" s="4" t="s">
        <v>128</v>
      </c>
      <c r="D46" s="4" t="s">
        <v>607</v>
      </c>
      <c r="E46" s="4" t="s">
        <v>554</v>
      </c>
      <c r="F46" s="4" t="s">
        <v>129</v>
      </c>
      <c r="G46" s="4" t="s">
        <v>128</v>
      </c>
      <c r="H46" s="4" t="s">
        <v>184</v>
      </c>
      <c r="J46" s="5" t="str">
        <f>IFERROR(__xludf.DUMMYFUNCTION("GOOGLETRANSLATE(A46, ""bn"", ""en"")"),"45")</f>
        <v>45</v>
      </c>
      <c r="K46" s="5" t="str">
        <f>IFERROR(__xludf.DUMMYFUNCTION("GOOGLETRANSLATE(B46, ""bn"", ""en"")"),"What are the techniques used by the wrestlers in the film?")</f>
        <v>What are the techniques used by the wrestlers in the film?</v>
      </c>
      <c r="L46" s="5" t="str">
        <f>IFERROR(__xludf.DUMMYFUNCTION("GOOGLETRANSLATE(C46, ""bn"", ""en"")"),"caught")</f>
        <v>caught</v>
      </c>
      <c r="M46" s="5" t="str">
        <f>IFERROR(__xludf.DUMMYFUNCTION("GOOGLETRANSLATE(D46, ""bn"", ""en"")"),"Hold")</f>
        <v>Hold</v>
      </c>
      <c r="N46" s="5" t="str">
        <f>IFERROR(__xludf.DUMMYFUNCTION("GOOGLETRANSLATE(E46, ""bn"", ""en"")"),"To pass underfoot")</f>
        <v>To pass underfoot</v>
      </c>
      <c r="O46" s="5" t="str">
        <f>IFERROR(__xludf.DUMMYFUNCTION("GOOGLETRANSLATE(F46, ""bn"", ""en"")"),"injury")</f>
        <v>injury</v>
      </c>
      <c r="P46" s="5" t="str">
        <f>IFERROR(__xludf.DUMMYFUNCTION("GOOGLETRANSLATE(G46, ""bn"", ""en"")"),"caught")</f>
        <v>caught</v>
      </c>
      <c r="Q46" s="5" t="str">
        <f>IFERROR(__xludf.DUMMYFUNCTION("GOOGLETRANSLATE(H46, ""bn"", ""en"")"),"pic23")</f>
        <v>pic23</v>
      </c>
    </row>
    <row r="47">
      <c r="A47" s="3">
        <v>46.0</v>
      </c>
      <c r="B47" s="4" t="s">
        <v>634</v>
      </c>
      <c r="C47" s="4" t="s">
        <v>576</v>
      </c>
      <c r="D47" s="4" t="s">
        <v>610</v>
      </c>
      <c r="E47" s="4" t="s">
        <v>619</v>
      </c>
      <c r="F47" s="4" t="s">
        <v>92</v>
      </c>
      <c r="G47" s="4" t="s">
        <v>576</v>
      </c>
      <c r="H47" s="4" t="s">
        <v>184</v>
      </c>
      <c r="J47" s="5" t="str">
        <f>IFERROR(__xludf.DUMMYFUNCTION("GOOGLETRANSLATE(A47, ""bn"", ""en"")"),"46")</f>
        <v>46</v>
      </c>
      <c r="K47" s="5" t="str">
        <f>IFERROR(__xludf.DUMMYFUNCTION("GOOGLETRANSLATE(B47, ""bn"", ""en"")"),"What is the role of the audience behind?")</f>
        <v>What is the role of the audience behind?</v>
      </c>
      <c r="L47" s="5" t="str">
        <f>IFERROR(__xludf.DUMMYFUNCTION("GOOGLETRANSLATE(C47, ""bn"", ""en"")"),"encouraging")</f>
        <v>encouraging</v>
      </c>
      <c r="M47" s="5" t="str">
        <f>IFERROR(__xludf.DUMMYFUNCTION("GOOGLETRANSLATE(D47, ""bn"", ""en"")"),"observing")</f>
        <v>observing</v>
      </c>
      <c r="N47" s="5" t="str">
        <f>IFERROR(__xludf.DUMMYFUNCTION("GOOGLETRANSLATE(E47, ""bn"", ""en"")"),"singing")</f>
        <v>singing</v>
      </c>
      <c r="O47" s="5" t="str">
        <f>IFERROR(__xludf.DUMMYFUNCTION("GOOGLETRANSLATE(F47, ""bn"", ""en"")"),"dancing")</f>
        <v>dancing</v>
      </c>
      <c r="P47" s="5" t="str">
        <f>IFERROR(__xludf.DUMMYFUNCTION("GOOGLETRANSLATE(G47, ""bn"", ""en"")"),"encouraging")</f>
        <v>encouraging</v>
      </c>
      <c r="Q47" s="5" t="str">
        <f>IFERROR(__xludf.DUMMYFUNCTION("GOOGLETRANSLATE(H47, ""bn"", ""en"")"),"pic23")</f>
        <v>pic23</v>
      </c>
    </row>
    <row r="48">
      <c r="A48" s="3">
        <v>47.0</v>
      </c>
      <c r="B48" s="4" t="s">
        <v>625</v>
      </c>
      <c r="C48" s="4" t="s">
        <v>38</v>
      </c>
      <c r="D48" s="4" t="s">
        <v>209</v>
      </c>
      <c r="E48" s="4" t="s">
        <v>208</v>
      </c>
      <c r="F48" s="4" t="s">
        <v>517</v>
      </c>
      <c r="G48" s="4" t="s">
        <v>38</v>
      </c>
      <c r="H48" s="4" t="s">
        <v>191</v>
      </c>
      <c r="J48" s="5" t="str">
        <f>IFERROR(__xludf.DUMMYFUNCTION("GOOGLETRANSLATE(A48, ""bn"", ""en"")"),"47")</f>
        <v>47</v>
      </c>
      <c r="K48" s="5" t="str">
        <f>IFERROR(__xludf.DUMMYFUNCTION("GOOGLETRANSLATE(B48, ""bn"", ""en"")"),"What game scene is shown in the film?")</f>
        <v>What game scene is shown in the film?</v>
      </c>
      <c r="L48" s="5" t="str">
        <f>IFERROR(__xludf.DUMMYFUNCTION("GOOGLETRANSLATE(C48, ""bn"", ""en"")"),"wrestling")</f>
        <v>wrestling</v>
      </c>
      <c r="M48" s="5" t="str">
        <f>IFERROR(__xludf.DUMMYFUNCTION("GOOGLETRANSLATE(D48, ""bn"", ""en"")"),"football")</f>
        <v>football</v>
      </c>
      <c r="N48" s="5" t="str">
        <f>IFERROR(__xludf.DUMMYFUNCTION("GOOGLETRANSLATE(E48, ""bn"", ""en"")"),"cricket")</f>
        <v>cricket</v>
      </c>
      <c r="O48" s="5" t="str">
        <f>IFERROR(__xludf.DUMMYFUNCTION("GOOGLETRANSLATE(F48, ""bn"", ""en"")"),"basketball")</f>
        <v>basketball</v>
      </c>
      <c r="P48" s="5" t="str">
        <f>IFERROR(__xludf.DUMMYFUNCTION("GOOGLETRANSLATE(G48, ""bn"", ""en"")"),"wrestling")</f>
        <v>wrestling</v>
      </c>
      <c r="Q48" s="5" t="str">
        <f>IFERROR(__xludf.DUMMYFUNCTION("GOOGLETRANSLATE(H48, ""bn"", ""en"")"),"pic24")</f>
        <v>pic24</v>
      </c>
    </row>
    <row r="49">
      <c r="A49" s="3">
        <v>48.0</v>
      </c>
      <c r="B49" s="4" t="s">
        <v>635</v>
      </c>
      <c r="C49" s="4" t="s">
        <v>633</v>
      </c>
      <c r="D49" s="4" t="s">
        <v>128</v>
      </c>
      <c r="E49" s="4" t="s">
        <v>607</v>
      </c>
      <c r="F49" s="4" t="s">
        <v>129</v>
      </c>
      <c r="G49" s="4" t="s">
        <v>633</v>
      </c>
      <c r="H49" s="4" t="s">
        <v>191</v>
      </c>
      <c r="J49" s="5" t="str">
        <f>IFERROR(__xludf.DUMMYFUNCTION("GOOGLETRANSLATE(A49, ""bn"", ""en"")"),"48")</f>
        <v>48</v>
      </c>
      <c r="K49" s="5" t="str">
        <f>IFERROR(__xludf.DUMMYFUNCTION("GOOGLETRANSLATE(B49, ""bn"", ""en"")"),"What is the scene of victory in the film?")</f>
        <v>What is the scene of victory in the film?</v>
      </c>
      <c r="L49" s="5" t="str">
        <f>IFERROR(__xludf.DUMMYFUNCTION("GOOGLETRANSLATE(C49, ""bn"", ""en"")"),"raise hand")</f>
        <v>raise hand</v>
      </c>
      <c r="M49" s="5" t="str">
        <f>IFERROR(__xludf.DUMMYFUNCTION("GOOGLETRANSLATE(D49, ""bn"", ""en"")"),"caught")</f>
        <v>caught</v>
      </c>
      <c r="N49" s="5" t="str">
        <f>IFERROR(__xludf.DUMMYFUNCTION("GOOGLETRANSLATE(E49, ""bn"", ""en"")"),"Hold")</f>
        <v>Hold</v>
      </c>
      <c r="O49" s="5" t="str">
        <f>IFERROR(__xludf.DUMMYFUNCTION("GOOGLETRANSLATE(F49, ""bn"", ""en"")"),"injury")</f>
        <v>injury</v>
      </c>
      <c r="P49" s="5" t="str">
        <f>IFERROR(__xludf.DUMMYFUNCTION("GOOGLETRANSLATE(G49, ""bn"", ""en"")"),"raise hand")</f>
        <v>raise hand</v>
      </c>
      <c r="Q49" s="5" t="str">
        <f>IFERROR(__xludf.DUMMYFUNCTION("GOOGLETRANSLATE(H49, ""bn"", ""en"")"),"pic24")</f>
        <v>pic24</v>
      </c>
    </row>
    <row r="50">
      <c r="A50" s="3">
        <v>49.0</v>
      </c>
      <c r="B50" s="4" t="s">
        <v>621</v>
      </c>
      <c r="C50" s="4" t="s">
        <v>38</v>
      </c>
      <c r="D50" s="4" t="s">
        <v>45</v>
      </c>
      <c r="E50" s="4" t="s">
        <v>623</v>
      </c>
      <c r="F50" s="4" t="s">
        <v>622</v>
      </c>
      <c r="G50" s="4" t="s">
        <v>38</v>
      </c>
      <c r="H50" s="4" t="s">
        <v>198</v>
      </c>
      <c r="J50" s="5" t="str">
        <f>IFERROR(__xludf.DUMMYFUNCTION("GOOGLETRANSLATE(A50, ""bn"", ""en"")"),"49")</f>
        <v>49</v>
      </c>
      <c r="K50" s="5" t="str">
        <f>IFERROR(__xludf.DUMMYFUNCTION("GOOGLETRANSLATE(B50, ""bn"", ""en"")"),"What action is shown in the next scene?")</f>
        <v>What action is shown in the next scene?</v>
      </c>
      <c r="L50" s="5" t="str">
        <f>IFERROR(__xludf.DUMMYFUNCTION("GOOGLETRANSLATE(C50, ""bn"", ""en"")"),"wrestling")</f>
        <v>wrestling</v>
      </c>
      <c r="M50" s="5" t="str">
        <f>IFERROR(__xludf.DUMMYFUNCTION("GOOGLETRANSLATE(D50, ""bn"", ""en"")"),"Training")</f>
        <v>Training</v>
      </c>
      <c r="N50" s="5" t="str">
        <f>IFERROR(__xludf.DUMMYFUNCTION("GOOGLETRANSLATE(E50, ""bn"", ""en"")"),"the dance")</f>
        <v>the dance</v>
      </c>
      <c r="O50" s="5" t="str">
        <f>IFERROR(__xludf.DUMMYFUNCTION("GOOGLETRANSLATE(F50, ""bn"", ""en"")"),"Running")</f>
        <v>Running</v>
      </c>
      <c r="P50" s="5" t="str">
        <f>IFERROR(__xludf.DUMMYFUNCTION("GOOGLETRANSLATE(G50, ""bn"", ""en"")"),"wrestling")</f>
        <v>wrestling</v>
      </c>
      <c r="Q50" s="5" t="str">
        <f>IFERROR(__xludf.DUMMYFUNCTION("GOOGLETRANSLATE(H50, ""bn"", ""en"")"),"pic25")</f>
        <v>pic25</v>
      </c>
    </row>
    <row r="51">
      <c r="A51" s="3">
        <v>50.0</v>
      </c>
      <c r="B51" s="4" t="s">
        <v>617</v>
      </c>
      <c r="C51" s="4" t="s">
        <v>618</v>
      </c>
      <c r="D51" s="4" t="s">
        <v>619</v>
      </c>
      <c r="E51" s="4" t="s">
        <v>92</v>
      </c>
      <c r="F51" s="4" t="s">
        <v>610</v>
      </c>
      <c r="G51" s="4" t="s">
        <v>618</v>
      </c>
      <c r="H51" s="4" t="s">
        <v>198</v>
      </c>
      <c r="J51" s="5" t="str">
        <f>IFERROR(__xludf.DUMMYFUNCTION("GOOGLETRANSLATE(A51, ""bn"", ""en"")"),"50")</f>
        <v>50</v>
      </c>
      <c r="K51" s="5" t="str">
        <f>IFERROR(__xludf.DUMMYFUNCTION("GOOGLETRANSLATE(B51, ""bn"", ""en"")"),"What is the crowd in the back doing?")</f>
        <v>What is the crowd in the back doing?</v>
      </c>
      <c r="L51" s="5" t="str">
        <f>IFERROR(__xludf.DUMMYFUNCTION("GOOGLETRANSLATE(C51, ""bn"", ""en"")"),"Taking pictures")</f>
        <v>Taking pictures</v>
      </c>
      <c r="M51" s="5" t="str">
        <f>IFERROR(__xludf.DUMMYFUNCTION("GOOGLETRANSLATE(D51, ""bn"", ""en"")"),"singing")</f>
        <v>singing</v>
      </c>
      <c r="N51" s="5" t="str">
        <f>IFERROR(__xludf.DUMMYFUNCTION("GOOGLETRANSLATE(E51, ""bn"", ""en"")"),"dancing")</f>
        <v>dancing</v>
      </c>
      <c r="O51" s="5" t="str">
        <f>IFERROR(__xludf.DUMMYFUNCTION("GOOGLETRANSLATE(F51, ""bn"", ""en"")"),"observing")</f>
        <v>observing</v>
      </c>
      <c r="P51" s="5" t="str">
        <f>IFERROR(__xludf.DUMMYFUNCTION("GOOGLETRANSLATE(G51, ""bn"", ""en"")"),"Taking pictures")</f>
        <v>Taking pictures</v>
      </c>
      <c r="Q51" s="5" t="str">
        <f>IFERROR(__xludf.DUMMYFUNCTION("GOOGLETRANSLATE(H51, ""bn"", ""en"")"),"pic25")</f>
        <v>pic25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4.13"/>
    <col customWidth="1" min="4" max="4" width="21.5"/>
    <col customWidth="1" min="5" max="5" width="12.75"/>
    <col customWidth="1" min="6" max="6" width="15.13"/>
    <col customWidth="1" min="7" max="7" width="24.13"/>
    <col customWidth="1" min="10" max="10" width="14.38"/>
    <col customWidth="1" min="11" max="11" width="37.63"/>
    <col customWidth="1" min="12" max="12" width="23.0"/>
    <col customWidth="1" min="13" max="13" width="19.38"/>
    <col customWidth="1" min="14" max="15" width="16.0"/>
    <col customWidth="1" min="16" max="16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1.0</v>
      </c>
      <c r="B2" s="4" t="s">
        <v>636</v>
      </c>
      <c r="C2" s="4" t="s">
        <v>128</v>
      </c>
      <c r="D2" s="4" t="s">
        <v>129</v>
      </c>
      <c r="E2" s="4" t="s">
        <v>637</v>
      </c>
      <c r="F2" s="4" t="s">
        <v>638</v>
      </c>
      <c r="G2" s="4" t="s">
        <v>129</v>
      </c>
      <c r="H2" s="4" t="s">
        <v>21</v>
      </c>
      <c r="J2" s="5" t="str">
        <f>IFERROR(__xludf.DUMMYFUNCTION("GOOGLETRANSLATE(A2, ""bn"", ""en"")"),"1")</f>
        <v>1</v>
      </c>
      <c r="K2" s="5" t="str">
        <f>IFERROR(__xludf.DUMMYFUNCTION("GOOGLETRANSLATE(B2, ""bn"", ""en"")"),"What is the strategy used by the participants in the stick game?")</f>
        <v>What is the strategy used by the participants in the stick game?</v>
      </c>
      <c r="L2" s="5" t="str">
        <f>IFERROR(__xludf.DUMMYFUNCTION("GOOGLETRANSLATE(C2, ""bn"", ""en"")"),"caught")</f>
        <v>caught</v>
      </c>
      <c r="M2" s="5" t="str">
        <f>IFERROR(__xludf.DUMMYFUNCTION("GOOGLETRANSLATE(D2, ""bn"", ""en"")"),"injury")</f>
        <v>injury</v>
      </c>
      <c r="N2" s="5" t="str">
        <f>IFERROR(__xludf.DUMMYFUNCTION("GOOGLETRANSLATE(E2, ""bn"", ""en"")"),"Robbery")</f>
        <v>Robbery</v>
      </c>
      <c r="O2" s="5" t="str">
        <f>IFERROR(__xludf.DUMMYFUNCTION("GOOGLETRANSLATE(F2, ""bn"", ""en"")"),"Blocking")</f>
        <v>Blocking</v>
      </c>
      <c r="P2" s="5" t="str">
        <f>IFERROR(__xludf.DUMMYFUNCTION("GOOGLETRANSLATE(G2, ""bn"", ""en"")"),"injury")</f>
        <v>injury</v>
      </c>
      <c r="Q2" s="5" t="str">
        <f>IFERROR(__xludf.DUMMYFUNCTION("GOOGLETRANSLATE(H2, ""bn"", ""en"")"),"pic1")</f>
        <v>pic1</v>
      </c>
    </row>
    <row r="3">
      <c r="A3" s="3">
        <v>2.0</v>
      </c>
      <c r="B3" s="4" t="s">
        <v>549</v>
      </c>
      <c r="C3" s="4" t="s">
        <v>552</v>
      </c>
      <c r="D3" s="4" t="s">
        <v>639</v>
      </c>
      <c r="E3" s="4" t="s">
        <v>640</v>
      </c>
      <c r="F3" s="4" t="s">
        <v>583</v>
      </c>
      <c r="G3" s="4" t="s">
        <v>552</v>
      </c>
      <c r="H3" s="4" t="s">
        <v>21</v>
      </c>
      <c r="J3" s="5" t="str">
        <f>IFERROR(__xludf.DUMMYFUNCTION("GOOGLETRANSLATE(A3, ""bn"", ""en"")"),"2")</f>
        <v>2</v>
      </c>
      <c r="K3" s="5" t="str">
        <f>IFERROR(__xludf.DUMMYFUNCTION("GOOGLETRANSLATE(B3, ""bn"", ""en"")"),"What is the role of the audience in the film?")</f>
        <v>What is the role of the audience in the film?</v>
      </c>
      <c r="L3" s="5" t="str">
        <f>IFERROR(__xludf.DUMMYFUNCTION("GOOGLETRANSLATE(C3, ""bn"", ""en"")"),"Observer")</f>
        <v>Observer</v>
      </c>
      <c r="M3" s="5" t="str">
        <f>IFERROR(__xludf.DUMMYFUNCTION("GOOGLETRANSLATE(D3, ""bn"", ""en"")"),"Participant")</f>
        <v>Participant</v>
      </c>
      <c r="N3" s="5" t="str">
        <f>IFERROR(__xludf.DUMMYFUNCTION("GOOGLETRANSLATE(E3, ""bn"", ""en"")"),"the host")</f>
        <v>the host</v>
      </c>
      <c r="O3" s="5" t="str">
        <f>IFERROR(__xludf.DUMMYFUNCTION("GOOGLETRANSLATE(F3, ""bn"", ""en"")"),"the player")</f>
        <v>the player</v>
      </c>
      <c r="P3" s="5" t="str">
        <f>IFERROR(__xludf.DUMMYFUNCTION("GOOGLETRANSLATE(G3, ""bn"", ""en"")"),"Observer")</f>
        <v>Observer</v>
      </c>
      <c r="Q3" s="5" t="str">
        <f>IFERROR(__xludf.DUMMYFUNCTION("GOOGLETRANSLATE(H3, ""bn"", ""en"")"),"pic1")</f>
        <v>pic1</v>
      </c>
    </row>
    <row r="4">
      <c r="A4" s="3">
        <v>3.0</v>
      </c>
      <c r="B4" s="4" t="s">
        <v>641</v>
      </c>
      <c r="C4" s="4" t="s">
        <v>642</v>
      </c>
      <c r="D4" s="4" t="s">
        <v>45</v>
      </c>
      <c r="E4" s="4" t="s">
        <v>623</v>
      </c>
      <c r="F4" s="4" t="s">
        <v>643</v>
      </c>
      <c r="G4" s="4" t="s">
        <v>642</v>
      </c>
      <c r="H4" s="4" t="s">
        <v>32</v>
      </c>
      <c r="J4" s="5" t="str">
        <f>IFERROR(__xludf.DUMMYFUNCTION("GOOGLETRANSLATE(A4, ""bn"", ""en"")"),"3")</f>
        <v>3</v>
      </c>
      <c r="K4" s="5" t="str">
        <f>IFERROR(__xludf.DUMMYFUNCTION("GOOGLETRANSLATE(B4, ""bn"", ""en"")"),"What work is shown in the forward plan?")</f>
        <v>What work is shown in the forward plan?</v>
      </c>
      <c r="L4" s="5" t="str">
        <f>IFERROR(__xludf.DUMMYFUNCTION("GOOGLETRANSLATE(C4, ""bn"", ""en"")"),"fight")</f>
        <v>fight</v>
      </c>
      <c r="M4" s="5" t="str">
        <f>IFERROR(__xludf.DUMMYFUNCTION("GOOGLETRANSLATE(D4, ""bn"", ""en"")"),"Training")</f>
        <v>Training</v>
      </c>
      <c r="N4" s="5" t="str">
        <f>IFERROR(__xludf.DUMMYFUNCTION("GOOGLETRANSLATE(E4, ""bn"", ""en"")"),"the dance")</f>
        <v>the dance</v>
      </c>
      <c r="O4" s="5" t="str">
        <f>IFERROR(__xludf.DUMMYFUNCTION("GOOGLETRANSLATE(F4, ""bn"", ""en"")"),"Ritual ceremony")</f>
        <v>Ritual ceremony</v>
      </c>
      <c r="P4" s="5" t="str">
        <f>IFERROR(__xludf.DUMMYFUNCTION("GOOGLETRANSLATE(G4, ""bn"", ""en"")"),"fight")</f>
        <v>fight</v>
      </c>
      <c r="Q4" s="5" t="str">
        <f>IFERROR(__xludf.DUMMYFUNCTION("GOOGLETRANSLATE(H4, ""bn"", ""en"")"),"pic2")</f>
        <v>pic2</v>
      </c>
    </row>
    <row r="5">
      <c r="A5" s="3">
        <v>4.0</v>
      </c>
      <c r="B5" s="4" t="s">
        <v>644</v>
      </c>
      <c r="C5" s="4" t="s">
        <v>645</v>
      </c>
      <c r="D5" s="4" t="s">
        <v>646</v>
      </c>
      <c r="E5" s="4" t="s">
        <v>647</v>
      </c>
      <c r="F5" s="4" t="s">
        <v>648</v>
      </c>
      <c r="G5" s="4" t="s">
        <v>645</v>
      </c>
      <c r="H5" s="4" t="s">
        <v>32</v>
      </c>
      <c r="J5" s="5" t="str">
        <f>IFERROR(__xludf.DUMMYFUNCTION("GOOGLETRANSLATE(A5, ""bn"", ""en"")"),"4")</f>
        <v>4</v>
      </c>
      <c r="K5" s="5" t="str">
        <f>IFERROR(__xludf.DUMMYFUNCTION("GOOGLETRANSLATE(B5, ""bn"", ""en"")"),"What is shown to the audience behind?")</f>
        <v>What is shown to the audience behind?</v>
      </c>
      <c r="L5" s="5" t="str">
        <f>IFERROR(__xludf.DUMMYFUNCTION("GOOGLETRANSLATE(C5, ""bn"", ""en"")"),"Support")</f>
        <v>Support</v>
      </c>
      <c r="M5" s="5" t="str">
        <f>IFERROR(__xludf.DUMMYFUNCTION("GOOGLETRANSLATE(D5, ""bn"", ""en"")"),"the interest")</f>
        <v>the interest</v>
      </c>
      <c r="N5" s="5" t="str">
        <f>IFERROR(__xludf.DUMMYFUNCTION("GOOGLETRANSLATE(E5, ""bn"", ""en"")"),"Boredom")</f>
        <v>Boredom</v>
      </c>
      <c r="O5" s="5" t="str">
        <f>IFERROR(__xludf.DUMMYFUNCTION("GOOGLETRANSLATE(F5, ""bn"", ""en"")"),"Inactivity")</f>
        <v>Inactivity</v>
      </c>
      <c r="P5" s="5" t="str">
        <f>IFERROR(__xludf.DUMMYFUNCTION("GOOGLETRANSLATE(G5, ""bn"", ""en"")"),"Support")</f>
        <v>Support</v>
      </c>
      <c r="Q5" s="5" t="str">
        <f>IFERROR(__xludf.DUMMYFUNCTION("GOOGLETRANSLATE(H5, ""bn"", ""en"")"),"pic2")</f>
        <v>pic2</v>
      </c>
    </row>
    <row r="6">
      <c r="A6" s="3">
        <v>5.0</v>
      </c>
      <c r="B6" s="4" t="s">
        <v>641</v>
      </c>
      <c r="C6" s="4" t="s">
        <v>642</v>
      </c>
      <c r="D6" s="4" t="s">
        <v>45</v>
      </c>
      <c r="E6" s="4" t="s">
        <v>623</v>
      </c>
      <c r="F6" s="4" t="s">
        <v>643</v>
      </c>
      <c r="G6" s="4" t="s">
        <v>642</v>
      </c>
      <c r="H6" s="4" t="s">
        <v>39</v>
      </c>
      <c r="J6" s="5" t="str">
        <f>IFERROR(__xludf.DUMMYFUNCTION("GOOGLETRANSLATE(A6, ""bn"", ""en"")"),"5")</f>
        <v>5</v>
      </c>
      <c r="K6" s="5" t="str">
        <f>IFERROR(__xludf.DUMMYFUNCTION("GOOGLETRANSLATE(B6, ""bn"", ""en"")"),"What work is shown in the forward plan?")</f>
        <v>What work is shown in the forward plan?</v>
      </c>
      <c r="L6" s="5" t="str">
        <f>IFERROR(__xludf.DUMMYFUNCTION("GOOGLETRANSLATE(C6, ""bn"", ""en"")"),"fight")</f>
        <v>fight</v>
      </c>
      <c r="M6" s="5" t="str">
        <f>IFERROR(__xludf.DUMMYFUNCTION("GOOGLETRANSLATE(D6, ""bn"", ""en"")"),"Training")</f>
        <v>Training</v>
      </c>
      <c r="N6" s="5" t="str">
        <f>IFERROR(__xludf.DUMMYFUNCTION("GOOGLETRANSLATE(E6, ""bn"", ""en"")"),"the dance")</f>
        <v>the dance</v>
      </c>
      <c r="O6" s="5" t="str">
        <f>IFERROR(__xludf.DUMMYFUNCTION("GOOGLETRANSLATE(F6, ""bn"", ""en"")"),"Ritual ceremony")</f>
        <v>Ritual ceremony</v>
      </c>
      <c r="P6" s="5" t="str">
        <f>IFERROR(__xludf.DUMMYFUNCTION("GOOGLETRANSLATE(G6, ""bn"", ""en"")"),"fight")</f>
        <v>fight</v>
      </c>
      <c r="Q6" s="5" t="str">
        <f>IFERROR(__xludf.DUMMYFUNCTION("GOOGLETRANSLATE(H6, ""bn"", ""en"")"),"pic3")</f>
        <v>pic3</v>
      </c>
    </row>
    <row r="7">
      <c r="A7" s="3">
        <v>6.0</v>
      </c>
      <c r="B7" s="4" t="s">
        <v>644</v>
      </c>
      <c r="C7" s="4" t="s">
        <v>645</v>
      </c>
      <c r="D7" s="4" t="s">
        <v>646</v>
      </c>
      <c r="E7" s="4" t="s">
        <v>647</v>
      </c>
      <c r="F7" s="4" t="s">
        <v>648</v>
      </c>
      <c r="G7" s="4" t="s">
        <v>645</v>
      </c>
      <c r="H7" s="4" t="s">
        <v>39</v>
      </c>
      <c r="J7" s="5" t="str">
        <f>IFERROR(__xludf.DUMMYFUNCTION("GOOGLETRANSLATE(A7, ""bn"", ""en"")"),"6")</f>
        <v>6</v>
      </c>
      <c r="K7" s="5" t="str">
        <f>IFERROR(__xludf.DUMMYFUNCTION("GOOGLETRANSLATE(B7, ""bn"", ""en"")"),"What is shown to the audience behind?")</f>
        <v>What is shown to the audience behind?</v>
      </c>
      <c r="L7" s="5" t="str">
        <f>IFERROR(__xludf.DUMMYFUNCTION("GOOGLETRANSLATE(C7, ""bn"", ""en"")"),"Support")</f>
        <v>Support</v>
      </c>
      <c r="M7" s="5" t="str">
        <f>IFERROR(__xludf.DUMMYFUNCTION("GOOGLETRANSLATE(D7, ""bn"", ""en"")"),"the interest")</f>
        <v>the interest</v>
      </c>
      <c r="N7" s="5" t="str">
        <f>IFERROR(__xludf.DUMMYFUNCTION("GOOGLETRANSLATE(E7, ""bn"", ""en"")"),"Boredom")</f>
        <v>Boredom</v>
      </c>
      <c r="O7" s="5" t="str">
        <f>IFERROR(__xludf.DUMMYFUNCTION("GOOGLETRANSLATE(F7, ""bn"", ""en"")"),"Inactivity")</f>
        <v>Inactivity</v>
      </c>
      <c r="P7" s="5" t="str">
        <f>IFERROR(__xludf.DUMMYFUNCTION("GOOGLETRANSLATE(G7, ""bn"", ""en"")"),"Support")</f>
        <v>Support</v>
      </c>
      <c r="Q7" s="5" t="str">
        <f>IFERROR(__xludf.DUMMYFUNCTION("GOOGLETRANSLATE(H7, ""bn"", ""en"")"),"pic3")</f>
        <v>pic3</v>
      </c>
    </row>
    <row r="8">
      <c r="A8" s="3">
        <v>7.0</v>
      </c>
      <c r="B8" s="4" t="s">
        <v>649</v>
      </c>
      <c r="C8" s="4" t="s">
        <v>638</v>
      </c>
      <c r="D8" s="4" t="s">
        <v>128</v>
      </c>
      <c r="E8" s="4" t="s">
        <v>129</v>
      </c>
      <c r="F8" s="4" t="s">
        <v>637</v>
      </c>
      <c r="G8" s="4" t="s">
        <v>638</v>
      </c>
      <c r="H8" s="4" t="s">
        <v>46</v>
      </c>
      <c r="J8" s="5" t="str">
        <f>IFERROR(__xludf.DUMMYFUNCTION("GOOGLETRANSLATE(A8, ""bn"", ""en"")"),"7")</f>
        <v>7</v>
      </c>
      <c r="K8" s="5" t="str">
        <f>IFERROR(__xludf.DUMMYFUNCTION("GOOGLETRANSLATE(B8, ""bn"", ""en"")"),"What strategy is used for defense?")</f>
        <v>What strategy is used for defense?</v>
      </c>
      <c r="L8" s="5" t="str">
        <f>IFERROR(__xludf.DUMMYFUNCTION("GOOGLETRANSLATE(C8, ""bn"", ""en"")"),"Blocking")</f>
        <v>Blocking</v>
      </c>
      <c r="M8" s="5" t="str">
        <f>IFERROR(__xludf.DUMMYFUNCTION("GOOGLETRANSLATE(D8, ""bn"", ""en"")"),"caught")</f>
        <v>caught</v>
      </c>
      <c r="N8" s="5" t="str">
        <f>IFERROR(__xludf.DUMMYFUNCTION("GOOGLETRANSLATE(E8, ""bn"", ""en"")"),"injury")</f>
        <v>injury</v>
      </c>
      <c r="O8" s="5" t="str">
        <f>IFERROR(__xludf.DUMMYFUNCTION("GOOGLETRANSLATE(F8, ""bn"", ""en"")"),"Robbery")</f>
        <v>Robbery</v>
      </c>
      <c r="P8" s="5" t="str">
        <f>IFERROR(__xludf.DUMMYFUNCTION("GOOGLETRANSLATE(G8, ""bn"", ""en"")"),"Blocking")</f>
        <v>Blocking</v>
      </c>
      <c r="Q8" s="5" t="str">
        <f>IFERROR(__xludf.DUMMYFUNCTION("GOOGLETRANSLATE(H8, ""bn"", ""en"")"),"pic4")</f>
        <v>pic4</v>
      </c>
    </row>
    <row r="9">
      <c r="A9" s="3">
        <v>8.0</v>
      </c>
      <c r="B9" s="4" t="s">
        <v>650</v>
      </c>
      <c r="C9" s="4" t="s">
        <v>651</v>
      </c>
      <c r="D9" s="4" t="s">
        <v>125</v>
      </c>
      <c r="E9" s="4" t="s">
        <v>640</v>
      </c>
      <c r="F9" s="4" t="s">
        <v>583</v>
      </c>
      <c r="G9" s="4" t="s">
        <v>651</v>
      </c>
      <c r="H9" s="4" t="s">
        <v>46</v>
      </c>
      <c r="J9" s="5" t="str">
        <f>IFERROR(__xludf.DUMMYFUNCTION("GOOGLETRANSLATE(A9, ""bn"", ""en"")"),"8")</f>
        <v>8</v>
      </c>
      <c r="K9" s="5" t="str">
        <f>IFERROR(__xludf.DUMMYFUNCTION("GOOGLETRANSLATE(B9, ""bn"", ""en"")"),"What is the role of the person behind the drum?")</f>
        <v>What is the role of the person behind the drum?</v>
      </c>
      <c r="L9" s="5" t="str">
        <f>IFERROR(__xludf.DUMMYFUNCTION("GOOGLETRANSLATE(C9, ""bn"", ""en"")"),"Participant support")</f>
        <v>Participant support</v>
      </c>
      <c r="M9" s="5" t="str">
        <f>IFERROR(__xludf.DUMMYFUNCTION("GOOGLETRANSLATE(D9, ""bn"", ""en"")"),"trainer")</f>
        <v>trainer</v>
      </c>
      <c r="N9" s="5" t="str">
        <f>IFERROR(__xludf.DUMMYFUNCTION("GOOGLETRANSLATE(E9, ""bn"", ""en"")"),"the host")</f>
        <v>the host</v>
      </c>
      <c r="O9" s="5" t="str">
        <f>IFERROR(__xludf.DUMMYFUNCTION("GOOGLETRANSLATE(F9, ""bn"", ""en"")"),"the player")</f>
        <v>the player</v>
      </c>
      <c r="P9" s="5" t="str">
        <f>IFERROR(__xludf.DUMMYFUNCTION("GOOGLETRANSLATE(G9, ""bn"", ""en"")"),"Participant support")</f>
        <v>Participant support</v>
      </c>
      <c r="Q9" s="5" t="str">
        <f>IFERROR(__xludf.DUMMYFUNCTION("GOOGLETRANSLATE(H9, ""bn"", ""en"")"),"pic4")</f>
        <v>pic4</v>
      </c>
    </row>
    <row r="10">
      <c r="A10" s="3">
        <v>9.0</v>
      </c>
      <c r="B10" s="4" t="s">
        <v>652</v>
      </c>
      <c r="C10" s="4" t="s">
        <v>129</v>
      </c>
      <c r="D10" s="4" t="s">
        <v>653</v>
      </c>
      <c r="E10" s="4" t="s">
        <v>623</v>
      </c>
      <c r="F10" s="4" t="s">
        <v>645</v>
      </c>
      <c r="G10" s="4" t="s">
        <v>129</v>
      </c>
      <c r="H10" s="4" t="s">
        <v>57</v>
      </c>
      <c r="J10" s="5" t="str">
        <f>IFERROR(__xludf.DUMMYFUNCTION("GOOGLETRANSLATE(A10, ""bn"", ""en"")"),"9")</f>
        <v>9</v>
      </c>
      <c r="K10" s="5" t="str">
        <f>IFERROR(__xludf.DUMMYFUNCTION("GOOGLETRANSLATE(B10, ""bn"", ""en"")"),"What work is being done at the moment?")</f>
        <v>What work is being done at the moment?</v>
      </c>
      <c r="L10" s="5" t="str">
        <f>IFERROR(__xludf.DUMMYFUNCTION("GOOGLETRANSLATE(C10, ""bn"", ""en"")"),"injury")</f>
        <v>injury</v>
      </c>
      <c r="M10" s="5" t="str">
        <f>IFERROR(__xludf.DUMMYFUNCTION("GOOGLETRANSLATE(D10, ""bn"", ""en"")"),"defense")</f>
        <v>defense</v>
      </c>
      <c r="N10" s="5" t="str">
        <f>IFERROR(__xludf.DUMMYFUNCTION("GOOGLETRANSLATE(E10, ""bn"", ""en"")"),"the dance")</f>
        <v>the dance</v>
      </c>
      <c r="O10" s="5" t="str">
        <f>IFERROR(__xludf.DUMMYFUNCTION("GOOGLETRANSLATE(F10, ""bn"", ""en"")"),"Support")</f>
        <v>Support</v>
      </c>
      <c r="P10" s="5" t="str">
        <f>IFERROR(__xludf.DUMMYFUNCTION("GOOGLETRANSLATE(G10, ""bn"", ""en"")"),"injury")</f>
        <v>injury</v>
      </c>
      <c r="Q10" s="5" t="str">
        <f>IFERROR(__xludf.DUMMYFUNCTION("GOOGLETRANSLATE(H10, ""bn"", ""en"")"),"pic5")</f>
        <v>pic5</v>
      </c>
    </row>
    <row r="11">
      <c r="A11" s="3">
        <v>10.0</v>
      </c>
      <c r="B11" s="4" t="s">
        <v>654</v>
      </c>
      <c r="C11" s="4" t="s">
        <v>610</v>
      </c>
      <c r="D11" s="4" t="s">
        <v>618</v>
      </c>
      <c r="E11" s="4" t="s">
        <v>619</v>
      </c>
      <c r="F11" s="4" t="s">
        <v>92</v>
      </c>
      <c r="G11" s="4" t="s">
        <v>610</v>
      </c>
      <c r="H11" s="4" t="s">
        <v>57</v>
      </c>
      <c r="J11" s="5" t="str">
        <f>IFERROR(__xludf.DUMMYFUNCTION("GOOGLETRANSLATE(A11, ""bn"", ""en"")"),"10")</f>
        <v>10</v>
      </c>
      <c r="K11" s="5" t="str">
        <f>IFERROR(__xludf.DUMMYFUNCTION("GOOGLETRANSLATE(B11, ""bn"", ""en"")"),"What are the viewers doing in the back?")</f>
        <v>What are the viewers doing in the back?</v>
      </c>
      <c r="L11" s="5" t="str">
        <f>IFERROR(__xludf.DUMMYFUNCTION("GOOGLETRANSLATE(C11, ""bn"", ""en"")"),"observing")</f>
        <v>observing</v>
      </c>
      <c r="M11" s="5" t="str">
        <f>IFERROR(__xludf.DUMMYFUNCTION("GOOGLETRANSLATE(D11, ""bn"", ""en"")"),"Taking pictures")</f>
        <v>Taking pictures</v>
      </c>
      <c r="N11" s="5" t="str">
        <f>IFERROR(__xludf.DUMMYFUNCTION("GOOGLETRANSLATE(E11, ""bn"", ""en"")"),"singing")</f>
        <v>singing</v>
      </c>
      <c r="O11" s="5" t="str">
        <f>IFERROR(__xludf.DUMMYFUNCTION("GOOGLETRANSLATE(F11, ""bn"", ""en"")"),"dancing")</f>
        <v>dancing</v>
      </c>
      <c r="P11" s="5" t="str">
        <f>IFERROR(__xludf.DUMMYFUNCTION("GOOGLETRANSLATE(G11, ""bn"", ""en"")"),"observing")</f>
        <v>observing</v>
      </c>
      <c r="Q11" s="5" t="str">
        <f>IFERROR(__xludf.DUMMYFUNCTION("GOOGLETRANSLATE(H11, ""bn"", ""en"")"),"pic5")</f>
        <v>pic5</v>
      </c>
    </row>
    <row r="12">
      <c r="A12" s="3">
        <v>11.0</v>
      </c>
      <c r="B12" s="4" t="s">
        <v>655</v>
      </c>
      <c r="C12" s="4" t="s">
        <v>656</v>
      </c>
      <c r="D12" s="4" t="s">
        <v>657</v>
      </c>
      <c r="E12" s="4" t="s">
        <v>45</v>
      </c>
      <c r="F12" s="4" t="s">
        <v>658</v>
      </c>
      <c r="G12" s="4" t="s">
        <v>658</v>
      </c>
      <c r="H12" s="4" t="s">
        <v>68</v>
      </c>
      <c r="J12" s="5" t="str">
        <f>IFERROR(__xludf.DUMMYFUNCTION("GOOGLETRANSLATE(A12, ""bn"", ""en"")"),"11")</f>
        <v>11</v>
      </c>
      <c r="K12" s="5" t="str">
        <f>IFERROR(__xludf.DUMMYFUNCTION("GOOGLETRANSLATE(B12, ""bn"", ""en"")"),"What is the main purpose of stick game participants?")</f>
        <v>What is the main purpose of stick game participants?</v>
      </c>
      <c r="L12" s="5" t="str">
        <f>IFERROR(__xludf.DUMMYFUNCTION("GOOGLETRANSLATE(C12, ""bn"", ""en"")"),"Victory")</f>
        <v>Victory</v>
      </c>
      <c r="M12" s="5" t="str">
        <f>IFERROR(__xludf.DUMMYFUNCTION("GOOGLETRANSLATE(D12, ""bn"", ""en"")"),"entertainment")</f>
        <v>entertainment</v>
      </c>
      <c r="N12" s="5" t="str">
        <f>IFERROR(__xludf.DUMMYFUNCTION("GOOGLETRANSLATE(E12, ""bn"", ""en"")"),"Training")</f>
        <v>Training</v>
      </c>
      <c r="O12" s="5" t="str">
        <f>IFERROR(__xludf.DUMMYFUNCTION("GOOGLETRANSLATE(F12, ""bn"", ""en"")"),"Self-defense")</f>
        <v>Self-defense</v>
      </c>
      <c r="P12" s="5" t="str">
        <f>IFERROR(__xludf.DUMMYFUNCTION("GOOGLETRANSLATE(G12, ""bn"", ""en"")"),"Self-defense")</f>
        <v>Self-defense</v>
      </c>
      <c r="Q12" s="5" t="str">
        <f>IFERROR(__xludf.DUMMYFUNCTION("GOOGLETRANSLATE(H12, ""bn"", ""en"")"),"pic6")</f>
        <v>pic6</v>
      </c>
    </row>
    <row r="13">
      <c r="A13" s="3">
        <v>12.0</v>
      </c>
      <c r="B13" s="4" t="s">
        <v>659</v>
      </c>
      <c r="C13" s="4" t="s">
        <v>660</v>
      </c>
      <c r="D13" s="4" t="s">
        <v>647</v>
      </c>
      <c r="E13" s="4" t="s">
        <v>561</v>
      </c>
      <c r="F13" s="4" t="s">
        <v>646</v>
      </c>
      <c r="G13" s="4" t="s">
        <v>660</v>
      </c>
      <c r="H13" s="4" t="s">
        <v>68</v>
      </c>
      <c r="J13" s="5" t="str">
        <f>IFERROR(__xludf.DUMMYFUNCTION("GOOGLETRANSLATE(A13, ""bn"", ""en"")"),"12")</f>
        <v>12</v>
      </c>
      <c r="K13" s="5" t="str">
        <f>IFERROR(__xludf.DUMMYFUNCTION("GOOGLETRANSLATE(B13, ""bn"", ""en"")"),"What is the reaction of the audience ahead?")</f>
        <v>What is the reaction of the audience ahead?</v>
      </c>
      <c r="L13" s="5" t="str">
        <f>IFERROR(__xludf.DUMMYFUNCTION("GOOGLETRANSLATE(C13, ""bn"", ""en"")"),"Excitement")</f>
        <v>Excitement</v>
      </c>
      <c r="M13" s="5" t="str">
        <f>IFERROR(__xludf.DUMMYFUNCTION("GOOGLETRANSLATE(D13, ""bn"", ""en"")"),"Boredom")</f>
        <v>Boredom</v>
      </c>
      <c r="N13" s="5" t="str">
        <f>IFERROR(__xludf.DUMMYFUNCTION("GOOGLETRANSLATE(E13, ""bn"", ""en"")"),"calm down")</f>
        <v>calm down</v>
      </c>
      <c r="O13" s="5" t="str">
        <f>IFERROR(__xludf.DUMMYFUNCTION("GOOGLETRANSLATE(F13, ""bn"", ""en"")"),"the interest")</f>
        <v>the interest</v>
      </c>
      <c r="P13" s="5" t="str">
        <f>IFERROR(__xludf.DUMMYFUNCTION("GOOGLETRANSLATE(G13, ""bn"", ""en"")"),"Excitement")</f>
        <v>Excitement</v>
      </c>
      <c r="Q13" s="5" t="str">
        <f>IFERROR(__xludf.DUMMYFUNCTION("GOOGLETRANSLATE(H13, ""bn"", ""en"")"),"pic6")</f>
        <v>pic6</v>
      </c>
    </row>
    <row r="14">
      <c r="A14" s="3">
        <v>13.0</v>
      </c>
      <c r="B14" s="4" t="s">
        <v>661</v>
      </c>
      <c r="C14" s="4" t="s">
        <v>662</v>
      </c>
      <c r="D14" s="4" t="s">
        <v>128</v>
      </c>
      <c r="E14" s="4" t="s">
        <v>637</v>
      </c>
      <c r="F14" s="4" t="s">
        <v>129</v>
      </c>
      <c r="G14" s="4" t="s">
        <v>129</v>
      </c>
      <c r="H14" s="4" t="s">
        <v>68</v>
      </c>
      <c r="J14" s="5" t="str">
        <f>IFERROR(__xludf.DUMMYFUNCTION("GOOGLETRANSLATE(A14, ""bn"", ""en"")"),"13")</f>
        <v>13</v>
      </c>
      <c r="K14" s="5" t="str">
        <f>IFERROR(__xludf.DUMMYFUNCTION("GOOGLETRANSLATE(B14, ""bn"", ""en"")"),"What strategy is used for the attack?")</f>
        <v>What strategy is used for the attack?</v>
      </c>
      <c r="L14" s="5" t="str">
        <f>IFERROR(__xludf.DUMMYFUNCTION("GOOGLETRANSLATE(C14, ""bn"", ""en"")"),"Slip")</f>
        <v>Slip</v>
      </c>
      <c r="M14" s="5" t="str">
        <f>IFERROR(__xludf.DUMMYFUNCTION("GOOGLETRANSLATE(D14, ""bn"", ""en"")"),"caught")</f>
        <v>caught</v>
      </c>
      <c r="N14" s="5" t="str">
        <f>IFERROR(__xludf.DUMMYFUNCTION("GOOGLETRANSLATE(E14, ""bn"", ""en"")"),"Robbery")</f>
        <v>Robbery</v>
      </c>
      <c r="O14" s="5" t="str">
        <f>IFERROR(__xludf.DUMMYFUNCTION("GOOGLETRANSLATE(F14, ""bn"", ""en"")"),"injury")</f>
        <v>injury</v>
      </c>
      <c r="P14" s="5" t="str">
        <f>IFERROR(__xludf.DUMMYFUNCTION("GOOGLETRANSLATE(G14, ""bn"", ""en"")"),"injury")</f>
        <v>injury</v>
      </c>
      <c r="Q14" s="5" t="str">
        <f>IFERROR(__xludf.DUMMYFUNCTION("GOOGLETRANSLATE(H14, ""bn"", ""en"")"),"pic6")</f>
        <v>pic6</v>
      </c>
    </row>
    <row r="15">
      <c r="A15" s="3">
        <v>14.0</v>
      </c>
      <c r="B15" s="4" t="s">
        <v>663</v>
      </c>
      <c r="C15" s="4" t="s">
        <v>664</v>
      </c>
      <c r="D15" s="4" t="s">
        <v>665</v>
      </c>
      <c r="E15" s="4" t="s">
        <v>666</v>
      </c>
      <c r="F15" s="4" t="s">
        <v>667</v>
      </c>
      <c r="G15" s="4" t="s">
        <v>664</v>
      </c>
      <c r="H15" s="4" t="s">
        <v>72</v>
      </c>
      <c r="J15" s="5" t="str">
        <f>IFERROR(__xludf.DUMMYFUNCTION("GOOGLETRANSLATE(A15, ""bn"", ""en"")"),"14")</f>
        <v>14</v>
      </c>
      <c r="K15" s="5" t="str">
        <f>IFERROR(__xludf.DUMMYFUNCTION("GOOGLETRANSLATE(B15, ""bn"", ""en"")"),"What is the role of event presenter?")</f>
        <v>What is the role of event presenter?</v>
      </c>
      <c r="L15" s="5" t="str">
        <f>IFERROR(__xludf.DUMMYFUNCTION("GOOGLETRANSLATE(C15, ""bn"", ""en"")"),"Declaration of rules")</f>
        <v>Declaration of rules</v>
      </c>
      <c r="M15" s="5" t="str">
        <f>IFERROR(__xludf.DUMMYFUNCTION("GOOGLETRANSLATE(D15, ""bn"", ""en"")"),"Participant training")</f>
        <v>Participant training</v>
      </c>
      <c r="N15" s="5" t="str">
        <f>IFERROR(__xludf.DUMMYFUNCTION("GOOGLETRANSLATE(E15, ""bn"", ""en"")"),"Event organization")</f>
        <v>Event organization</v>
      </c>
      <c r="O15" s="5" t="str">
        <f>IFERROR(__xludf.DUMMYFUNCTION("GOOGLETRANSLATE(F15, ""bn"", ""en"")"),"Prizes for winners")</f>
        <v>Prizes for winners</v>
      </c>
      <c r="P15" s="5" t="str">
        <f>IFERROR(__xludf.DUMMYFUNCTION("GOOGLETRANSLATE(G15, ""bn"", ""en"")"),"Declaration of rules")</f>
        <v>Declaration of rules</v>
      </c>
      <c r="Q15" s="5" t="str">
        <f>IFERROR(__xludf.DUMMYFUNCTION("GOOGLETRANSLATE(H15, ""bn"", ""en"")"),"pic7")</f>
        <v>pic7</v>
      </c>
    </row>
    <row r="16">
      <c r="A16" s="3">
        <v>15.0</v>
      </c>
      <c r="B16" s="4" t="s">
        <v>668</v>
      </c>
      <c r="C16" s="4" t="s">
        <v>669</v>
      </c>
      <c r="D16" s="4" t="s">
        <v>670</v>
      </c>
      <c r="E16" s="4" t="s">
        <v>586</v>
      </c>
      <c r="F16" s="4" t="s">
        <v>671</v>
      </c>
      <c r="G16" s="4" t="s">
        <v>669</v>
      </c>
      <c r="H16" s="4" t="s">
        <v>72</v>
      </c>
      <c r="J16" s="5" t="str">
        <f>IFERROR(__xludf.DUMMYFUNCTION("GOOGLETRANSLATE(A16, ""bn"", ""en"")"),"15")</f>
        <v>15</v>
      </c>
      <c r="K16" s="5" t="str">
        <f>IFERROR(__xludf.DUMMYFUNCTION("GOOGLETRANSLATE(B16, ""bn"", ""en"")"),"What is appearing in the picture?")</f>
        <v>What is appearing in the picture?</v>
      </c>
      <c r="L16" s="5" t="str">
        <f>IFERROR(__xludf.DUMMYFUNCTION("GOOGLETRANSLATE(C16, ""bn"", ""en"")"),"Two participants with sticks")</f>
        <v>Two participants with sticks</v>
      </c>
      <c r="M16" s="5" t="str">
        <f>IFERROR(__xludf.DUMMYFUNCTION("GOOGLETRANSLATE(D16, ""bn"", ""en"")"),"Wrestler training")</f>
        <v>Wrestler training</v>
      </c>
      <c r="N16" s="5" t="str">
        <f>IFERROR(__xludf.DUMMYFUNCTION("GOOGLETRANSLATE(E16, ""bn"", ""en"")"),"football game")</f>
        <v>football game</v>
      </c>
      <c r="O16" s="5" t="str">
        <f>IFERROR(__xludf.DUMMYFUNCTION("GOOGLETRANSLATE(F16, ""bn"", ""en"")"),"Dance competition")</f>
        <v>Dance competition</v>
      </c>
      <c r="P16" s="5" t="str">
        <f>IFERROR(__xludf.DUMMYFUNCTION("GOOGLETRANSLATE(G16, ""bn"", ""en"")"),"Two participants with sticks")</f>
        <v>Two participants with sticks</v>
      </c>
      <c r="Q16" s="5" t="str">
        <f>IFERROR(__xludf.DUMMYFUNCTION("GOOGLETRANSLATE(H16, ""bn"", ""en"")"),"pic7")</f>
        <v>pic7</v>
      </c>
    </row>
    <row r="17">
      <c r="A17" s="3">
        <v>16.0</v>
      </c>
      <c r="B17" s="4" t="s">
        <v>672</v>
      </c>
      <c r="C17" s="4" t="s">
        <v>660</v>
      </c>
      <c r="D17" s="4" t="s">
        <v>646</v>
      </c>
      <c r="E17" s="4" t="s">
        <v>647</v>
      </c>
      <c r="F17" s="4" t="s">
        <v>596</v>
      </c>
      <c r="G17" s="4" t="s">
        <v>660</v>
      </c>
      <c r="H17" s="4" t="s">
        <v>81</v>
      </c>
      <c r="J17" s="5" t="str">
        <f>IFERROR(__xludf.DUMMYFUNCTION("GOOGLETRANSLATE(A17, ""bn"", ""en"")"),"16")</f>
        <v>16</v>
      </c>
      <c r="K17" s="5" t="str">
        <f>IFERROR(__xludf.DUMMYFUNCTION("GOOGLETRANSLATE(B17, ""bn"", ""en"")"),"What is the audience's reaction to the fight?")</f>
        <v>What is the audience's reaction to the fight?</v>
      </c>
      <c r="L17" s="5" t="str">
        <f>IFERROR(__xludf.DUMMYFUNCTION("GOOGLETRANSLATE(C17, ""bn"", ""en"")"),"Excitement")</f>
        <v>Excitement</v>
      </c>
      <c r="M17" s="5" t="str">
        <f>IFERROR(__xludf.DUMMYFUNCTION("GOOGLETRANSLATE(D17, ""bn"", ""en"")"),"the interest")</f>
        <v>the interest</v>
      </c>
      <c r="N17" s="5" t="str">
        <f>IFERROR(__xludf.DUMMYFUNCTION("GOOGLETRANSLATE(E17, ""bn"", ""en"")"),"Boredom")</f>
        <v>Boredom</v>
      </c>
      <c r="O17" s="5" t="str">
        <f>IFERROR(__xludf.DUMMYFUNCTION("GOOGLETRANSLATE(F17, ""bn"", ""en"")"),"Depression")</f>
        <v>Depression</v>
      </c>
      <c r="P17" s="5" t="str">
        <f>IFERROR(__xludf.DUMMYFUNCTION("GOOGLETRANSLATE(G17, ""bn"", ""en"")"),"Excitement")</f>
        <v>Excitement</v>
      </c>
      <c r="Q17" s="5" t="str">
        <f>IFERROR(__xludf.DUMMYFUNCTION("GOOGLETRANSLATE(H17, ""bn"", ""en"")"),"pic8")</f>
        <v>pic8</v>
      </c>
    </row>
    <row r="18">
      <c r="A18" s="3">
        <v>17.0</v>
      </c>
      <c r="B18" s="4" t="s">
        <v>673</v>
      </c>
      <c r="C18" s="4" t="s">
        <v>674</v>
      </c>
      <c r="D18" s="4" t="s">
        <v>623</v>
      </c>
      <c r="E18" s="4" t="s">
        <v>182</v>
      </c>
      <c r="F18" s="4" t="s">
        <v>45</v>
      </c>
      <c r="G18" s="4" t="s">
        <v>674</v>
      </c>
      <c r="H18" s="4" t="s">
        <v>81</v>
      </c>
      <c r="J18" s="5" t="str">
        <f>IFERROR(__xludf.DUMMYFUNCTION("GOOGLETRANSLATE(A18, ""bn"", ""en"")"),"17")</f>
        <v>17</v>
      </c>
      <c r="K18" s="5" t="str">
        <f>IFERROR(__xludf.DUMMYFUNCTION("GOOGLETRANSLATE(B18, ""bn"", ""en"")"),"What do participants in the stick game demonstrate?")</f>
        <v>What do participants in the stick game demonstrate?</v>
      </c>
      <c r="L18" s="5" t="str">
        <f>IFERROR(__xludf.DUMMYFUNCTION("GOOGLETRANSLATE(C18, ""bn"", ""en"")"),"Weapon handling skills")</f>
        <v>Weapon handling skills</v>
      </c>
      <c r="M18" s="5" t="str">
        <f>IFERROR(__xludf.DUMMYFUNCTION("GOOGLETRANSLATE(D18, ""bn"", ""en"")"),"the dance")</f>
        <v>the dance</v>
      </c>
      <c r="N18" s="5" t="str">
        <f>IFERROR(__xludf.DUMMYFUNCTION("GOOGLETRANSLATE(E18, ""bn"", ""en"")"),"the game")</f>
        <v>the game</v>
      </c>
      <c r="O18" s="5" t="str">
        <f>IFERROR(__xludf.DUMMYFUNCTION("GOOGLETRANSLATE(F18, ""bn"", ""en"")"),"Training")</f>
        <v>Training</v>
      </c>
      <c r="P18" s="5" t="str">
        <f>IFERROR(__xludf.DUMMYFUNCTION("GOOGLETRANSLATE(G18, ""bn"", ""en"")"),"Weapon handling skills")</f>
        <v>Weapon handling skills</v>
      </c>
      <c r="Q18" s="5" t="str">
        <f>IFERROR(__xludf.DUMMYFUNCTION("GOOGLETRANSLATE(H18, ""bn"", ""en"")"),"pic8")</f>
        <v>pic8</v>
      </c>
    </row>
    <row r="19">
      <c r="A19" s="3">
        <v>18.0</v>
      </c>
      <c r="B19" s="4" t="s">
        <v>675</v>
      </c>
      <c r="C19" s="4" t="s">
        <v>129</v>
      </c>
      <c r="D19" s="4" t="s">
        <v>653</v>
      </c>
      <c r="E19" s="4" t="s">
        <v>623</v>
      </c>
      <c r="F19" s="4" t="s">
        <v>637</v>
      </c>
      <c r="G19" s="4" t="s">
        <v>129</v>
      </c>
      <c r="H19" s="4" t="s">
        <v>88</v>
      </c>
      <c r="J19" s="5" t="str">
        <f>IFERROR(__xludf.DUMMYFUNCTION("GOOGLETRANSLATE(A19, ""bn"", ""en"")"),"18")</f>
        <v>18</v>
      </c>
      <c r="K19" s="5" t="str">
        <f>IFERROR(__xludf.DUMMYFUNCTION("GOOGLETRANSLATE(B19, ""bn"", ""en"")"),"What work is being planned in the future?")</f>
        <v>What work is being planned in the future?</v>
      </c>
      <c r="L19" s="5" t="str">
        <f>IFERROR(__xludf.DUMMYFUNCTION("GOOGLETRANSLATE(C19, ""bn"", ""en"")"),"injury")</f>
        <v>injury</v>
      </c>
      <c r="M19" s="5" t="str">
        <f>IFERROR(__xludf.DUMMYFUNCTION("GOOGLETRANSLATE(D19, ""bn"", ""en"")"),"defense")</f>
        <v>defense</v>
      </c>
      <c r="N19" s="5" t="str">
        <f>IFERROR(__xludf.DUMMYFUNCTION("GOOGLETRANSLATE(E19, ""bn"", ""en"")"),"the dance")</f>
        <v>the dance</v>
      </c>
      <c r="O19" s="5" t="str">
        <f>IFERROR(__xludf.DUMMYFUNCTION("GOOGLETRANSLATE(F19, ""bn"", ""en"")"),"Robbery")</f>
        <v>Robbery</v>
      </c>
      <c r="P19" s="5" t="str">
        <f>IFERROR(__xludf.DUMMYFUNCTION("GOOGLETRANSLATE(G19, ""bn"", ""en"")"),"injury")</f>
        <v>injury</v>
      </c>
      <c r="Q19" s="5" t="str">
        <f>IFERROR(__xludf.DUMMYFUNCTION("GOOGLETRANSLATE(H19, ""bn"", ""en"")"),"pic9")</f>
        <v>pic9</v>
      </c>
    </row>
    <row r="20">
      <c r="A20" s="3">
        <v>19.0</v>
      </c>
      <c r="B20" s="4" t="s">
        <v>676</v>
      </c>
      <c r="C20" s="4" t="s">
        <v>128</v>
      </c>
      <c r="D20" s="4" t="s">
        <v>129</v>
      </c>
      <c r="E20" s="4" t="s">
        <v>638</v>
      </c>
      <c r="F20" s="4" t="s">
        <v>637</v>
      </c>
      <c r="G20" s="4" t="s">
        <v>129</v>
      </c>
      <c r="H20" s="4" t="s">
        <v>88</v>
      </c>
      <c r="J20" s="5" t="str">
        <f>IFERROR(__xludf.DUMMYFUNCTION("GOOGLETRANSLATE(A20, ""bn"", ""en"")"),"19")</f>
        <v>19</v>
      </c>
      <c r="K20" s="5" t="str">
        <f>IFERROR(__xludf.DUMMYFUNCTION("GOOGLETRANSLATE(B20, ""bn"", ""en"")"),"What strategy are the participants using?")</f>
        <v>What strategy are the participants using?</v>
      </c>
      <c r="L20" s="5" t="str">
        <f>IFERROR(__xludf.DUMMYFUNCTION("GOOGLETRANSLATE(C20, ""bn"", ""en"")"),"caught")</f>
        <v>caught</v>
      </c>
      <c r="M20" s="5" t="str">
        <f>IFERROR(__xludf.DUMMYFUNCTION("GOOGLETRANSLATE(D20, ""bn"", ""en"")"),"injury")</f>
        <v>injury</v>
      </c>
      <c r="N20" s="5" t="str">
        <f>IFERROR(__xludf.DUMMYFUNCTION("GOOGLETRANSLATE(E20, ""bn"", ""en"")"),"Blocking")</f>
        <v>Blocking</v>
      </c>
      <c r="O20" s="5" t="str">
        <f>IFERROR(__xludf.DUMMYFUNCTION("GOOGLETRANSLATE(F20, ""bn"", ""en"")"),"Robbery")</f>
        <v>Robbery</v>
      </c>
      <c r="P20" s="5" t="str">
        <f>IFERROR(__xludf.DUMMYFUNCTION("GOOGLETRANSLATE(G20, ""bn"", ""en"")"),"injury")</f>
        <v>injury</v>
      </c>
      <c r="Q20" s="5" t="str">
        <f>IFERROR(__xludf.DUMMYFUNCTION("GOOGLETRANSLATE(H20, ""bn"", ""en"")"),"pic9")</f>
        <v>pic9</v>
      </c>
    </row>
    <row r="21">
      <c r="A21" s="3">
        <v>20.0</v>
      </c>
      <c r="B21" s="4" t="s">
        <v>677</v>
      </c>
      <c r="C21" s="4" t="s">
        <v>678</v>
      </c>
      <c r="D21" s="4" t="s">
        <v>125</v>
      </c>
      <c r="E21" s="4" t="s">
        <v>639</v>
      </c>
      <c r="F21" s="4" t="s">
        <v>581</v>
      </c>
      <c r="G21" s="4" t="s">
        <v>678</v>
      </c>
      <c r="H21" s="4" t="s">
        <v>98</v>
      </c>
      <c r="J21" s="5" t="str">
        <f>IFERROR(__xludf.DUMMYFUNCTION("GOOGLETRANSLATE(A21, ""bn"", ""en"")"),"20")</f>
        <v>20</v>
      </c>
      <c r="K21" s="5" t="str">
        <f>IFERROR(__xludf.DUMMYFUNCTION("GOOGLETRANSLATE(B21, ""bn"", ""en"")"),"What is the role of the contest presenter?")</f>
        <v>What is the role of the contest presenter?</v>
      </c>
      <c r="L21" s="5" t="str">
        <f>IFERROR(__xludf.DUMMYFUNCTION("GOOGLETRANSLATE(C21, ""bn"", ""en"")"),"Game Director")</f>
        <v>Game Director</v>
      </c>
      <c r="M21" s="5" t="str">
        <f>IFERROR(__xludf.DUMMYFUNCTION("GOOGLETRANSLATE(D21, ""bn"", ""en"")"),"trainer")</f>
        <v>trainer</v>
      </c>
      <c r="N21" s="5" t="str">
        <f>IFERROR(__xludf.DUMMYFUNCTION("GOOGLETRANSLATE(E21, ""bn"", ""en"")"),"Participant")</f>
        <v>Participant</v>
      </c>
      <c r="O21" s="5" t="str">
        <f>IFERROR(__xludf.DUMMYFUNCTION("GOOGLETRANSLATE(F21, ""bn"", ""en"")"),"Viewer")</f>
        <v>Viewer</v>
      </c>
      <c r="P21" s="5" t="str">
        <f>IFERROR(__xludf.DUMMYFUNCTION("GOOGLETRANSLATE(G21, ""bn"", ""en"")"),"Game Director")</f>
        <v>Game Director</v>
      </c>
      <c r="Q21" s="5" t="str">
        <f>IFERROR(__xludf.DUMMYFUNCTION("GOOGLETRANSLATE(H21, ""bn"", ""en"")"),"pic10")</f>
        <v>pic10</v>
      </c>
    </row>
    <row r="22">
      <c r="A22" s="3">
        <v>21.0</v>
      </c>
      <c r="B22" s="4" t="s">
        <v>679</v>
      </c>
      <c r="C22" s="4" t="s">
        <v>669</v>
      </c>
      <c r="D22" s="4" t="s">
        <v>680</v>
      </c>
      <c r="E22" s="4" t="s">
        <v>45</v>
      </c>
      <c r="F22" s="4" t="s">
        <v>671</v>
      </c>
      <c r="G22" s="4" t="s">
        <v>669</v>
      </c>
      <c r="H22" s="4" t="s">
        <v>98</v>
      </c>
      <c r="J22" s="5" t="str">
        <f>IFERROR(__xludf.DUMMYFUNCTION("GOOGLETRANSLATE(A22, ""bn"", ""en"")"),"21")</f>
        <v>21</v>
      </c>
      <c r="K22" s="5" t="str">
        <f>IFERROR(__xludf.DUMMYFUNCTION("GOOGLETRANSLATE(B22, ""bn"", ""en"")"),"What is shown in the forward plan?")</f>
        <v>What is shown in the forward plan?</v>
      </c>
      <c r="L22" s="5" t="str">
        <f>IFERROR(__xludf.DUMMYFUNCTION("GOOGLETRANSLATE(C22, ""bn"", ""en"")"),"Two participants with sticks")</f>
        <v>Two participants with sticks</v>
      </c>
      <c r="M22" s="5" t="str">
        <f>IFERROR(__xludf.DUMMYFUNCTION("GOOGLETRANSLATE(D22, ""bn"", ""en"")"),"Football match")</f>
        <v>Football match</v>
      </c>
      <c r="N22" s="5" t="str">
        <f>IFERROR(__xludf.DUMMYFUNCTION("GOOGLETRANSLATE(E22, ""bn"", ""en"")"),"Training")</f>
        <v>Training</v>
      </c>
      <c r="O22" s="5" t="str">
        <f>IFERROR(__xludf.DUMMYFUNCTION("GOOGLETRANSLATE(F22, ""bn"", ""en"")"),"Dance competition")</f>
        <v>Dance competition</v>
      </c>
      <c r="P22" s="5" t="str">
        <f>IFERROR(__xludf.DUMMYFUNCTION("GOOGLETRANSLATE(G22, ""bn"", ""en"")"),"Two participants with sticks")</f>
        <v>Two participants with sticks</v>
      </c>
      <c r="Q22" s="5" t="str">
        <f>IFERROR(__xludf.DUMMYFUNCTION("GOOGLETRANSLATE(H22, ""bn"", ""en"")"),"pic10")</f>
        <v>pic10</v>
      </c>
    </row>
    <row r="23">
      <c r="A23" s="3">
        <v>22.0</v>
      </c>
      <c r="B23" s="4" t="s">
        <v>681</v>
      </c>
      <c r="C23" s="4" t="s">
        <v>660</v>
      </c>
      <c r="D23" s="4" t="s">
        <v>647</v>
      </c>
      <c r="E23" s="4" t="s">
        <v>646</v>
      </c>
      <c r="F23" s="4" t="s">
        <v>596</v>
      </c>
      <c r="G23" s="4" t="s">
        <v>660</v>
      </c>
      <c r="H23" s="4" t="s">
        <v>109</v>
      </c>
      <c r="J23" s="5" t="str">
        <f>IFERROR(__xludf.DUMMYFUNCTION("GOOGLETRANSLATE(A23, ""bn"", ""en"")"),"22")</f>
        <v>22</v>
      </c>
      <c r="K23" s="5" t="str">
        <f>IFERROR(__xludf.DUMMYFUNCTION("GOOGLETRANSLATE(B23, ""bn"", ""en"")"),"What is the audience's reaction to the competition?")</f>
        <v>What is the audience's reaction to the competition?</v>
      </c>
      <c r="L23" s="5" t="str">
        <f>IFERROR(__xludf.DUMMYFUNCTION("GOOGLETRANSLATE(C23, ""bn"", ""en"")"),"Excitement")</f>
        <v>Excitement</v>
      </c>
      <c r="M23" s="5" t="str">
        <f>IFERROR(__xludf.DUMMYFUNCTION("GOOGLETRANSLATE(D23, ""bn"", ""en"")"),"Boredom")</f>
        <v>Boredom</v>
      </c>
      <c r="N23" s="5" t="str">
        <f>IFERROR(__xludf.DUMMYFUNCTION("GOOGLETRANSLATE(E23, ""bn"", ""en"")"),"the interest")</f>
        <v>the interest</v>
      </c>
      <c r="O23" s="5" t="str">
        <f>IFERROR(__xludf.DUMMYFUNCTION("GOOGLETRANSLATE(F23, ""bn"", ""en"")"),"Depression")</f>
        <v>Depression</v>
      </c>
      <c r="P23" s="5" t="str">
        <f>IFERROR(__xludf.DUMMYFUNCTION("GOOGLETRANSLATE(G23, ""bn"", ""en"")"),"Excitement")</f>
        <v>Excitement</v>
      </c>
      <c r="Q23" s="5" t="str">
        <f>IFERROR(__xludf.DUMMYFUNCTION("GOOGLETRANSLATE(H23, ""bn"", ""en"")"),"pic11")</f>
        <v>pic11</v>
      </c>
    </row>
    <row r="24">
      <c r="A24" s="3">
        <v>23.0</v>
      </c>
      <c r="B24" s="4" t="s">
        <v>682</v>
      </c>
      <c r="C24" s="4" t="s">
        <v>674</v>
      </c>
      <c r="D24" s="4" t="s">
        <v>623</v>
      </c>
      <c r="E24" s="4" t="s">
        <v>182</v>
      </c>
      <c r="F24" s="4" t="s">
        <v>45</v>
      </c>
      <c r="G24" s="4" t="s">
        <v>674</v>
      </c>
      <c r="H24" s="4" t="s">
        <v>109</v>
      </c>
      <c r="J24" s="5" t="str">
        <f>IFERROR(__xludf.DUMMYFUNCTION("GOOGLETRANSLATE(A24, ""bn"", ""en"")"),"23")</f>
        <v>23</v>
      </c>
      <c r="K24" s="5" t="str">
        <f>IFERROR(__xludf.DUMMYFUNCTION("GOOGLETRANSLATE(B24, ""bn"", ""en"")"),"What do front participants display?")</f>
        <v>What do front participants display?</v>
      </c>
      <c r="L24" s="5" t="str">
        <f>IFERROR(__xludf.DUMMYFUNCTION("GOOGLETRANSLATE(C24, ""bn"", ""en"")"),"Weapon handling skills")</f>
        <v>Weapon handling skills</v>
      </c>
      <c r="M24" s="5" t="str">
        <f>IFERROR(__xludf.DUMMYFUNCTION("GOOGLETRANSLATE(D24, ""bn"", ""en"")"),"the dance")</f>
        <v>the dance</v>
      </c>
      <c r="N24" s="5" t="str">
        <f>IFERROR(__xludf.DUMMYFUNCTION("GOOGLETRANSLATE(E24, ""bn"", ""en"")"),"the game")</f>
        <v>the game</v>
      </c>
      <c r="O24" s="5" t="str">
        <f>IFERROR(__xludf.DUMMYFUNCTION("GOOGLETRANSLATE(F24, ""bn"", ""en"")"),"Training")</f>
        <v>Training</v>
      </c>
      <c r="P24" s="5" t="str">
        <f>IFERROR(__xludf.DUMMYFUNCTION("GOOGLETRANSLATE(G24, ""bn"", ""en"")"),"Weapon handling skills")</f>
        <v>Weapon handling skills</v>
      </c>
      <c r="Q24" s="5" t="str">
        <f>IFERROR(__xludf.DUMMYFUNCTION("GOOGLETRANSLATE(H24, ""bn"", ""en"")"),"pic11")</f>
        <v>pic11</v>
      </c>
    </row>
    <row r="25">
      <c r="A25" s="3">
        <v>24.0</v>
      </c>
      <c r="B25" s="4" t="s">
        <v>683</v>
      </c>
      <c r="C25" s="4" t="s">
        <v>660</v>
      </c>
      <c r="D25" s="4" t="s">
        <v>647</v>
      </c>
      <c r="E25" s="4" t="s">
        <v>646</v>
      </c>
      <c r="F25" s="4" t="s">
        <v>648</v>
      </c>
      <c r="G25" s="4" t="s">
        <v>646</v>
      </c>
      <c r="H25" s="4" t="s">
        <v>120</v>
      </c>
      <c r="J25" s="5" t="str">
        <f>IFERROR(__xludf.DUMMYFUNCTION("GOOGLETRANSLATE(A25, ""bn"", ""en"")"),"24")</f>
        <v>24</v>
      </c>
      <c r="K25" s="5" t="str">
        <f>IFERROR(__xludf.DUMMYFUNCTION("GOOGLETRANSLATE(B25, ""bn"", ""en"")"),"What is the reaction of the audience behind?")</f>
        <v>What is the reaction of the audience behind?</v>
      </c>
      <c r="L25" s="5" t="str">
        <f>IFERROR(__xludf.DUMMYFUNCTION("GOOGLETRANSLATE(C25, ""bn"", ""en"")"),"Excitement")</f>
        <v>Excitement</v>
      </c>
      <c r="M25" s="5" t="str">
        <f>IFERROR(__xludf.DUMMYFUNCTION("GOOGLETRANSLATE(D25, ""bn"", ""en"")"),"Boredom")</f>
        <v>Boredom</v>
      </c>
      <c r="N25" s="5" t="str">
        <f>IFERROR(__xludf.DUMMYFUNCTION("GOOGLETRANSLATE(E25, ""bn"", ""en"")"),"the interest")</f>
        <v>the interest</v>
      </c>
      <c r="O25" s="5" t="str">
        <f>IFERROR(__xludf.DUMMYFUNCTION("GOOGLETRANSLATE(F25, ""bn"", ""en"")"),"Inactivity")</f>
        <v>Inactivity</v>
      </c>
      <c r="P25" s="5" t="str">
        <f>IFERROR(__xludf.DUMMYFUNCTION("GOOGLETRANSLATE(G25, ""bn"", ""en"")"),"the interest")</f>
        <v>the interest</v>
      </c>
      <c r="Q25" s="5" t="str">
        <f>IFERROR(__xludf.DUMMYFUNCTION("GOOGLETRANSLATE(H25, ""bn"", ""en"")"),"pic12")</f>
        <v>pic12</v>
      </c>
    </row>
    <row r="26">
      <c r="A26" s="3">
        <v>25.0</v>
      </c>
      <c r="B26" s="4" t="s">
        <v>684</v>
      </c>
      <c r="C26" s="4" t="s">
        <v>685</v>
      </c>
      <c r="D26" s="4" t="s">
        <v>611</v>
      </c>
      <c r="E26" s="4" t="s">
        <v>92</v>
      </c>
      <c r="F26" s="4" t="s">
        <v>111</v>
      </c>
      <c r="G26" s="4" t="s">
        <v>685</v>
      </c>
      <c r="H26" s="4" t="s">
        <v>120</v>
      </c>
      <c r="J26" s="5" t="str">
        <f>IFERROR(__xludf.DUMMYFUNCTION("GOOGLETRANSLATE(A26, ""bn"", ""en"")"),"25")</f>
        <v>25</v>
      </c>
      <c r="K26" s="5" t="str">
        <f>IFERROR(__xludf.DUMMYFUNCTION("GOOGLETRANSLATE(B26, ""bn"", ""en"")"),"What are the front participants doing?")</f>
        <v>What are the front participants doing?</v>
      </c>
      <c r="L26" s="5" t="str">
        <f>IFERROR(__xludf.DUMMYFUNCTION("GOOGLETRANSLATE(C26, ""bn"", ""en"")"),"Demonstrating battle tactics")</f>
        <v>Demonstrating battle tactics</v>
      </c>
      <c r="M26" s="5" t="str">
        <f>IFERROR(__xludf.DUMMYFUNCTION("GOOGLETRANSLATE(D26, ""bn"", ""en"")"),"Playing")</f>
        <v>Playing</v>
      </c>
      <c r="N26" s="5" t="str">
        <f>IFERROR(__xludf.DUMMYFUNCTION("GOOGLETRANSLATE(E26, ""bn"", ""en"")"),"dancing")</f>
        <v>dancing</v>
      </c>
      <c r="O26" s="5" t="str">
        <f>IFERROR(__xludf.DUMMYFUNCTION("GOOGLETRANSLATE(F26, ""bn"", ""en"")"),"Resting")</f>
        <v>Resting</v>
      </c>
      <c r="P26" s="5" t="str">
        <f>IFERROR(__xludf.DUMMYFUNCTION("GOOGLETRANSLATE(G26, ""bn"", ""en"")"),"Demonstrating battle tactics")</f>
        <v>Demonstrating battle tactics</v>
      </c>
      <c r="Q26" s="5" t="str">
        <f>IFERROR(__xludf.DUMMYFUNCTION("GOOGLETRANSLATE(H26, ""bn"", ""en"")"),"pic12")</f>
        <v>pic12</v>
      </c>
    </row>
    <row r="27">
      <c r="A27" s="3">
        <v>26.0</v>
      </c>
      <c r="B27" s="4" t="s">
        <v>683</v>
      </c>
      <c r="C27" s="4" t="s">
        <v>646</v>
      </c>
      <c r="D27" s="4" t="s">
        <v>647</v>
      </c>
      <c r="E27" s="4" t="s">
        <v>686</v>
      </c>
      <c r="F27" s="4" t="s">
        <v>619</v>
      </c>
      <c r="G27" s="4" t="s">
        <v>646</v>
      </c>
      <c r="H27" s="4" t="s">
        <v>131</v>
      </c>
      <c r="J27" s="5" t="str">
        <f>IFERROR(__xludf.DUMMYFUNCTION("GOOGLETRANSLATE(A27, ""bn"", ""en"")"),"26")</f>
        <v>26</v>
      </c>
      <c r="K27" s="5" t="str">
        <f>IFERROR(__xludf.DUMMYFUNCTION("GOOGLETRANSLATE(B27, ""bn"", ""en"")"),"What is the reaction of the audience behind?")</f>
        <v>What is the reaction of the audience behind?</v>
      </c>
      <c r="L27" s="5" t="str">
        <f>IFERROR(__xludf.DUMMYFUNCTION("GOOGLETRANSLATE(C27, ""bn"", ""en"")"),"the interest")</f>
        <v>the interest</v>
      </c>
      <c r="M27" s="5" t="str">
        <f>IFERROR(__xludf.DUMMYFUNCTION("GOOGLETRANSLATE(D27, ""bn"", ""en"")"),"Boredom")</f>
        <v>Boredom</v>
      </c>
      <c r="N27" s="5" t="str">
        <f>IFERROR(__xludf.DUMMYFUNCTION("GOOGLETRANSLATE(E27, ""bn"", ""en"")"),"Annoyance")</f>
        <v>Annoyance</v>
      </c>
      <c r="O27" s="5" t="str">
        <f>IFERROR(__xludf.DUMMYFUNCTION("GOOGLETRANSLATE(F27, ""bn"", ""en"")"),"singing")</f>
        <v>singing</v>
      </c>
      <c r="P27" s="5" t="str">
        <f>IFERROR(__xludf.DUMMYFUNCTION("GOOGLETRANSLATE(G27, ""bn"", ""en"")"),"the interest")</f>
        <v>the interest</v>
      </c>
      <c r="Q27" s="5" t="str">
        <f>IFERROR(__xludf.DUMMYFUNCTION("GOOGLETRANSLATE(H27, ""bn"", ""en"")"),"pic13")</f>
        <v>pic13</v>
      </c>
    </row>
    <row r="28">
      <c r="A28" s="3">
        <v>27.0</v>
      </c>
      <c r="B28" s="4" t="s">
        <v>687</v>
      </c>
      <c r="C28" s="4" t="s">
        <v>662</v>
      </c>
      <c r="D28" s="4" t="s">
        <v>129</v>
      </c>
      <c r="E28" s="4" t="s">
        <v>637</v>
      </c>
      <c r="F28" s="4" t="s">
        <v>128</v>
      </c>
      <c r="G28" s="4" t="s">
        <v>129</v>
      </c>
      <c r="H28" s="4" t="s">
        <v>131</v>
      </c>
      <c r="J28" s="5" t="str">
        <f>IFERROR(__xludf.DUMMYFUNCTION("GOOGLETRANSLATE(A28, ""bn"", ""en"")"),"27")</f>
        <v>27</v>
      </c>
      <c r="K28" s="5" t="str">
        <f>IFERROR(__xludf.DUMMYFUNCTION("GOOGLETRANSLATE(B28, ""bn"", ""en"")"),"Which technique is used for attack in stick game?")</f>
        <v>Which technique is used for attack in stick game?</v>
      </c>
      <c r="L28" s="5" t="str">
        <f>IFERROR(__xludf.DUMMYFUNCTION("GOOGLETRANSLATE(C28, ""bn"", ""en"")"),"Slip")</f>
        <v>Slip</v>
      </c>
      <c r="M28" s="5" t="str">
        <f>IFERROR(__xludf.DUMMYFUNCTION("GOOGLETRANSLATE(D28, ""bn"", ""en"")"),"injury")</f>
        <v>injury</v>
      </c>
      <c r="N28" s="5" t="str">
        <f>IFERROR(__xludf.DUMMYFUNCTION("GOOGLETRANSLATE(E28, ""bn"", ""en"")"),"Robbery")</f>
        <v>Robbery</v>
      </c>
      <c r="O28" s="5" t="str">
        <f>IFERROR(__xludf.DUMMYFUNCTION("GOOGLETRANSLATE(F28, ""bn"", ""en"")"),"caught")</f>
        <v>caught</v>
      </c>
      <c r="P28" s="5" t="str">
        <f>IFERROR(__xludf.DUMMYFUNCTION("GOOGLETRANSLATE(G28, ""bn"", ""en"")"),"injury")</f>
        <v>injury</v>
      </c>
      <c r="Q28" s="5" t="str">
        <f>IFERROR(__xludf.DUMMYFUNCTION("GOOGLETRANSLATE(H28, ""bn"", ""en"")"),"pic13")</f>
        <v>pic13</v>
      </c>
    </row>
    <row r="29">
      <c r="A29" s="3">
        <v>28.0</v>
      </c>
      <c r="B29" s="4" t="s">
        <v>688</v>
      </c>
      <c r="C29" s="4" t="s">
        <v>645</v>
      </c>
      <c r="D29" s="4" t="s">
        <v>689</v>
      </c>
      <c r="E29" s="4" t="s">
        <v>690</v>
      </c>
      <c r="F29" s="4" t="s">
        <v>691</v>
      </c>
      <c r="G29" s="4" t="s">
        <v>645</v>
      </c>
      <c r="H29" s="4" t="s">
        <v>141</v>
      </c>
      <c r="J29" s="5" t="str">
        <f>IFERROR(__xludf.DUMMYFUNCTION("GOOGLETRANSLATE(A29, ""bn"", ""en"")"),"28")</f>
        <v>28</v>
      </c>
      <c r="K29" s="5" t="str">
        <f>IFERROR(__xludf.DUMMYFUNCTION("GOOGLETRANSLATE(B29, ""bn"", ""en"")"),"What is the role of the audience in front?")</f>
        <v>What is the role of the audience in front?</v>
      </c>
      <c r="L29" s="5" t="str">
        <f>IFERROR(__xludf.DUMMYFUNCTION("GOOGLETRANSLATE(C29, ""bn"", ""en"")"),"Support")</f>
        <v>Support</v>
      </c>
      <c r="M29" s="5" t="str">
        <f>IFERROR(__xludf.DUMMYFUNCTION("GOOGLETRANSLATE(D29, ""bn"", ""en"")"),"observation")</f>
        <v>observation</v>
      </c>
      <c r="N29" s="5" t="str">
        <f>IFERROR(__xludf.DUMMYFUNCTION("GOOGLETRANSLATE(E29, ""bn"", ""en"")"),"taking pictures")</f>
        <v>taking pictures</v>
      </c>
      <c r="O29" s="5" t="str">
        <f>IFERROR(__xludf.DUMMYFUNCTION("GOOGLETRANSLATE(F29, ""bn"", ""en"")"),"singing")</f>
        <v>singing</v>
      </c>
      <c r="P29" s="5" t="str">
        <f>IFERROR(__xludf.DUMMYFUNCTION("GOOGLETRANSLATE(G29, ""bn"", ""en"")"),"Support")</f>
        <v>Support</v>
      </c>
      <c r="Q29" s="5" t="str">
        <f>IFERROR(__xludf.DUMMYFUNCTION("GOOGLETRANSLATE(H29, ""bn"", ""en"")"),"pic14")</f>
        <v>pic14</v>
      </c>
    </row>
    <row r="30">
      <c r="A30" s="3">
        <v>29.0</v>
      </c>
      <c r="B30" s="4" t="s">
        <v>692</v>
      </c>
      <c r="C30" s="4" t="s">
        <v>693</v>
      </c>
      <c r="D30" s="4" t="s">
        <v>694</v>
      </c>
      <c r="E30" s="4" t="s">
        <v>695</v>
      </c>
      <c r="F30" s="4" t="s">
        <v>696</v>
      </c>
      <c r="G30" s="4" t="s">
        <v>693</v>
      </c>
      <c r="H30" s="4" t="s">
        <v>141</v>
      </c>
      <c r="J30" s="5" t="str">
        <f>IFERROR(__xludf.DUMMYFUNCTION("GOOGLETRANSLATE(A30, ""bn"", ""en"")"),"29")</f>
        <v>29</v>
      </c>
      <c r="K30" s="5" t="str">
        <f>IFERROR(__xludf.DUMMYFUNCTION("GOOGLETRANSLATE(B30, ""bn"", ""en"")"),"Which element indicates culture?")</f>
        <v>Which element indicates culture?</v>
      </c>
      <c r="L30" s="5" t="str">
        <f>IFERROR(__xludf.DUMMYFUNCTION("GOOGLETRANSLATE(C30, ""bn"", ""en"")"),"Ornate structure")</f>
        <v>Ornate structure</v>
      </c>
      <c r="M30" s="5" t="str">
        <f>IFERROR(__xludf.DUMMYFUNCTION("GOOGLETRANSLATE(D30, ""bn"", ""en"")"),"the wall")</f>
        <v>the wall</v>
      </c>
      <c r="N30" s="5" t="str">
        <f>IFERROR(__xludf.DUMMYFUNCTION("GOOGLETRANSLATE(E30, ""bn"", ""en"")"),"the tree")</f>
        <v>the tree</v>
      </c>
      <c r="O30" s="5" t="str">
        <f>IFERROR(__xludf.DUMMYFUNCTION("GOOGLETRANSLATE(F30, ""bn"", ""en"")"),"the car")</f>
        <v>the car</v>
      </c>
      <c r="P30" s="5" t="str">
        <f>IFERROR(__xludf.DUMMYFUNCTION("GOOGLETRANSLATE(G30, ""bn"", ""en"")"),"Ornate structure")</f>
        <v>Ornate structure</v>
      </c>
      <c r="Q30" s="5" t="str">
        <f>IFERROR(__xludf.DUMMYFUNCTION("GOOGLETRANSLATE(H30, ""bn"", ""en"")"),"pic14")</f>
        <v>pic14</v>
      </c>
    </row>
    <row r="31">
      <c r="A31" s="3">
        <v>30.0</v>
      </c>
      <c r="B31" s="4" t="s">
        <v>654</v>
      </c>
      <c r="C31" s="4" t="s">
        <v>610</v>
      </c>
      <c r="D31" s="4" t="s">
        <v>611</v>
      </c>
      <c r="E31" s="4" t="s">
        <v>92</v>
      </c>
      <c r="F31" s="4" t="s">
        <v>619</v>
      </c>
      <c r="G31" s="4" t="s">
        <v>610</v>
      </c>
      <c r="H31" s="4" t="s">
        <v>608</v>
      </c>
      <c r="J31" s="5" t="str">
        <f>IFERROR(__xludf.DUMMYFUNCTION("GOOGLETRANSLATE(A31, ""bn"", ""en"")"),"30")</f>
        <v>30</v>
      </c>
      <c r="K31" s="5" t="str">
        <f>IFERROR(__xludf.DUMMYFUNCTION("GOOGLETRANSLATE(B31, ""bn"", ""en"")"),"What are the viewers doing in the back?")</f>
        <v>What are the viewers doing in the back?</v>
      </c>
      <c r="L31" s="5" t="str">
        <f>IFERROR(__xludf.DUMMYFUNCTION("GOOGLETRANSLATE(C31, ""bn"", ""en"")"),"observing")</f>
        <v>observing</v>
      </c>
      <c r="M31" s="5" t="str">
        <f>IFERROR(__xludf.DUMMYFUNCTION("GOOGLETRANSLATE(D31, ""bn"", ""en"")"),"Playing")</f>
        <v>Playing</v>
      </c>
      <c r="N31" s="5" t="str">
        <f>IFERROR(__xludf.DUMMYFUNCTION("GOOGLETRANSLATE(E31, ""bn"", ""en"")"),"dancing")</f>
        <v>dancing</v>
      </c>
      <c r="O31" s="5" t="str">
        <f>IFERROR(__xludf.DUMMYFUNCTION("GOOGLETRANSLATE(F31, ""bn"", ""en"")"),"singing")</f>
        <v>singing</v>
      </c>
      <c r="P31" s="5" t="str">
        <f>IFERROR(__xludf.DUMMYFUNCTION("GOOGLETRANSLATE(G31, ""bn"", ""en"")"),"observing")</f>
        <v>observing</v>
      </c>
      <c r="Q31" s="5" t="str">
        <f>IFERROR(__xludf.DUMMYFUNCTION("GOOGLETRANSLATE(H31, ""bn"", ""en"")"),"pic15")</f>
        <v>pic15</v>
      </c>
    </row>
    <row r="32">
      <c r="A32" s="3">
        <v>31.0</v>
      </c>
      <c r="B32" s="4" t="s">
        <v>684</v>
      </c>
      <c r="C32" s="4" t="s">
        <v>685</v>
      </c>
      <c r="D32" s="4" t="s">
        <v>92</v>
      </c>
      <c r="E32" s="4" t="s">
        <v>611</v>
      </c>
      <c r="F32" s="4" t="s">
        <v>111</v>
      </c>
      <c r="G32" s="4" t="s">
        <v>685</v>
      </c>
      <c r="H32" s="4" t="s">
        <v>608</v>
      </c>
      <c r="J32" s="5" t="str">
        <f>IFERROR(__xludf.DUMMYFUNCTION("GOOGLETRANSLATE(A32, ""bn"", ""en"")"),"31")</f>
        <v>31</v>
      </c>
      <c r="K32" s="5" t="str">
        <f>IFERROR(__xludf.DUMMYFUNCTION("GOOGLETRANSLATE(B32, ""bn"", ""en"")"),"What are the front participants doing?")</f>
        <v>What are the front participants doing?</v>
      </c>
      <c r="L32" s="5" t="str">
        <f>IFERROR(__xludf.DUMMYFUNCTION("GOOGLETRANSLATE(C32, ""bn"", ""en"")"),"Demonstrating battle tactics")</f>
        <v>Demonstrating battle tactics</v>
      </c>
      <c r="M32" s="5" t="str">
        <f>IFERROR(__xludf.DUMMYFUNCTION("GOOGLETRANSLATE(D32, ""bn"", ""en"")"),"dancing")</f>
        <v>dancing</v>
      </c>
      <c r="N32" s="5" t="str">
        <f>IFERROR(__xludf.DUMMYFUNCTION("GOOGLETRANSLATE(E32, ""bn"", ""en"")"),"Playing")</f>
        <v>Playing</v>
      </c>
      <c r="O32" s="5" t="str">
        <f>IFERROR(__xludf.DUMMYFUNCTION("GOOGLETRANSLATE(F32, ""bn"", ""en"")"),"Resting")</f>
        <v>Resting</v>
      </c>
      <c r="P32" s="5" t="str">
        <f>IFERROR(__xludf.DUMMYFUNCTION("GOOGLETRANSLATE(G32, ""bn"", ""en"")"),"Demonstrating battle tactics")</f>
        <v>Demonstrating battle tactics</v>
      </c>
      <c r="Q32" s="5" t="str">
        <f>IFERROR(__xludf.DUMMYFUNCTION("GOOGLETRANSLATE(H32, ""bn"", ""en"")"),"pic15")</f>
        <v>pic15</v>
      </c>
    </row>
    <row r="33">
      <c r="A33" s="3">
        <v>32.0</v>
      </c>
      <c r="B33" s="4" t="s">
        <v>697</v>
      </c>
      <c r="C33" s="4" t="s">
        <v>698</v>
      </c>
      <c r="D33" s="4" t="s">
        <v>125</v>
      </c>
      <c r="E33" s="4" t="s">
        <v>583</v>
      </c>
      <c r="F33" s="4" t="s">
        <v>640</v>
      </c>
      <c r="G33" s="4" t="s">
        <v>698</v>
      </c>
      <c r="H33" s="4" t="s">
        <v>149</v>
      </c>
      <c r="J33" s="5" t="str">
        <f>IFERROR(__xludf.DUMMYFUNCTION("GOOGLETRANSLATE(A33, ""bn"", ""en"")"),"32")</f>
        <v>32</v>
      </c>
      <c r="K33" s="5" t="str">
        <f>IFERROR(__xludf.DUMMYFUNCTION("GOOGLETRANSLATE(B33, ""bn"", ""en"")"),"What is the role of the back drummer?")</f>
        <v>What is the role of the back drummer?</v>
      </c>
      <c r="L33" s="5" t="str">
        <f>IFERROR(__xludf.DUMMYFUNCTION("GOOGLETRANSLATE(C33, ""bn"", ""en"")"),"Rhythm")</f>
        <v>Rhythm</v>
      </c>
      <c r="M33" s="5" t="str">
        <f>IFERROR(__xludf.DUMMYFUNCTION("GOOGLETRANSLATE(D33, ""bn"", ""en"")"),"trainer")</f>
        <v>trainer</v>
      </c>
      <c r="N33" s="5" t="str">
        <f>IFERROR(__xludf.DUMMYFUNCTION("GOOGLETRANSLATE(E33, ""bn"", ""en"")"),"the player")</f>
        <v>the player</v>
      </c>
      <c r="O33" s="5" t="str">
        <f>IFERROR(__xludf.DUMMYFUNCTION("GOOGLETRANSLATE(F33, ""bn"", ""en"")"),"the host")</f>
        <v>the host</v>
      </c>
      <c r="P33" s="5" t="str">
        <f>IFERROR(__xludf.DUMMYFUNCTION("GOOGLETRANSLATE(G33, ""bn"", ""en"")"),"Rhythm")</f>
        <v>Rhythm</v>
      </c>
      <c r="Q33" s="5" t="str">
        <f>IFERROR(__xludf.DUMMYFUNCTION("GOOGLETRANSLATE(H33, ""bn"", ""en"")"),"pic16")</f>
        <v>pic16</v>
      </c>
    </row>
    <row r="34">
      <c r="A34" s="3">
        <v>33.0</v>
      </c>
      <c r="B34" s="4" t="s">
        <v>699</v>
      </c>
      <c r="C34" s="4" t="s">
        <v>129</v>
      </c>
      <c r="D34" s="4" t="s">
        <v>128</v>
      </c>
      <c r="E34" s="4" t="s">
        <v>637</v>
      </c>
      <c r="F34" s="4" t="s">
        <v>638</v>
      </c>
      <c r="G34" s="4" t="s">
        <v>129</v>
      </c>
      <c r="H34" s="4" t="s">
        <v>149</v>
      </c>
      <c r="J34" s="5" t="str">
        <f>IFERROR(__xludf.DUMMYFUNCTION("GOOGLETRANSLATE(A34, ""bn"", ""en"")"),"33")</f>
        <v>33</v>
      </c>
      <c r="K34" s="5" t="str">
        <f>IFERROR(__xludf.DUMMYFUNCTION("GOOGLETRANSLATE(B34, ""bn"", ""en"")"),"What strategy are the front participants using?")</f>
        <v>What strategy are the front participants using?</v>
      </c>
      <c r="L34" s="5" t="str">
        <f>IFERROR(__xludf.DUMMYFUNCTION("GOOGLETRANSLATE(C34, ""bn"", ""en"")"),"injury")</f>
        <v>injury</v>
      </c>
      <c r="M34" s="5" t="str">
        <f>IFERROR(__xludf.DUMMYFUNCTION("GOOGLETRANSLATE(D34, ""bn"", ""en"")"),"caught")</f>
        <v>caught</v>
      </c>
      <c r="N34" s="5" t="str">
        <f>IFERROR(__xludf.DUMMYFUNCTION("GOOGLETRANSLATE(E34, ""bn"", ""en"")"),"Robbery")</f>
        <v>Robbery</v>
      </c>
      <c r="O34" s="5" t="str">
        <f>IFERROR(__xludf.DUMMYFUNCTION("GOOGLETRANSLATE(F34, ""bn"", ""en"")"),"Blocking")</f>
        <v>Blocking</v>
      </c>
      <c r="P34" s="5" t="str">
        <f>IFERROR(__xludf.DUMMYFUNCTION("GOOGLETRANSLATE(G34, ""bn"", ""en"")"),"injury")</f>
        <v>injury</v>
      </c>
      <c r="Q34" s="5" t="str">
        <f>IFERROR(__xludf.DUMMYFUNCTION("GOOGLETRANSLATE(H34, ""bn"", ""en"")"),"pic16")</f>
        <v>pic16</v>
      </c>
    </row>
    <row r="35">
      <c r="A35" s="3">
        <v>34.0</v>
      </c>
      <c r="B35" s="4" t="s">
        <v>654</v>
      </c>
      <c r="C35" s="4" t="s">
        <v>610</v>
      </c>
      <c r="D35" s="4" t="s">
        <v>618</v>
      </c>
      <c r="E35" s="4" t="s">
        <v>92</v>
      </c>
      <c r="F35" s="4" t="s">
        <v>619</v>
      </c>
      <c r="G35" s="4" t="s">
        <v>610</v>
      </c>
      <c r="H35" s="4" t="s">
        <v>158</v>
      </c>
      <c r="J35" s="5" t="str">
        <f>IFERROR(__xludf.DUMMYFUNCTION("GOOGLETRANSLATE(A35, ""bn"", ""en"")"),"34")</f>
        <v>34</v>
      </c>
      <c r="K35" s="5" t="str">
        <f>IFERROR(__xludf.DUMMYFUNCTION("GOOGLETRANSLATE(B35, ""bn"", ""en"")"),"What are the viewers doing in the back?")</f>
        <v>What are the viewers doing in the back?</v>
      </c>
      <c r="L35" s="5" t="str">
        <f>IFERROR(__xludf.DUMMYFUNCTION("GOOGLETRANSLATE(C35, ""bn"", ""en"")"),"observing")</f>
        <v>observing</v>
      </c>
      <c r="M35" s="5" t="str">
        <f>IFERROR(__xludf.DUMMYFUNCTION("GOOGLETRANSLATE(D35, ""bn"", ""en"")"),"Taking pictures")</f>
        <v>Taking pictures</v>
      </c>
      <c r="N35" s="5" t="str">
        <f>IFERROR(__xludf.DUMMYFUNCTION("GOOGLETRANSLATE(E35, ""bn"", ""en"")"),"dancing")</f>
        <v>dancing</v>
      </c>
      <c r="O35" s="5" t="str">
        <f>IFERROR(__xludf.DUMMYFUNCTION("GOOGLETRANSLATE(F35, ""bn"", ""en"")"),"singing")</f>
        <v>singing</v>
      </c>
      <c r="P35" s="5" t="str">
        <f>IFERROR(__xludf.DUMMYFUNCTION("GOOGLETRANSLATE(G35, ""bn"", ""en"")"),"observing")</f>
        <v>observing</v>
      </c>
      <c r="Q35" s="5" t="str">
        <f>IFERROR(__xludf.DUMMYFUNCTION("GOOGLETRANSLATE(H35, ""bn"", ""en"")"),"pic17")</f>
        <v>pic17</v>
      </c>
    </row>
    <row r="36">
      <c r="A36" s="3">
        <v>35.0</v>
      </c>
      <c r="B36" s="4" t="s">
        <v>700</v>
      </c>
      <c r="C36" s="4" t="s">
        <v>701</v>
      </c>
      <c r="D36" s="4" t="s">
        <v>702</v>
      </c>
      <c r="E36" s="4" t="s">
        <v>703</v>
      </c>
      <c r="F36" s="4" t="s">
        <v>704</v>
      </c>
      <c r="G36" s="4" t="s">
        <v>701</v>
      </c>
      <c r="H36" s="4" t="s">
        <v>158</v>
      </c>
      <c r="J36" s="5" t="str">
        <f>IFERROR(__xludf.DUMMYFUNCTION("GOOGLETRANSLATE(A36, ""bn"", ""en"")"),"35")</f>
        <v>35</v>
      </c>
      <c r="K36" s="5" t="str">
        <f>IFERROR(__xludf.DUMMYFUNCTION("GOOGLETRANSLATE(B36, ""bn"", ""en"")"),"What does the combat aspect of the stick game highlight?")</f>
        <v>What does the combat aspect of the stick game highlight?</v>
      </c>
      <c r="L36" s="5" t="str">
        <f>IFERROR(__xludf.DUMMYFUNCTION("GOOGLETRANSLATE(C36, ""bn"", ""en"")"),"Stick")</f>
        <v>Stick</v>
      </c>
      <c r="M36" s="5" t="str">
        <f>IFERROR(__xludf.DUMMYFUNCTION("GOOGLETRANSLATE(D36, ""bn"", ""en"")"),"Shield")</f>
        <v>Shield</v>
      </c>
      <c r="N36" s="5" t="str">
        <f>IFERROR(__xludf.DUMMYFUNCTION("GOOGLETRANSLATE(E36, ""bn"", ""en"")"),"the sword")</f>
        <v>the sword</v>
      </c>
      <c r="O36" s="5" t="str">
        <f>IFERROR(__xludf.DUMMYFUNCTION("GOOGLETRANSLATE(F36, ""bn"", ""en"")"),"Horse")</f>
        <v>Horse</v>
      </c>
      <c r="P36" s="5" t="str">
        <f>IFERROR(__xludf.DUMMYFUNCTION("GOOGLETRANSLATE(G36, ""bn"", ""en"")"),"Stick")</f>
        <v>Stick</v>
      </c>
      <c r="Q36" s="5" t="str">
        <f>IFERROR(__xludf.DUMMYFUNCTION("GOOGLETRANSLATE(H36, ""bn"", ""en"")"),"pic17")</f>
        <v>pic17</v>
      </c>
    </row>
    <row r="37">
      <c r="A37" s="3">
        <v>36.0</v>
      </c>
      <c r="B37" s="4" t="s">
        <v>705</v>
      </c>
      <c r="C37" s="4" t="s">
        <v>706</v>
      </c>
      <c r="D37" s="4" t="s">
        <v>707</v>
      </c>
      <c r="E37" s="4" t="s">
        <v>92</v>
      </c>
      <c r="F37" s="4" t="s">
        <v>708</v>
      </c>
      <c r="G37" s="4" t="s">
        <v>706</v>
      </c>
      <c r="H37" s="4" t="s">
        <v>166</v>
      </c>
      <c r="J37" s="5" t="str">
        <f>IFERROR(__xludf.DUMMYFUNCTION("GOOGLETRANSLATE(A37, ""bn"", ""en"")"),"36")</f>
        <v>36</v>
      </c>
      <c r="K37" s="5" t="str">
        <f>IFERROR(__xludf.DUMMYFUNCTION("GOOGLETRANSLATE(B37, ""bn"", ""en"")"),"What is the front presenter doing?")</f>
        <v>What is the front presenter doing?</v>
      </c>
      <c r="L37" s="5" t="str">
        <f>IFERROR(__xludf.DUMMYFUNCTION("GOOGLETRANSLATE(C37, ""bn"", ""en"")"),"Managing the display")</f>
        <v>Managing the display</v>
      </c>
      <c r="M37" s="5" t="str">
        <f>IFERROR(__xludf.DUMMYFUNCTION("GOOGLETRANSLATE(D37, ""bn"", ""en"")"),"Hitting with a stick")</f>
        <v>Hitting with a stick</v>
      </c>
      <c r="N37" s="5" t="str">
        <f>IFERROR(__xludf.DUMMYFUNCTION("GOOGLETRANSLATE(E37, ""bn"", ""en"")"),"dancing")</f>
        <v>dancing</v>
      </c>
      <c r="O37" s="5" t="str">
        <f>IFERROR(__xludf.DUMMYFUNCTION("GOOGLETRANSLATE(F37, ""bn"", ""en"")"),"Playing drums")</f>
        <v>Playing drums</v>
      </c>
      <c r="P37" s="5" t="str">
        <f>IFERROR(__xludf.DUMMYFUNCTION("GOOGLETRANSLATE(G37, ""bn"", ""en"")"),"Managing the display")</f>
        <v>Managing the display</v>
      </c>
      <c r="Q37" s="5" t="str">
        <f>IFERROR(__xludf.DUMMYFUNCTION("GOOGLETRANSLATE(H37, ""bn"", ""en"")"),"pic18")</f>
        <v>pic18</v>
      </c>
    </row>
    <row r="38">
      <c r="A38" s="3">
        <v>37.0</v>
      </c>
      <c r="B38" s="4" t="s">
        <v>709</v>
      </c>
      <c r="C38" s="4" t="s">
        <v>638</v>
      </c>
      <c r="D38" s="4" t="s">
        <v>128</v>
      </c>
      <c r="E38" s="4" t="s">
        <v>637</v>
      </c>
      <c r="F38" s="4" t="s">
        <v>129</v>
      </c>
      <c r="G38" s="4" t="s">
        <v>638</v>
      </c>
      <c r="H38" s="4" t="s">
        <v>166</v>
      </c>
      <c r="J38" s="5" t="str">
        <f>IFERROR(__xludf.DUMMYFUNCTION("GOOGLETRANSLATE(A38, ""bn"", ""en"")"),"37")</f>
        <v>37</v>
      </c>
      <c r="K38" s="5" t="str">
        <f>IFERROR(__xludf.DUMMYFUNCTION("GOOGLETRANSLATE(B38, ""bn"", ""en"")"),"What techniques are used for self-defense?")</f>
        <v>What techniques are used for self-defense?</v>
      </c>
      <c r="L38" s="5" t="str">
        <f>IFERROR(__xludf.DUMMYFUNCTION("GOOGLETRANSLATE(C38, ""bn"", ""en"")"),"Blocking")</f>
        <v>Blocking</v>
      </c>
      <c r="M38" s="5" t="str">
        <f>IFERROR(__xludf.DUMMYFUNCTION("GOOGLETRANSLATE(D38, ""bn"", ""en"")"),"caught")</f>
        <v>caught</v>
      </c>
      <c r="N38" s="5" t="str">
        <f>IFERROR(__xludf.DUMMYFUNCTION("GOOGLETRANSLATE(E38, ""bn"", ""en"")"),"Robbery")</f>
        <v>Robbery</v>
      </c>
      <c r="O38" s="5" t="str">
        <f>IFERROR(__xludf.DUMMYFUNCTION("GOOGLETRANSLATE(F38, ""bn"", ""en"")"),"injury")</f>
        <v>injury</v>
      </c>
      <c r="P38" s="5" t="str">
        <f>IFERROR(__xludf.DUMMYFUNCTION("GOOGLETRANSLATE(G38, ""bn"", ""en"")"),"Blocking")</f>
        <v>Blocking</v>
      </c>
      <c r="Q38" s="5" t="str">
        <f>IFERROR(__xludf.DUMMYFUNCTION("GOOGLETRANSLATE(H38, ""bn"", ""en"")"),"pic18")</f>
        <v>pic18</v>
      </c>
    </row>
    <row r="39">
      <c r="A39" s="3">
        <v>38.0</v>
      </c>
      <c r="B39" s="4" t="s">
        <v>710</v>
      </c>
      <c r="C39" s="4" t="s">
        <v>711</v>
      </c>
      <c r="D39" s="4" t="s">
        <v>666</v>
      </c>
      <c r="E39" s="4" t="s">
        <v>581</v>
      </c>
      <c r="F39" s="4" t="s">
        <v>712</v>
      </c>
      <c r="G39" s="4" t="s">
        <v>711</v>
      </c>
      <c r="H39" s="4" t="s">
        <v>174</v>
      </c>
      <c r="J39" s="5" t="str">
        <f>IFERROR(__xludf.DUMMYFUNCTION("GOOGLETRANSLATE(A39, ""bn"", ""en"")"),"38")</f>
        <v>38</v>
      </c>
      <c r="K39" s="5" t="str">
        <f>IFERROR(__xludf.DUMMYFUNCTION("GOOGLETRANSLATE(B39, ""bn"", ""en"")"),"What is the role of the front participants?")</f>
        <v>What is the role of the front participants?</v>
      </c>
      <c r="L39" s="5" t="str">
        <f>IFERROR(__xludf.DUMMYFUNCTION("GOOGLETRANSLATE(C39, ""bn"", ""en"")"),"Participation in exhibitions")</f>
        <v>Participation in exhibitions</v>
      </c>
      <c r="M39" s="5" t="str">
        <f>IFERROR(__xludf.DUMMYFUNCTION("GOOGLETRANSLATE(D39, ""bn"", ""en"")"),"Event organization")</f>
        <v>Event organization</v>
      </c>
      <c r="N39" s="5" t="str">
        <f>IFERROR(__xludf.DUMMYFUNCTION("GOOGLETRANSLATE(E39, ""bn"", ""en"")"),"Viewer")</f>
        <v>Viewer</v>
      </c>
      <c r="O39" s="5" t="str">
        <f>IFERROR(__xludf.DUMMYFUNCTION("GOOGLETRANSLATE(F39, ""bn"", ""en"")"),"Training of newbies")</f>
        <v>Training of newbies</v>
      </c>
      <c r="P39" s="5" t="str">
        <f>IFERROR(__xludf.DUMMYFUNCTION("GOOGLETRANSLATE(G39, ""bn"", ""en"")"),"Participation in exhibitions")</f>
        <v>Participation in exhibitions</v>
      </c>
      <c r="Q39" s="5" t="str">
        <f>IFERROR(__xludf.DUMMYFUNCTION("GOOGLETRANSLATE(H39, ""bn"", ""en"")"),"pic19")</f>
        <v>pic19</v>
      </c>
    </row>
    <row r="40">
      <c r="A40" s="3">
        <v>39.0</v>
      </c>
      <c r="B40" s="4" t="s">
        <v>679</v>
      </c>
      <c r="C40" s="4" t="s">
        <v>713</v>
      </c>
      <c r="D40" s="4" t="s">
        <v>623</v>
      </c>
      <c r="E40" s="4" t="s">
        <v>182</v>
      </c>
      <c r="F40" s="4" t="s">
        <v>714</v>
      </c>
      <c r="G40" s="4" t="s">
        <v>713</v>
      </c>
      <c r="H40" s="4" t="s">
        <v>174</v>
      </c>
      <c r="J40" s="5" t="str">
        <f>IFERROR(__xludf.DUMMYFUNCTION("GOOGLETRANSLATE(A40, ""bn"", ""en"")"),"39")</f>
        <v>39</v>
      </c>
      <c r="K40" s="5" t="str">
        <f>IFERROR(__xludf.DUMMYFUNCTION("GOOGLETRANSLATE(B40, ""bn"", ""en"")"),"What is shown in the forward plan?")</f>
        <v>What is shown in the forward plan?</v>
      </c>
      <c r="L40" s="5" t="str">
        <f>IFERROR(__xludf.DUMMYFUNCTION("GOOGLETRANSLATE(C40, ""bn"", ""en"")"),"Weapon skills")</f>
        <v>Weapon skills</v>
      </c>
      <c r="M40" s="5" t="str">
        <f>IFERROR(__xludf.DUMMYFUNCTION("GOOGLETRANSLATE(D40, ""bn"", ""en"")"),"the dance")</f>
        <v>the dance</v>
      </c>
      <c r="N40" s="5" t="str">
        <f>IFERROR(__xludf.DUMMYFUNCTION("GOOGLETRANSLATE(E40, ""bn"", ""en"")"),"the game")</f>
        <v>the game</v>
      </c>
      <c r="O40" s="5" t="str">
        <f>IFERROR(__xludf.DUMMYFUNCTION("GOOGLETRANSLATE(F40, ""bn"", ""en"")"),"rest")</f>
        <v>rest</v>
      </c>
      <c r="P40" s="5" t="str">
        <f>IFERROR(__xludf.DUMMYFUNCTION("GOOGLETRANSLATE(G40, ""bn"", ""en"")"),"Weapon skills")</f>
        <v>Weapon skills</v>
      </c>
      <c r="Q40" s="5" t="str">
        <f>IFERROR(__xludf.DUMMYFUNCTION("GOOGLETRANSLATE(H40, ""bn"", ""en"")"),"pic19")</f>
        <v>pic19</v>
      </c>
    </row>
    <row r="41">
      <c r="A41" s="3">
        <v>40.0</v>
      </c>
      <c r="B41" s="4" t="s">
        <v>683</v>
      </c>
      <c r="C41" s="4" t="s">
        <v>660</v>
      </c>
      <c r="D41" s="4" t="s">
        <v>647</v>
      </c>
      <c r="E41" s="4" t="s">
        <v>715</v>
      </c>
      <c r="F41" s="4" t="s">
        <v>715</v>
      </c>
      <c r="G41" s="4" t="s">
        <v>660</v>
      </c>
      <c r="H41" s="4" t="s">
        <v>175</v>
      </c>
      <c r="J41" s="5" t="str">
        <f>IFERROR(__xludf.DUMMYFUNCTION("GOOGLETRANSLATE(A41, ""bn"", ""en"")"),"40")</f>
        <v>40</v>
      </c>
      <c r="K41" s="5" t="str">
        <f>IFERROR(__xludf.DUMMYFUNCTION("GOOGLETRANSLATE(B41, ""bn"", ""en"")"),"What is the reaction of the audience behind?")</f>
        <v>What is the reaction of the audience behind?</v>
      </c>
      <c r="L41" s="5" t="str">
        <f>IFERROR(__xludf.DUMMYFUNCTION("GOOGLETRANSLATE(C41, ""bn"", ""en"")"),"Excitement")</f>
        <v>Excitement</v>
      </c>
      <c r="M41" s="5" t="str">
        <f>IFERROR(__xludf.DUMMYFUNCTION("GOOGLETRANSLATE(D41, ""bn"", ""en"")"),"Boredom")</f>
        <v>Boredom</v>
      </c>
      <c r="N41" s="5" t="str">
        <f>IFERROR(__xludf.DUMMYFUNCTION("GOOGLETRANSLATE(E41, ""bn"", ""en"")"),"Sympathy")</f>
        <v>Sympathy</v>
      </c>
      <c r="O41" s="5" t="str">
        <f>IFERROR(__xludf.DUMMYFUNCTION("GOOGLETRANSLATE(F41, ""bn"", ""en"")"),"Sympathy")</f>
        <v>Sympathy</v>
      </c>
      <c r="P41" s="5" t="str">
        <f>IFERROR(__xludf.DUMMYFUNCTION("GOOGLETRANSLATE(G41, ""bn"", ""en"")"),"Excitement")</f>
        <v>Excitement</v>
      </c>
      <c r="Q41" s="5" t="str">
        <f>IFERROR(__xludf.DUMMYFUNCTION("GOOGLETRANSLATE(H41, ""bn"", ""en"")"),"pic20")</f>
        <v>pic20</v>
      </c>
    </row>
    <row r="42">
      <c r="A42" s="3">
        <v>41.0</v>
      </c>
      <c r="B42" s="4" t="s">
        <v>716</v>
      </c>
      <c r="C42" s="4" t="s">
        <v>717</v>
      </c>
      <c r="D42" s="4" t="s">
        <v>702</v>
      </c>
      <c r="E42" s="4" t="s">
        <v>718</v>
      </c>
      <c r="F42" s="4" t="s">
        <v>703</v>
      </c>
      <c r="G42" s="4" t="s">
        <v>717</v>
      </c>
      <c r="H42" s="4" t="s">
        <v>175</v>
      </c>
      <c r="J42" s="5" t="str">
        <f>IFERROR(__xludf.DUMMYFUNCTION("GOOGLETRANSLATE(A42, ""bn"", ""en"")"),"41")</f>
        <v>41</v>
      </c>
      <c r="K42" s="5" t="str">
        <f>IFERROR(__xludf.DUMMYFUNCTION("GOOGLETRANSLATE(B42, ""bn"", ""en"")"),"What element highlights the combat aspect in stick play?")</f>
        <v>What element highlights the combat aspect in stick play?</v>
      </c>
      <c r="L42" s="5" t="str">
        <f>IFERROR(__xludf.DUMMYFUNCTION("GOOGLETRANSLATE(C42, ""bn"", ""en"")"),"weapons")</f>
        <v>weapons</v>
      </c>
      <c r="M42" s="5" t="str">
        <f>IFERROR(__xludf.DUMMYFUNCTION("GOOGLETRANSLATE(D42, ""bn"", ""en"")"),"Shield")</f>
        <v>Shield</v>
      </c>
      <c r="N42" s="5" t="str">
        <f>IFERROR(__xludf.DUMMYFUNCTION("GOOGLETRANSLATE(E42, ""bn"", ""en"")"),"helmet")</f>
        <v>helmet</v>
      </c>
      <c r="O42" s="5" t="str">
        <f>IFERROR(__xludf.DUMMYFUNCTION("GOOGLETRANSLATE(F42, ""bn"", ""en"")"),"the sword")</f>
        <v>the sword</v>
      </c>
      <c r="P42" s="5" t="str">
        <f>IFERROR(__xludf.DUMMYFUNCTION("GOOGLETRANSLATE(G42, ""bn"", ""en"")"),"weapons")</f>
        <v>weapons</v>
      </c>
      <c r="Q42" s="5" t="str">
        <f>IFERROR(__xludf.DUMMYFUNCTION("GOOGLETRANSLATE(H42, ""bn"", ""en"")"),"pic20")</f>
        <v>pic20</v>
      </c>
    </row>
    <row r="43">
      <c r="A43" s="3">
        <v>42.0</v>
      </c>
      <c r="B43" s="4" t="s">
        <v>684</v>
      </c>
      <c r="C43" s="4" t="s">
        <v>685</v>
      </c>
      <c r="D43" s="4" t="s">
        <v>719</v>
      </c>
      <c r="E43" s="4" t="s">
        <v>92</v>
      </c>
      <c r="F43" s="4" t="s">
        <v>619</v>
      </c>
      <c r="G43" s="4" t="s">
        <v>685</v>
      </c>
      <c r="H43" s="4" t="s">
        <v>631</v>
      </c>
      <c r="J43" s="5" t="str">
        <f>IFERROR(__xludf.DUMMYFUNCTION("GOOGLETRANSLATE(A43, ""bn"", ""en"")"),"42")</f>
        <v>42</v>
      </c>
      <c r="K43" s="5" t="str">
        <f>IFERROR(__xludf.DUMMYFUNCTION("GOOGLETRANSLATE(B43, ""bn"", ""en"")"),"What are the front participants doing?")</f>
        <v>What are the front participants doing?</v>
      </c>
      <c r="L43" s="5" t="str">
        <f>IFERROR(__xludf.DUMMYFUNCTION("GOOGLETRANSLATE(C43, ""bn"", ""en"")"),"Demonstrating battle tactics")</f>
        <v>Demonstrating battle tactics</v>
      </c>
      <c r="M43" s="5" t="str">
        <f>IFERROR(__xludf.DUMMYFUNCTION("GOOGLETRANSLATE(D43, ""bn"", ""en"")"),"is training")</f>
        <v>is training</v>
      </c>
      <c r="N43" s="5" t="str">
        <f>IFERROR(__xludf.DUMMYFUNCTION("GOOGLETRANSLATE(E43, ""bn"", ""en"")"),"dancing")</f>
        <v>dancing</v>
      </c>
      <c r="O43" s="5" t="str">
        <f>IFERROR(__xludf.DUMMYFUNCTION("GOOGLETRANSLATE(F43, ""bn"", ""en"")"),"singing")</f>
        <v>singing</v>
      </c>
      <c r="P43" s="5" t="str">
        <f>IFERROR(__xludf.DUMMYFUNCTION("GOOGLETRANSLATE(G43, ""bn"", ""en"")"),"Demonstrating battle tactics")</f>
        <v>Demonstrating battle tactics</v>
      </c>
      <c r="Q43" s="5" t="str">
        <f>IFERROR(__xludf.DUMMYFUNCTION("GOOGLETRANSLATE(H43, ""bn"", ""en"")"),"pic21")</f>
        <v>pic21</v>
      </c>
    </row>
    <row r="44">
      <c r="A44" s="3">
        <v>43.0</v>
      </c>
      <c r="B44" s="4" t="s">
        <v>675</v>
      </c>
      <c r="C44" s="4" t="s">
        <v>685</v>
      </c>
      <c r="D44" s="4" t="s">
        <v>623</v>
      </c>
      <c r="E44" s="4" t="s">
        <v>182</v>
      </c>
      <c r="F44" s="4" t="s">
        <v>714</v>
      </c>
      <c r="G44" s="4" t="s">
        <v>685</v>
      </c>
      <c r="H44" s="4" t="s">
        <v>178</v>
      </c>
      <c r="J44" s="5" t="str">
        <f>IFERROR(__xludf.DUMMYFUNCTION("GOOGLETRANSLATE(A44, ""bn"", ""en"")"),"43")</f>
        <v>43</v>
      </c>
      <c r="K44" s="5" t="str">
        <f>IFERROR(__xludf.DUMMYFUNCTION("GOOGLETRANSLATE(B44, ""bn"", ""en"")"),"What work is being planned in the future?")</f>
        <v>What work is being planned in the future?</v>
      </c>
      <c r="L44" s="5" t="str">
        <f>IFERROR(__xludf.DUMMYFUNCTION("GOOGLETRANSLATE(C44, ""bn"", ""en"")"),"Demonstrating battle tactics")</f>
        <v>Demonstrating battle tactics</v>
      </c>
      <c r="M44" s="5" t="str">
        <f>IFERROR(__xludf.DUMMYFUNCTION("GOOGLETRANSLATE(D44, ""bn"", ""en"")"),"the dance")</f>
        <v>the dance</v>
      </c>
      <c r="N44" s="5" t="str">
        <f>IFERROR(__xludf.DUMMYFUNCTION("GOOGLETRANSLATE(E44, ""bn"", ""en"")"),"the game")</f>
        <v>the game</v>
      </c>
      <c r="O44" s="5" t="str">
        <f>IFERROR(__xludf.DUMMYFUNCTION("GOOGLETRANSLATE(F44, ""bn"", ""en"")"),"rest")</f>
        <v>rest</v>
      </c>
      <c r="P44" s="5" t="str">
        <f>IFERROR(__xludf.DUMMYFUNCTION("GOOGLETRANSLATE(G44, ""bn"", ""en"")"),"Demonstrating battle tactics")</f>
        <v>Demonstrating battle tactics</v>
      </c>
      <c r="Q44" s="5" t="str">
        <f>IFERROR(__xludf.DUMMYFUNCTION("GOOGLETRANSLATE(H44, ""bn"", ""en"")"),"pic22")</f>
        <v>pic22</v>
      </c>
    </row>
    <row r="45">
      <c r="A45" s="3">
        <v>44.0</v>
      </c>
      <c r="B45" s="4" t="s">
        <v>654</v>
      </c>
      <c r="C45" s="4" t="s">
        <v>610</v>
      </c>
      <c r="D45" s="4" t="s">
        <v>611</v>
      </c>
      <c r="E45" s="4" t="s">
        <v>92</v>
      </c>
      <c r="F45" s="4" t="s">
        <v>619</v>
      </c>
      <c r="G45" s="4" t="s">
        <v>610</v>
      </c>
      <c r="H45" s="4" t="s">
        <v>178</v>
      </c>
      <c r="J45" s="5" t="str">
        <f>IFERROR(__xludf.DUMMYFUNCTION("GOOGLETRANSLATE(A45, ""bn"", ""en"")"),"44")</f>
        <v>44</v>
      </c>
      <c r="K45" s="5" t="str">
        <f>IFERROR(__xludf.DUMMYFUNCTION("GOOGLETRANSLATE(B45, ""bn"", ""en"")"),"What are the viewers doing in the back?")</f>
        <v>What are the viewers doing in the back?</v>
      </c>
      <c r="L45" s="5" t="str">
        <f>IFERROR(__xludf.DUMMYFUNCTION("GOOGLETRANSLATE(C45, ""bn"", ""en"")"),"observing")</f>
        <v>observing</v>
      </c>
      <c r="M45" s="5" t="str">
        <f>IFERROR(__xludf.DUMMYFUNCTION("GOOGLETRANSLATE(D45, ""bn"", ""en"")"),"Playing")</f>
        <v>Playing</v>
      </c>
      <c r="N45" s="5" t="str">
        <f>IFERROR(__xludf.DUMMYFUNCTION("GOOGLETRANSLATE(E45, ""bn"", ""en"")"),"dancing")</f>
        <v>dancing</v>
      </c>
      <c r="O45" s="5" t="str">
        <f>IFERROR(__xludf.DUMMYFUNCTION("GOOGLETRANSLATE(F45, ""bn"", ""en"")"),"singing")</f>
        <v>singing</v>
      </c>
      <c r="P45" s="5" t="str">
        <f>IFERROR(__xludf.DUMMYFUNCTION("GOOGLETRANSLATE(G45, ""bn"", ""en"")"),"observing")</f>
        <v>observing</v>
      </c>
      <c r="Q45" s="5" t="str">
        <f>IFERROR(__xludf.DUMMYFUNCTION("GOOGLETRANSLATE(H45, ""bn"", ""en"")"),"pic22")</f>
        <v>pic22</v>
      </c>
    </row>
    <row r="46">
      <c r="A46" s="3">
        <v>45.0</v>
      </c>
      <c r="B46" s="4" t="s">
        <v>661</v>
      </c>
      <c r="C46" s="4" t="s">
        <v>129</v>
      </c>
      <c r="D46" s="4" t="s">
        <v>128</v>
      </c>
      <c r="E46" s="4" t="s">
        <v>637</v>
      </c>
      <c r="F46" s="4" t="s">
        <v>638</v>
      </c>
      <c r="G46" s="4" t="s">
        <v>129</v>
      </c>
      <c r="H46" s="4" t="s">
        <v>184</v>
      </c>
      <c r="J46" s="5" t="str">
        <f>IFERROR(__xludf.DUMMYFUNCTION("GOOGLETRANSLATE(A46, ""bn"", ""en"")"),"45")</f>
        <v>45</v>
      </c>
      <c r="K46" s="5" t="str">
        <f>IFERROR(__xludf.DUMMYFUNCTION("GOOGLETRANSLATE(B46, ""bn"", ""en"")"),"What strategy is used for the attack?")</f>
        <v>What strategy is used for the attack?</v>
      </c>
      <c r="L46" s="5" t="str">
        <f>IFERROR(__xludf.DUMMYFUNCTION("GOOGLETRANSLATE(C46, ""bn"", ""en"")"),"injury")</f>
        <v>injury</v>
      </c>
      <c r="M46" s="5" t="str">
        <f>IFERROR(__xludf.DUMMYFUNCTION("GOOGLETRANSLATE(D46, ""bn"", ""en"")"),"caught")</f>
        <v>caught</v>
      </c>
      <c r="N46" s="5" t="str">
        <f>IFERROR(__xludf.DUMMYFUNCTION("GOOGLETRANSLATE(E46, ""bn"", ""en"")"),"Robbery")</f>
        <v>Robbery</v>
      </c>
      <c r="O46" s="5" t="str">
        <f>IFERROR(__xludf.DUMMYFUNCTION("GOOGLETRANSLATE(F46, ""bn"", ""en"")"),"Blocking")</f>
        <v>Blocking</v>
      </c>
      <c r="P46" s="5" t="str">
        <f>IFERROR(__xludf.DUMMYFUNCTION("GOOGLETRANSLATE(G46, ""bn"", ""en"")"),"injury")</f>
        <v>injury</v>
      </c>
      <c r="Q46" s="5" t="str">
        <f>IFERROR(__xludf.DUMMYFUNCTION("GOOGLETRANSLATE(H46, ""bn"", ""en"")"),"pic23")</f>
        <v>pic23</v>
      </c>
    </row>
    <row r="47">
      <c r="A47" s="3">
        <v>46.0</v>
      </c>
      <c r="B47" s="4" t="s">
        <v>720</v>
      </c>
      <c r="C47" s="4" t="s">
        <v>645</v>
      </c>
      <c r="D47" s="4" t="s">
        <v>689</v>
      </c>
      <c r="E47" s="4" t="s">
        <v>690</v>
      </c>
      <c r="F47" s="4" t="s">
        <v>648</v>
      </c>
      <c r="G47" s="4" t="s">
        <v>645</v>
      </c>
      <c r="H47" s="4" t="s">
        <v>184</v>
      </c>
      <c r="J47" s="5" t="str">
        <f>IFERROR(__xludf.DUMMYFUNCTION("GOOGLETRANSLATE(A47, ""bn"", ""en"")"),"46")</f>
        <v>46</v>
      </c>
      <c r="K47" s="5" t="str">
        <f>IFERROR(__xludf.DUMMYFUNCTION("GOOGLETRANSLATE(B47, ""bn"", ""en"")"),"What is the role of the audience behind?")</f>
        <v>What is the role of the audience behind?</v>
      </c>
      <c r="L47" s="5" t="str">
        <f>IFERROR(__xludf.DUMMYFUNCTION("GOOGLETRANSLATE(C47, ""bn"", ""en"")"),"Support")</f>
        <v>Support</v>
      </c>
      <c r="M47" s="5" t="str">
        <f>IFERROR(__xludf.DUMMYFUNCTION("GOOGLETRANSLATE(D47, ""bn"", ""en"")"),"observation")</f>
        <v>observation</v>
      </c>
      <c r="N47" s="5" t="str">
        <f>IFERROR(__xludf.DUMMYFUNCTION("GOOGLETRANSLATE(E47, ""bn"", ""en"")"),"taking pictures")</f>
        <v>taking pictures</v>
      </c>
      <c r="O47" s="5" t="str">
        <f>IFERROR(__xludf.DUMMYFUNCTION("GOOGLETRANSLATE(F47, ""bn"", ""en"")"),"Inactivity")</f>
        <v>Inactivity</v>
      </c>
      <c r="P47" s="5" t="str">
        <f>IFERROR(__xludf.DUMMYFUNCTION("GOOGLETRANSLATE(G47, ""bn"", ""en"")"),"Support")</f>
        <v>Support</v>
      </c>
      <c r="Q47" s="5" t="str">
        <f>IFERROR(__xludf.DUMMYFUNCTION("GOOGLETRANSLATE(H47, ""bn"", ""en"")"),"pic23")</f>
        <v>pic23</v>
      </c>
    </row>
    <row r="48">
      <c r="A48" s="3">
        <v>47.0</v>
      </c>
      <c r="B48" s="4" t="s">
        <v>649</v>
      </c>
      <c r="C48" s="4" t="s">
        <v>638</v>
      </c>
      <c r="D48" s="4" t="s">
        <v>128</v>
      </c>
      <c r="E48" s="4" t="s">
        <v>637</v>
      </c>
      <c r="F48" s="4" t="s">
        <v>129</v>
      </c>
      <c r="G48" s="4" t="s">
        <v>638</v>
      </c>
      <c r="H48" s="4" t="s">
        <v>191</v>
      </c>
      <c r="J48" s="5" t="str">
        <f>IFERROR(__xludf.DUMMYFUNCTION("GOOGLETRANSLATE(A48, ""bn"", ""en"")"),"47")</f>
        <v>47</v>
      </c>
      <c r="K48" s="5" t="str">
        <f>IFERROR(__xludf.DUMMYFUNCTION("GOOGLETRANSLATE(B48, ""bn"", ""en"")"),"What strategy is used for defense?")</f>
        <v>What strategy is used for defense?</v>
      </c>
      <c r="L48" s="5" t="str">
        <f>IFERROR(__xludf.DUMMYFUNCTION("GOOGLETRANSLATE(C48, ""bn"", ""en"")"),"Blocking")</f>
        <v>Blocking</v>
      </c>
      <c r="M48" s="5" t="str">
        <f>IFERROR(__xludf.DUMMYFUNCTION("GOOGLETRANSLATE(D48, ""bn"", ""en"")"),"caught")</f>
        <v>caught</v>
      </c>
      <c r="N48" s="5" t="str">
        <f>IFERROR(__xludf.DUMMYFUNCTION("GOOGLETRANSLATE(E48, ""bn"", ""en"")"),"Robbery")</f>
        <v>Robbery</v>
      </c>
      <c r="O48" s="5" t="str">
        <f>IFERROR(__xludf.DUMMYFUNCTION("GOOGLETRANSLATE(F48, ""bn"", ""en"")"),"injury")</f>
        <v>injury</v>
      </c>
      <c r="P48" s="5" t="str">
        <f>IFERROR(__xludf.DUMMYFUNCTION("GOOGLETRANSLATE(G48, ""bn"", ""en"")"),"Blocking")</f>
        <v>Blocking</v>
      </c>
      <c r="Q48" s="5" t="str">
        <f>IFERROR(__xludf.DUMMYFUNCTION("GOOGLETRANSLATE(H48, ""bn"", ""en"")"),"pic24")</f>
        <v>pic24</v>
      </c>
    </row>
    <row r="49">
      <c r="A49" s="3">
        <v>48.0</v>
      </c>
      <c r="B49" s="4" t="s">
        <v>721</v>
      </c>
      <c r="C49" s="4" t="s">
        <v>674</v>
      </c>
      <c r="D49" s="4" t="s">
        <v>623</v>
      </c>
      <c r="E49" s="4" t="s">
        <v>182</v>
      </c>
      <c r="F49" s="4" t="s">
        <v>45</v>
      </c>
      <c r="G49" s="4" t="s">
        <v>674</v>
      </c>
      <c r="H49" s="4" t="s">
        <v>191</v>
      </c>
      <c r="J49" s="5" t="str">
        <f>IFERROR(__xludf.DUMMYFUNCTION("GOOGLETRANSLATE(A49, ""bn"", ""en"")"),"48")</f>
        <v>48</v>
      </c>
      <c r="K49" s="5" t="str">
        <f>IFERROR(__xludf.DUMMYFUNCTION("GOOGLETRANSLATE(B49, ""bn"", ""en"")"),"What are the participants demonstrating?")</f>
        <v>What are the participants demonstrating?</v>
      </c>
      <c r="L49" s="5" t="str">
        <f>IFERROR(__xludf.DUMMYFUNCTION("GOOGLETRANSLATE(C49, ""bn"", ""en"")"),"Weapon handling skills")</f>
        <v>Weapon handling skills</v>
      </c>
      <c r="M49" s="5" t="str">
        <f>IFERROR(__xludf.DUMMYFUNCTION("GOOGLETRANSLATE(D49, ""bn"", ""en"")"),"the dance")</f>
        <v>the dance</v>
      </c>
      <c r="N49" s="5" t="str">
        <f>IFERROR(__xludf.DUMMYFUNCTION("GOOGLETRANSLATE(E49, ""bn"", ""en"")"),"the game")</f>
        <v>the game</v>
      </c>
      <c r="O49" s="5" t="str">
        <f>IFERROR(__xludf.DUMMYFUNCTION("GOOGLETRANSLATE(F49, ""bn"", ""en"")"),"Training")</f>
        <v>Training</v>
      </c>
      <c r="P49" s="5" t="str">
        <f>IFERROR(__xludf.DUMMYFUNCTION("GOOGLETRANSLATE(G49, ""bn"", ""en"")"),"Weapon handling skills")</f>
        <v>Weapon handling skills</v>
      </c>
      <c r="Q49" s="5" t="str">
        <f>IFERROR(__xludf.DUMMYFUNCTION("GOOGLETRANSLATE(H49, ""bn"", ""en"")"),"pic24")</f>
        <v>pic24</v>
      </c>
    </row>
    <row r="50">
      <c r="A50" s="3">
        <v>49.0</v>
      </c>
      <c r="B50" s="4" t="s">
        <v>677</v>
      </c>
      <c r="C50" s="4" t="s">
        <v>678</v>
      </c>
      <c r="D50" s="4" t="s">
        <v>125</v>
      </c>
      <c r="E50" s="4" t="s">
        <v>639</v>
      </c>
      <c r="F50" s="4" t="s">
        <v>581</v>
      </c>
      <c r="G50" s="4" t="s">
        <v>678</v>
      </c>
      <c r="H50" s="4" t="s">
        <v>198</v>
      </c>
      <c r="J50" s="5" t="str">
        <f>IFERROR(__xludf.DUMMYFUNCTION("GOOGLETRANSLATE(A50, ""bn"", ""en"")"),"49")</f>
        <v>49</v>
      </c>
      <c r="K50" s="5" t="str">
        <f>IFERROR(__xludf.DUMMYFUNCTION("GOOGLETRANSLATE(B50, ""bn"", ""en"")"),"What is the role of the contest presenter?")</f>
        <v>What is the role of the contest presenter?</v>
      </c>
      <c r="L50" s="5" t="str">
        <f>IFERROR(__xludf.DUMMYFUNCTION("GOOGLETRANSLATE(C50, ""bn"", ""en"")"),"Game Director")</f>
        <v>Game Director</v>
      </c>
      <c r="M50" s="5" t="str">
        <f>IFERROR(__xludf.DUMMYFUNCTION("GOOGLETRANSLATE(D50, ""bn"", ""en"")"),"trainer")</f>
        <v>trainer</v>
      </c>
      <c r="N50" s="5" t="str">
        <f>IFERROR(__xludf.DUMMYFUNCTION("GOOGLETRANSLATE(E50, ""bn"", ""en"")"),"Participant")</f>
        <v>Participant</v>
      </c>
      <c r="O50" s="5" t="str">
        <f>IFERROR(__xludf.DUMMYFUNCTION("GOOGLETRANSLATE(F50, ""bn"", ""en"")"),"Viewer")</f>
        <v>Viewer</v>
      </c>
      <c r="P50" s="5" t="str">
        <f>IFERROR(__xludf.DUMMYFUNCTION("GOOGLETRANSLATE(G50, ""bn"", ""en"")"),"Game Director")</f>
        <v>Game Director</v>
      </c>
      <c r="Q50" s="5" t="str">
        <f>IFERROR(__xludf.DUMMYFUNCTION("GOOGLETRANSLATE(H50, ""bn"", ""en"")"),"pic25")</f>
        <v>pic25</v>
      </c>
    </row>
    <row r="51">
      <c r="A51" s="3">
        <v>50.0</v>
      </c>
      <c r="B51" s="4" t="s">
        <v>649</v>
      </c>
      <c r="C51" s="4" t="s">
        <v>638</v>
      </c>
      <c r="D51" s="4" t="s">
        <v>128</v>
      </c>
      <c r="E51" s="4" t="s">
        <v>129</v>
      </c>
      <c r="F51" s="4" t="s">
        <v>637</v>
      </c>
      <c r="G51" s="4" t="s">
        <v>638</v>
      </c>
      <c r="H51" s="4" t="s">
        <v>198</v>
      </c>
      <c r="J51" s="5" t="str">
        <f>IFERROR(__xludf.DUMMYFUNCTION("GOOGLETRANSLATE(A51, ""bn"", ""en"")"),"50")</f>
        <v>50</v>
      </c>
      <c r="K51" s="5" t="str">
        <f>IFERROR(__xludf.DUMMYFUNCTION("GOOGLETRANSLATE(B51, ""bn"", ""en"")"),"What strategy is used for defense?")</f>
        <v>What strategy is used for defense?</v>
      </c>
      <c r="L51" s="5" t="str">
        <f>IFERROR(__xludf.DUMMYFUNCTION("GOOGLETRANSLATE(C51, ""bn"", ""en"")"),"Blocking")</f>
        <v>Blocking</v>
      </c>
      <c r="M51" s="5" t="str">
        <f>IFERROR(__xludf.DUMMYFUNCTION("GOOGLETRANSLATE(D51, ""bn"", ""en"")"),"caught")</f>
        <v>caught</v>
      </c>
      <c r="N51" s="5" t="str">
        <f>IFERROR(__xludf.DUMMYFUNCTION("GOOGLETRANSLATE(E51, ""bn"", ""en"")"),"injury")</f>
        <v>injury</v>
      </c>
      <c r="O51" s="5" t="str">
        <f>IFERROR(__xludf.DUMMYFUNCTION("GOOGLETRANSLATE(F51, ""bn"", ""en"")"),"Robbery")</f>
        <v>Robbery</v>
      </c>
      <c r="P51" s="5" t="str">
        <f>IFERROR(__xludf.DUMMYFUNCTION("GOOGLETRANSLATE(G51, ""bn"", ""en"")"),"Blocking")</f>
        <v>Blocking</v>
      </c>
      <c r="Q51" s="5" t="str">
        <f>IFERROR(__xludf.DUMMYFUNCTION("GOOGLETRANSLATE(H51, ""bn"", ""en"")"),"pic25")</f>
        <v>pic25</v>
      </c>
    </row>
    <row r="52">
      <c r="A52" s="3">
        <v>51.0</v>
      </c>
      <c r="B52" s="4" t="str">
        <f>IFERROR(__xludf.DUMMYFUNCTION("GOOGLETRANSLATE(K52, ""en"", ""bn"")"),"স্থলভাগে অংশগ্রহণকারীদের দ্বারা ধারণকৃত বৃত্তাকার বস্তুর উদ্দেশ্য কী?")</f>
        <v>স্থলভাগে অংশগ্রহণকারীদের দ্বারা ধারণকৃত বৃত্তাকার বস্তুর উদ্দেশ্য কী?</v>
      </c>
      <c r="C52" s="4" t="str">
        <f>IFERROR(__xludf.DUMMYFUNCTION("GOOGLETRANSLATE(L52, ""en"", ""bn"")"),"আগত স্ট্রাইক ব্লক করতে")</f>
        <v>আগত স্ট্রাইক ব্লক করতে</v>
      </c>
      <c r="D52" s="4" t="str">
        <f>IFERROR(__xludf.DUMMYFUNCTION("GOOGLETRANSLATE(M52, ""en"", ""bn"")"),"প্রতিপক্ষের দিকে নিক্ষেপ করা")</f>
        <v>প্রতিপক্ষের দিকে নিক্ষেপ করা</v>
      </c>
      <c r="E52" s="4" t="str">
        <f>IFERROR(__xludf.DUMMYFUNCTION("GOOGLETRANSLATE(N52, ""en"", ""bn"")"),"ঢাল হিসেবে ব্যবহার করা")</f>
        <v>ঢাল হিসেবে ব্যবহার করা</v>
      </c>
      <c r="F52" s="4" t="str">
        <f>IFERROR(__xludf.DUMMYFUNCTION("GOOGLETRANSLATE(O52, ""en"", ""bn"")"),"আক্রমণ প্রতিহত করতে")</f>
        <v>আক্রমণ প্রতিহত করতে</v>
      </c>
      <c r="G52" s="4" t="str">
        <f>IFERROR(__xludf.DUMMYFUNCTION("GOOGLETRANSLATE(P52, ""en"", ""bn"")"),"ঢাল হিসেবে ব্যবহার করা")</f>
        <v>ঢাল হিসেবে ব্যবহার করা</v>
      </c>
      <c r="H52" s="4" t="str">
        <f>IFERROR(__xludf.DUMMYFUNCTION("GOOGLETRANSLATE(Q52, ""en"", ""bn"")"),"ছবি1")</f>
        <v>ছবি1</v>
      </c>
      <c r="J52" s="5" t="str">
        <f>IFERROR(__xludf.DUMMYFUNCTION("GOOGLETRANSLATE(A52, ""bn"", ""en"")"),"51")</f>
        <v>51</v>
      </c>
      <c r="K52" s="16" t="s">
        <v>722</v>
      </c>
      <c r="L52" s="16" t="s">
        <v>723</v>
      </c>
      <c r="M52" s="16" t="s">
        <v>724</v>
      </c>
      <c r="N52" s="16" t="s">
        <v>725</v>
      </c>
      <c r="O52" s="16" t="s">
        <v>726</v>
      </c>
      <c r="P52" s="16" t="s">
        <v>725</v>
      </c>
      <c r="Q52" s="7" t="s">
        <v>21</v>
      </c>
    </row>
    <row r="53">
      <c r="A53" s="3">
        <v>52.0</v>
      </c>
      <c r="B53" s="4" t="str">
        <f>IFERROR(__xludf.DUMMYFUNCTION("GOOGLETRANSLATE(K53, ""en"", ""bn"")"),"পারফরম্যান্সের জন্য অংশগ্রহণকারীদের পোশাক কেমন?")</f>
        <v>পারফরম্যান্সের জন্য অংশগ্রহণকারীদের পোশাক কেমন?</v>
      </c>
      <c r="C53" s="4" t="str">
        <f>IFERROR(__xludf.DUMMYFUNCTION("GOOGLETRANSLATE(L53, ""en"", ""bn"")"),"আনুষ্ঠানিক পোশাক")</f>
        <v>আনুষ্ঠানিক পোশাক</v>
      </c>
      <c r="D53" s="4" t="str">
        <f>IFERROR(__xludf.DUMMYFUNCTION("GOOGLETRANSLATE(M53, ""en"", ""bn"")"),"নৈমিত্তিক পোশাক")</f>
        <v>নৈমিত্তিক পোশাক</v>
      </c>
      <c r="E53" s="4" t="str">
        <f>IFERROR(__xludf.DUMMYFUNCTION("GOOGLETRANSLATE(N53, ""en"", ""bn"")"),"ঐতিহ্যবাহী পারফর্মেন্স পোশাক")</f>
        <v>ঐতিহ্যবাহী পারফর্মেন্স পোশাক</v>
      </c>
      <c r="F53" s="4" t="str">
        <f>IFERROR(__xludf.DUMMYFUNCTION("GOOGLETRANSLATE(O53, ""en"", ""bn"")"),"ক্রীড়া ইউনিফর্ম")</f>
        <v>ক্রীড়া ইউনিফর্ম</v>
      </c>
      <c r="G53" s="4" t="str">
        <f>IFERROR(__xludf.DUMMYFUNCTION("GOOGLETRANSLATE(P53, ""en"", ""bn"")"),"ঐতিহ্যবাহী পারফর্মেন্স পোশাক")</f>
        <v>ঐতিহ্যবাহী পারফর্মেন্স পোশাক</v>
      </c>
      <c r="H53" s="4" t="str">
        <f>IFERROR(__xludf.DUMMYFUNCTION("GOOGLETRANSLATE(Q53, ""en"", ""bn"")"),"ছবি1")</f>
        <v>ছবি1</v>
      </c>
      <c r="J53" s="5" t="str">
        <f>IFERROR(__xludf.DUMMYFUNCTION("GOOGLETRANSLATE(A53, ""bn"", ""en"")"),"52")</f>
        <v>52</v>
      </c>
      <c r="K53" s="16" t="s">
        <v>727</v>
      </c>
      <c r="L53" s="16" t="s">
        <v>728</v>
      </c>
      <c r="M53" s="16" t="s">
        <v>729</v>
      </c>
      <c r="N53" s="16" t="s">
        <v>730</v>
      </c>
      <c r="O53" s="16" t="s">
        <v>731</v>
      </c>
      <c r="P53" s="16" t="s">
        <v>730</v>
      </c>
      <c r="Q53" s="7" t="s">
        <v>21</v>
      </c>
    </row>
    <row r="54">
      <c r="A54" s="3">
        <v>53.0</v>
      </c>
      <c r="B54" s="4" t="str">
        <f>IFERROR(__xludf.DUMMYFUNCTION("GOOGLETRANSLATE(K54, ""en"", ""bn"")"),"লাঠিগুলি সম্ভবত কোন উপাদান থেকে তৈরি করা হয়?")</f>
        <v>লাঠিগুলি সম্ভবত কোন উপাদান থেকে তৈরি করা হয়?</v>
      </c>
      <c r="C54" s="4" t="str">
        <f>IFERROR(__xludf.DUMMYFUNCTION("GOOGLETRANSLATE(L54, ""en"", ""bn"")"),"প্লাস্টিক")</f>
        <v>প্লাস্টিক</v>
      </c>
      <c r="D54" s="4" t="str">
        <f>IFERROR(__xludf.DUMMYFUNCTION("GOOGLETRANSLATE(M54, ""en"", ""bn"")"),"ধাতু")</f>
        <v>ধাতু</v>
      </c>
      <c r="E54" s="4" t="str">
        <f>IFERROR(__xludf.DUMMYFUNCTION("GOOGLETRANSLATE(N54, ""en"", ""bn"")"),"কাঠ বা বাঁশ")</f>
        <v>কাঠ বা বাঁশ</v>
      </c>
      <c r="F54" s="4" t="str">
        <f>IFERROR(__xludf.DUMMYFUNCTION("GOOGLETRANSLATE(O54, ""en"", ""bn"")"),"ফাইবারগ্লাস")</f>
        <v>ফাইবারগ্লাস</v>
      </c>
      <c r="G54" s="4" t="str">
        <f>IFERROR(__xludf.DUMMYFUNCTION("GOOGLETRANSLATE(P54, ""en"", ""bn"")"),"কাঠ বা বাঁশ")</f>
        <v>কাঠ বা বাঁশ</v>
      </c>
      <c r="H54" s="4" t="str">
        <f>IFERROR(__xludf.DUMMYFUNCTION("GOOGLETRANSLATE(Q54, ""en"", ""bn"")"),"ছবি1")</f>
        <v>ছবি1</v>
      </c>
      <c r="J54" s="5" t="str">
        <f>IFERROR(__xludf.DUMMYFUNCTION("GOOGLETRANSLATE(A54, ""bn"", ""en"")"),"53")</f>
        <v>53</v>
      </c>
      <c r="K54" s="16" t="s">
        <v>732</v>
      </c>
      <c r="L54" s="16" t="s">
        <v>733</v>
      </c>
      <c r="M54" s="16" t="s">
        <v>734</v>
      </c>
      <c r="N54" s="16" t="s">
        <v>735</v>
      </c>
      <c r="O54" s="16" t="s">
        <v>736</v>
      </c>
      <c r="P54" s="16" t="s">
        <v>735</v>
      </c>
      <c r="Q54" s="7" t="s">
        <v>21</v>
      </c>
    </row>
    <row r="55">
      <c r="A55" s="3">
        <v>54.0</v>
      </c>
      <c r="B55" s="4" t="str">
        <f>IFERROR(__xludf.DUMMYFUNCTION("GOOGLETRANSLATE(K55, ""en"", ""bn"")"),"ডানে থাকা মানুষটি কী পারফরম্যান্সের সঙ্গী?")</f>
        <v>ডানে থাকা মানুষটি কী পারফরম্যান্সের সঙ্গী?</v>
      </c>
      <c r="C55" s="4" t="str">
        <f>IFERROR(__xludf.DUMMYFUNCTION("GOOGLETRANSLATE(L55, ""en"", ""bn"")"),"একটি ট্রাম্পেট")</f>
        <v>একটি ট্রাম্পেট</v>
      </c>
      <c r="D55" s="4" t="str">
        <f>IFERROR(__xludf.DUMMYFUNCTION("GOOGLETRANSLATE(M55, ""en"", ""bn"")"),"একটি বড় ড্রাম (ঢোল)")</f>
        <v>একটি বড় ড্রাম (ঢোল)</v>
      </c>
      <c r="E55" s="4" t="str">
        <f>IFERROR(__xludf.DUMMYFUNCTION("GOOGLETRANSLATE(N55, ""en"", ""bn"")"),"একটি সেতার")</f>
        <v>একটি সেতার</v>
      </c>
      <c r="F55" s="4" t="str">
        <f>IFERROR(__xludf.DUMMYFUNCTION("GOOGLETRANSLATE(O55, ""en"", ""bn"")"),"একটি বাঁশি")</f>
        <v>একটি বাঁশি</v>
      </c>
      <c r="G55" s="4" t="str">
        <f>IFERROR(__xludf.DUMMYFUNCTION("GOOGLETRANSLATE(P55, ""en"", ""bn"")"),"একটি বড় ড্রাম (ঢোল)")</f>
        <v>একটি বড় ড্রাম (ঢোল)</v>
      </c>
      <c r="H55" s="4" t="str">
        <f>IFERROR(__xludf.DUMMYFUNCTION("GOOGLETRANSLATE(Q55, ""en"", ""bn"")"),"ছবি1")</f>
        <v>ছবি1</v>
      </c>
      <c r="J55" s="5" t="str">
        <f>IFERROR(__xludf.DUMMYFUNCTION("GOOGLETRANSLATE(A55, ""bn"", ""en"")"),"54")</f>
        <v>54</v>
      </c>
      <c r="K55" s="16" t="s">
        <v>737</v>
      </c>
      <c r="L55" s="16" t="s">
        <v>738</v>
      </c>
      <c r="M55" s="16" t="s">
        <v>739</v>
      </c>
      <c r="N55" s="16" t="s">
        <v>740</v>
      </c>
      <c r="O55" s="16" t="s">
        <v>741</v>
      </c>
      <c r="P55" s="16" t="s">
        <v>739</v>
      </c>
      <c r="Q55" s="7" t="s">
        <v>21</v>
      </c>
    </row>
    <row r="56">
      <c r="A56" s="3">
        <v>55.0</v>
      </c>
      <c r="B56" s="4" t="str">
        <f>IFERROR(__xludf.DUMMYFUNCTION("GOOGLETRANSLATE(K56, ""en"", ""bn"")"),"পটভূমিতে ভিড়ের সামগ্রিক মেজাজ কী?")</f>
        <v>পটভূমিতে ভিড়ের সামগ্রিক মেজাজ কী?</v>
      </c>
      <c r="C56" s="4" t="str">
        <f>IFERROR(__xludf.DUMMYFUNCTION("GOOGLETRANSLATE(L56, ""en"", ""bn"")"),"উদাস এবং আগ্রহহীন")</f>
        <v>উদাস এবং আগ্রহহীন</v>
      </c>
      <c r="D56" s="4" t="str">
        <f>IFERROR(__xludf.DUMMYFUNCTION("GOOGLETRANSLATE(M56, ""en"", ""bn"")"),"উত্তেজনাপূর্ণ এবং ভীত।")</f>
        <v>উত্তেজনাপূর্ণ এবং ভীত।</v>
      </c>
      <c r="E56" s="4" t="str">
        <f>IFERROR(__xludf.DUMMYFUNCTION("GOOGLETRANSLATE(N56, ""en"", ""bn"")"),"ব্যস্ত এবং মনোযোগ সহকারে দেখছি")</f>
        <v>ব্যস্ত এবং মনোযোগ সহকারে দেখছি</v>
      </c>
      <c r="F56" s="4" t="str">
        <f>IFERROR(__xludf.DUMMYFUNCTION("GOOGLETRANSLATE(O56, ""en"", ""bn"")"),"বিভ্রান্ত")</f>
        <v>বিভ্রান্ত</v>
      </c>
      <c r="G56" s="4" t="str">
        <f>IFERROR(__xludf.DUMMYFUNCTION("GOOGLETRANSLATE(P56, ""en"", ""bn"")"),"ব্যস্ত এবং মনোযোগ সহকারে দেখছি")</f>
        <v>ব্যস্ত এবং মনোযোগ সহকারে দেখছি</v>
      </c>
      <c r="H56" s="4" t="str">
        <f>IFERROR(__xludf.DUMMYFUNCTION("GOOGLETRANSLATE(Q56, ""en"", ""bn"")"),"ছবি1")</f>
        <v>ছবি1</v>
      </c>
      <c r="J56" s="5" t="str">
        <f>IFERROR(__xludf.DUMMYFUNCTION("GOOGLETRANSLATE(A56, ""bn"", ""en"")"),"55")</f>
        <v>55</v>
      </c>
      <c r="K56" s="16" t="s">
        <v>742</v>
      </c>
      <c r="L56" s="16" t="s">
        <v>743</v>
      </c>
      <c r="M56" s="16" t="s">
        <v>744</v>
      </c>
      <c r="N56" s="16" t="s">
        <v>745</v>
      </c>
      <c r="O56" s="16" t="s">
        <v>746</v>
      </c>
      <c r="P56" s="16" t="s">
        <v>745</v>
      </c>
      <c r="Q56" s="7" t="s">
        <v>21</v>
      </c>
    </row>
    <row r="57">
      <c r="A57" s="3">
        <v>56.0</v>
      </c>
      <c r="B57" s="4" t="str">
        <f>IFERROR(__xludf.DUMMYFUNCTION("GOOGLETRANSLATE(K57, ""en"", ""bn"")"),"অগ্রভাগে প্রধান দুই অংশগ্রহণকারীর প্রাথমিক অবস্থান কি?")</f>
        <v>অগ্রভাগে প্রধান দুই অংশগ্রহণকারীর প্রাথমিক অবস্থান কি?</v>
      </c>
      <c r="C57" s="4" t="str">
        <f>IFERROR(__xludf.DUMMYFUNCTION("GOOGLETRANSLATE(L57, ""en"", ""bn"")"),"সোজা হয়ে দাঁড়িয়ে থাকা")</f>
        <v>সোজা হয়ে দাঁড়িয়ে থাকা</v>
      </c>
      <c r="D57" s="4" t="str">
        <f>IFERROR(__xludf.DUMMYFUNCTION("GOOGLETRANSLATE(M57, ""en"", ""bn"")"),"ক্রুচিং বা হাঁটু গেড়ে বসে থাকা")</f>
        <v>ক্রুচিং বা হাঁটু গেড়ে বসে থাকা</v>
      </c>
      <c r="E57" s="4" t="str">
        <f>IFERROR(__xludf.DUMMYFUNCTION("GOOGLETRANSLATE(N57, ""en"", ""bn"")"),"শুয়ে থাকা")</f>
        <v>শুয়ে থাকা</v>
      </c>
      <c r="F57" s="4" t="str">
        <f>IFERROR(__xludf.DUMMYFUNCTION("GOOGLETRANSLATE(O57, ""en"", ""bn"")"),"জাম্পিং")</f>
        <v>জাম্পিং</v>
      </c>
      <c r="G57" s="4" t="str">
        <f>IFERROR(__xludf.DUMMYFUNCTION("GOOGLETRANSLATE(P57, ""en"", ""bn"")"),"ক্রুচিং বা হাঁটু গেড়ে বসে থাকা")</f>
        <v>ক্রুচিং বা হাঁটু গেড়ে বসে থাকা</v>
      </c>
      <c r="H57" s="4" t="str">
        <f>IFERROR(__xludf.DUMMYFUNCTION("GOOGLETRANSLATE(Q57, ""en"", ""bn"")"),"ছবি1")</f>
        <v>ছবি1</v>
      </c>
      <c r="J57" s="5" t="str">
        <f>IFERROR(__xludf.DUMMYFUNCTION("GOOGLETRANSLATE(A57, ""bn"", ""en"")"),"56")</f>
        <v>56</v>
      </c>
      <c r="K57" s="16" t="s">
        <v>747</v>
      </c>
      <c r="L57" s="16" t="s">
        <v>410</v>
      </c>
      <c r="M57" s="16" t="s">
        <v>748</v>
      </c>
      <c r="N57" s="16" t="s">
        <v>749</v>
      </c>
      <c r="O57" s="16" t="s">
        <v>750</v>
      </c>
      <c r="P57" s="16" t="s">
        <v>748</v>
      </c>
      <c r="Q57" s="7" t="s">
        <v>21</v>
      </c>
    </row>
    <row r="58">
      <c r="A58" s="3">
        <v>57.0</v>
      </c>
      <c r="B58" s="4" t="str">
        <f>IFERROR(__xludf.DUMMYFUNCTION("GOOGLETRANSLATE(K58, ""en"", ""bn"")"),"বাম দিকের লোকটির মূল ফোকাস কী বলে মনে হচ্ছে যিনি হাঁটুতে আছেন?")</f>
        <v>বাম দিকের লোকটির মূল ফোকাস কী বলে মনে হচ্ছে যিনি হাঁটুতে আছেন?</v>
      </c>
      <c r="C58" s="4" t="str">
        <f>IFERROR(__xludf.DUMMYFUNCTION("GOOGLETRANSLATE(L58, ""en"", ""bn"")"),"তার প্রতিপক্ষের লাঠি")</f>
        <v>তার প্রতিপক্ষের লাঠি</v>
      </c>
      <c r="D58" s="4" t="str">
        <f>IFERROR(__xludf.DUMMYFUNCTION("GOOGLETRANSLATE(M58, ""en"", ""bn"")"),"মাটি")</f>
        <v>মাটি</v>
      </c>
      <c r="E58" s="4" t="str">
        <f>IFERROR(__xludf.DUMMYFUNCTION("GOOGLETRANSLATE(N58, ""en"", ""bn"")"),"ভিড়")</f>
        <v>ভিড়</v>
      </c>
      <c r="F58" s="4" t="str">
        <f>IFERROR(__xludf.DUMMYFUNCTION("GOOGLETRANSLATE(O58, ""en"", ""bn"")"),"ড্রাম")</f>
        <v>ড্রাম</v>
      </c>
      <c r="G58" s="4" t="str">
        <f>IFERROR(__xludf.DUMMYFUNCTION("GOOGLETRANSLATE(P58, ""en"", ""bn"")"),"তার প্রতিপক্ষের লাঠি")</f>
        <v>তার প্রতিপক্ষের লাঠি</v>
      </c>
      <c r="H58" s="4" t="str">
        <f>IFERROR(__xludf.DUMMYFUNCTION("GOOGLETRANSLATE(Q58, ""en"", ""bn"")"),"ছবি1")</f>
        <v>ছবি1</v>
      </c>
      <c r="J58" s="5" t="str">
        <f>IFERROR(__xludf.DUMMYFUNCTION("GOOGLETRANSLATE(A58, ""bn"", ""en"")"),"57")</f>
        <v>57</v>
      </c>
      <c r="K58" s="16" t="s">
        <v>751</v>
      </c>
      <c r="L58" s="16" t="s">
        <v>752</v>
      </c>
      <c r="M58" s="16" t="s">
        <v>753</v>
      </c>
      <c r="N58" s="16" t="s">
        <v>754</v>
      </c>
      <c r="O58" s="16" t="s">
        <v>755</v>
      </c>
      <c r="P58" s="16" t="s">
        <v>752</v>
      </c>
      <c r="Q58" s="7" t="s">
        <v>21</v>
      </c>
    </row>
    <row r="59">
      <c r="A59" s="3">
        <v>58.0</v>
      </c>
      <c r="B59" s="4" t="str">
        <f>IFERROR(__xludf.DUMMYFUNCTION("GOOGLETRANSLATE(K59, ""en"", ""bn"")"),"ছবিতে দেখানো লাঠি লড়াইয়ের ধরণটির সম্ভাব্য নাম কী?")</f>
        <v>ছবিতে দেখানো লাঠি লড়াইয়ের ধরণটির সম্ভাব্য নাম কী?</v>
      </c>
      <c r="C59" s="4" t="str">
        <f>IFERROR(__xludf.DUMMYFUNCTION("GOOGLETRANSLATE(L59, ""en"", ""bn"")"),"কারাতে")</f>
        <v>কারাতে</v>
      </c>
      <c r="D59" s="4" t="str">
        <f>IFERROR(__xludf.DUMMYFUNCTION("GOOGLETRANSLATE(M59, ""en"", ""bn"")"),"লাঠি খেলা")</f>
        <v>লাঠি খেলা</v>
      </c>
      <c r="E59" s="4" t="str">
        <f>IFERROR(__xludf.DUMMYFUNCTION("GOOGLETRANSLATE(N59, ""en"", ""bn"")"),"তায়কোয়ান্দো")</f>
        <v>তায়কোয়ান্দো</v>
      </c>
      <c r="F59" s="4" t="str">
        <f>IFERROR(__xludf.DUMMYFUNCTION("GOOGLETRANSLATE(O59, ""en"", ""bn"")"),"বেড়া")</f>
        <v>বেড়া</v>
      </c>
      <c r="G59" s="4" t="str">
        <f>IFERROR(__xludf.DUMMYFUNCTION("GOOGLETRANSLATE(P59, ""en"", ""bn"")"),"লাঠি খেলা")</f>
        <v>লাঠি খেলা</v>
      </c>
      <c r="H59" s="4" t="str">
        <f>IFERROR(__xludf.DUMMYFUNCTION("GOOGLETRANSLATE(Q59, ""en"", ""bn"")"),"ছবি1")</f>
        <v>ছবি1</v>
      </c>
      <c r="J59" s="5" t="str">
        <f>IFERROR(__xludf.DUMMYFUNCTION("GOOGLETRANSLATE(A59, ""bn"", ""en"")"),"58")</f>
        <v>58</v>
      </c>
      <c r="K59" s="16" t="s">
        <v>756</v>
      </c>
      <c r="L59" s="16" t="s">
        <v>757</v>
      </c>
      <c r="M59" s="16" t="s">
        <v>758</v>
      </c>
      <c r="N59" s="16" t="s">
        <v>759</v>
      </c>
      <c r="O59" s="16" t="s">
        <v>760</v>
      </c>
      <c r="P59" s="16" t="s">
        <v>758</v>
      </c>
      <c r="Q59" s="7" t="s">
        <v>21</v>
      </c>
    </row>
    <row r="60">
      <c r="A60" s="3">
        <v>59.0</v>
      </c>
      <c r="B60" s="4" t="str">
        <f>IFERROR(__xludf.DUMMYFUNCTION("GOOGLETRANSLATE(K60, ""en"", ""bn"")"),"ছবির উপর ভিত্তি করে, লাঠি খেলা পারফরম্যান্সের একটি মূল উপাদান কী?")</f>
        <v>ছবির উপর ভিত্তি করে, লাঠি খেলা পারফরম্যান্সের একটি মূল উপাদান কী?</v>
      </c>
      <c r="C60" s="4" t="str">
        <f>IFERROR(__xludf.DUMMYFUNCTION("GOOGLETRANSLATE(L60, ""en"", ""bn"")"),"দ্রুতগতিতে দৌড়ানো")</f>
        <v>দ্রুতগতিতে দৌড়ানো</v>
      </c>
      <c r="D60" s="4" t="str">
        <f>IFERROR(__xludf.DUMMYFUNCTION("GOOGLETRANSLATE(M60, ""en"", ""bn"")"),"বিস্তৃত কোরিওগ্রাফি")</f>
        <v>বিস্তৃত কোরিওগ্রাফি</v>
      </c>
      <c r="E60" s="4" t="str">
        <f>IFERROR(__xludf.DUMMYFUNCTION("GOOGLETRANSLATE(N60, ""en"", ""bn"")"),"জিমন্যাস্টিকস")</f>
        <v>জিমন্যাস্টিকস</v>
      </c>
      <c r="F60" s="4" t="str">
        <f>IFERROR(__xludf.DUMMYFUNCTION("GOOGLETRANSLATE(O60, ""en"", ""bn"")"),"গাইছে")</f>
        <v>গাইছে</v>
      </c>
      <c r="G60" s="4" t="str">
        <f>IFERROR(__xludf.DUMMYFUNCTION("GOOGLETRANSLATE(P60, ""en"", ""bn"")"),"বিস্তৃত কোরিওগ্রাফি")</f>
        <v>বিস্তৃত কোরিওগ্রাফি</v>
      </c>
      <c r="H60" s="4" t="str">
        <f>IFERROR(__xludf.DUMMYFUNCTION("GOOGLETRANSLATE(Q60, ""en"", ""bn"")"),"ছবি1")</f>
        <v>ছবি1</v>
      </c>
      <c r="J60" s="5" t="str">
        <f>IFERROR(__xludf.DUMMYFUNCTION("GOOGLETRANSLATE(A60, ""bn"", ""en"")"),"59")</f>
        <v>59</v>
      </c>
      <c r="K60" s="16" t="s">
        <v>761</v>
      </c>
      <c r="L60" s="16" t="s">
        <v>762</v>
      </c>
      <c r="M60" s="16" t="s">
        <v>763</v>
      </c>
      <c r="N60" s="16" t="s">
        <v>764</v>
      </c>
      <c r="O60" s="16" t="s">
        <v>765</v>
      </c>
      <c r="P60" s="16" t="s">
        <v>763</v>
      </c>
      <c r="Q60" s="7" t="s">
        <v>21</v>
      </c>
    </row>
    <row r="61">
      <c r="A61" s="3">
        <v>60.0</v>
      </c>
      <c r="B61" s="4" t="str">
        <f>IFERROR(__xludf.DUMMYFUNCTION("GOOGLETRANSLATE(K61, ""en"", ""bn"")"),"এই অনুষ্ঠানের সম্ভাব্য পরিবেশ কী?")</f>
        <v>এই অনুষ্ঠানের সম্ভাব্য পরিবেশ কী?</v>
      </c>
      <c r="C61" s="4" t="str">
        <f>IFERROR(__xludf.DUMMYFUNCTION("GOOGLETRANSLATE(L61, ""en"", ""bn"")"),"একটি ইনডোর জিমনেসিয়াম")</f>
        <v>একটি ইনডোর জিমনেসিয়াম</v>
      </c>
      <c r="D61" s="4" t="str">
        <f>IFERROR(__xludf.DUMMYFUNCTION("GOOGLETRANSLATE(M61, ""en"", ""bn"")"),"শহরের রাস্তা")</f>
        <v>শহরের রাস্তা</v>
      </c>
      <c r="E61" s="4" t="str">
        <f>IFERROR(__xludf.DUMMYFUNCTION("GOOGLETRANSLATE(N61, ""en"", ""bn"")"),"গ্রামীণ খোলা মাঠ বা গ্রামের মেলা")</f>
        <v>গ্রামীণ খোলা মাঠ বা গ্রামের মেলা</v>
      </c>
      <c r="F61" s="4" t="str">
        <f>IFERROR(__xludf.DUMMYFUNCTION("GOOGLETRANSLATE(O61, ""en"", ""bn"")"),"একটি সুইমিং পুল")</f>
        <v>একটি সুইমিং পুল</v>
      </c>
      <c r="G61" s="4" t="str">
        <f>IFERROR(__xludf.DUMMYFUNCTION("GOOGLETRANSLATE(P61, ""en"", ""bn"")"),"গ্রামীণ খোলা মাঠ বা গ্রামের মেলা")</f>
        <v>গ্রামীণ খোলা মাঠ বা গ্রামের মেলা</v>
      </c>
      <c r="H61" s="4" t="str">
        <f>IFERROR(__xludf.DUMMYFUNCTION("GOOGLETRANSLATE(Q61, ""en"", ""bn"")"),"ছবি1")</f>
        <v>ছবি1</v>
      </c>
      <c r="J61" s="5" t="str">
        <f>IFERROR(__xludf.DUMMYFUNCTION("GOOGLETRANSLATE(A61, ""bn"", ""en"")"),"60")</f>
        <v>60</v>
      </c>
      <c r="K61" s="16" t="s">
        <v>766</v>
      </c>
      <c r="L61" s="16" t="s">
        <v>767</v>
      </c>
      <c r="M61" s="16" t="s">
        <v>768</v>
      </c>
      <c r="N61" s="16" t="s">
        <v>769</v>
      </c>
      <c r="O61" s="16" t="s">
        <v>482</v>
      </c>
      <c r="P61" s="16" t="s">
        <v>769</v>
      </c>
      <c r="Q61" s="7" t="s">
        <v>21</v>
      </c>
    </row>
    <row r="62">
      <c r="A62" s="3">
        <v>61.0</v>
      </c>
      <c r="B62" s="4" t="str">
        <f>IFERROR(__xludf.DUMMYFUNCTION("GOOGLETRANSLATE(K62, ""en"", ""bn"")"),"অগ্রভাগে থাকা দুই প্রধান অংশগ্রহণকারীর সম্ভাব্য বয়সসীমা কত?")</f>
        <v>অগ্রভাগে থাকা দুই প্রধান অংশগ্রহণকারীর সম্ভাব্য বয়সসীমা কত?</v>
      </c>
      <c r="C62" s="4" t="str">
        <f>IFERROR(__xludf.DUMMYFUNCTION("GOOGLETRANSLATE(L62, ""en"", ""bn"")"),"কিশোর")</f>
        <v>কিশোর</v>
      </c>
      <c r="D62" s="4" t="str">
        <f>IFERROR(__xludf.DUMMYFUNCTION("GOOGLETRANSLATE(M62, ""en"", ""bn"")"),"তরুণ প্রাপ্তবয়স্কদের")</f>
        <v>তরুণ প্রাপ্তবয়স্কদের</v>
      </c>
      <c r="E62" s="4" t="str">
        <f>IFERROR(__xludf.DUMMYFUNCTION("GOOGLETRANSLATE(N62, ""en"", ""bn"")"),"মধ্যবয়সী")</f>
        <v>মধ্যবয়সী</v>
      </c>
      <c r="F62" s="4" t="str">
        <f>IFERROR(__xludf.DUMMYFUNCTION("GOOGLETRANSLATE(O62, ""en"", ""bn"")"),"বয়স্ক")</f>
        <v>বয়স্ক</v>
      </c>
      <c r="G62" s="4" t="str">
        <f>IFERROR(__xludf.DUMMYFUNCTION("GOOGLETRANSLATE(P62, ""en"", ""bn"")"),"বয়স্ক")</f>
        <v>বয়স্ক</v>
      </c>
      <c r="H62" s="4" t="str">
        <f>IFERROR(__xludf.DUMMYFUNCTION("GOOGLETRANSLATE(Q62, ""en"", ""bn"")"),"ছবি2")</f>
        <v>ছবি2</v>
      </c>
      <c r="J62" s="5" t="str">
        <f>IFERROR(__xludf.DUMMYFUNCTION("GOOGLETRANSLATE(A62, ""bn"", ""en"")"),"61")</f>
        <v>61</v>
      </c>
      <c r="K62" s="16" t="s">
        <v>770</v>
      </c>
      <c r="L62" s="16" t="s">
        <v>771</v>
      </c>
      <c r="M62" s="16" t="s">
        <v>772</v>
      </c>
      <c r="N62" s="16" t="s">
        <v>773</v>
      </c>
      <c r="O62" s="16" t="s">
        <v>774</v>
      </c>
      <c r="P62" s="16" t="s">
        <v>774</v>
      </c>
      <c r="Q62" s="7" t="s">
        <v>32</v>
      </c>
    </row>
    <row r="63">
      <c r="A63" s="3">
        <v>62.0</v>
      </c>
      <c r="B63" s="4" t="str">
        <f>IFERROR(__xludf.DUMMYFUNCTION("GOOGLETRANSLATE(K63, ""en"", ""bn"")"),"ছবিটি কোন ধরণের সেটিং চিত্রিত করে?")</f>
        <v>ছবিটি কোন ধরণের সেটিং চিত্রিত করে?</v>
      </c>
      <c r="C63" s="4" t="str">
        <f>IFERROR(__xludf.DUMMYFUNCTION("GOOGLETRANSLATE(L63, ""en"", ""bn"")"),"একটি শহুরে শহর কেন্দ্র")</f>
        <v>একটি শহুরে শহর কেন্দ্র</v>
      </c>
      <c r="D63" s="4" t="str">
        <f>IFERROR(__xludf.DUMMYFUNCTION("GOOGLETRANSLATE(M63, ""en"", ""bn"")"),"একটি ইনডোর স্টেডিয়াম")</f>
        <v>একটি ইনডোর স্টেডিয়াম</v>
      </c>
      <c r="E63" s="4" t="str">
        <f>IFERROR(__xludf.DUMMYFUNCTION("GOOGLETRANSLATE(N63, ""en"", ""bn"")"),"একটি গ্রামীণ, বহিরঙ্গন সমাবেশ")</f>
        <v>একটি গ্রামীণ, বহিরঙ্গন সমাবেশ</v>
      </c>
      <c r="F63" s="4" t="str">
        <f>IFERROR(__xludf.DUMMYFUNCTION("GOOGLETRANSLATE(O63, ""en"", ""bn"")"),"একটি মরুভূমি")</f>
        <v>একটি মরুভূমি</v>
      </c>
      <c r="G63" s="4" t="str">
        <f>IFERROR(__xludf.DUMMYFUNCTION("GOOGLETRANSLATE(P63, ""en"", ""bn"")"),"একটি গ্রামীণ, বহিরঙ্গন সমাবেশ")</f>
        <v>একটি গ্রামীণ, বহিরঙ্গন সমাবেশ</v>
      </c>
      <c r="H63" s="4" t="str">
        <f>IFERROR(__xludf.DUMMYFUNCTION("GOOGLETRANSLATE(Q63, ""en"", ""bn"")"),"ছবি2")</f>
        <v>ছবি2</v>
      </c>
      <c r="J63" s="5" t="str">
        <f>IFERROR(__xludf.DUMMYFUNCTION("GOOGLETRANSLATE(A63, ""bn"", ""en"")"),"62")</f>
        <v>62</v>
      </c>
      <c r="K63" s="16" t="s">
        <v>775</v>
      </c>
      <c r="L63" s="16" t="s">
        <v>776</v>
      </c>
      <c r="M63" s="16" t="s">
        <v>346</v>
      </c>
      <c r="N63" s="16" t="s">
        <v>777</v>
      </c>
      <c r="O63" s="16" t="s">
        <v>778</v>
      </c>
      <c r="P63" s="16" t="s">
        <v>777</v>
      </c>
      <c r="Q63" s="7" t="s">
        <v>32</v>
      </c>
    </row>
    <row r="64">
      <c r="A64" s="3">
        <v>63.0</v>
      </c>
      <c r="B64" s="4" t="str">
        <f>IFERROR(__xludf.DUMMYFUNCTION("GOOGLETRANSLATE(K64, ""en"", ""bn"")"),"ফোরগ্রাউন্ডে দুজন পুরুষের দ্বারা ব্যবহৃত প্রধান প্রপটি কী?")</f>
        <v>ফোরগ্রাউন্ডে দুজন পুরুষের দ্বারা ব্যবহৃত প্রধান প্রপটি কী?</v>
      </c>
      <c r="C64" s="4" t="str">
        <f>IFERROR(__xludf.DUMMYFUNCTION("GOOGLETRANSLATE(L64, ""en"", ""bn"")"),"একটি তলোয়ার")</f>
        <v>একটি তলোয়ার</v>
      </c>
      <c r="D64" s="4" t="str">
        <f>IFERROR(__xludf.DUMMYFUNCTION("GOOGLETRANSLATE(M64, ""en"", ""bn"")"),"লাঠি বা লাঠি")</f>
        <v>লাঠি বা লাঠি</v>
      </c>
      <c r="E64" s="4" t="str">
        <f>IFERROR(__xludf.DUMMYFUNCTION("GOOGLETRANSLATE(N64, ""en"", ""bn"")"),"একটি দড়ি")</f>
        <v>একটি দড়ি</v>
      </c>
      <c r="F64" s="4" t="str">
        <f>IFERROR(__xludf.DUMMYFUNCTION("GOOGLETRANSLATE(O64, ""en"", ""bn"")"),"একটি বল")</f>
        <v>একটি বল</v>
      </c>
      <c r="G64" s="4" t="str">
        <f>IFERROR(__xludf.DUMMYFUNCTION("GOOGLETRANSLATE(P64, ""en"", ""bn"")"),"লাঠি বা লাঠি")</f>
        <v>লাঠি বা লাঠি</v>
      </c>
      <c r="H64" s="4" t="str">
        <f>IFERROR(__xludf.DUMMYFUNCTION("GOOGLETRANSLATE(Q64, ""en"", ""bn"")"),"ছবি2")</f>
        <v>ছবি2</v>
      </c>
      <c r="J64" s="5" t="str">
        <f>IFERROR(__xludf.DUMMYFUNCTION("GOOGLETRANSLATE(A64, ""bn"", ""en"")"),"63")</f>
        <v>63</v>
      </c>
      <c r="K64" s="16" t="s">
        <v>779</v>
      </c>
      <c r="L64" s="16" t="s">
        <v>780</v>
      </c>
      <c r="M64" s="16" t="s">
        <v>781</v>
      </c>
      <c r="N64" s="16" t="s">
        <v>782</v>
      </c>
      <c r="O64" s="16" t="s">
        <v>783</v>
      </c>
      <c r="P64" s="16" t="s">
        <v>781</v>
      </c>
      <c r="Q64" s="7" t="s">
        <v>32</v>
      </c>
    </row>
    <row r="65">
      <c r="A65" s="3">
        <v>64.0</v>
      </c>
      <c r="B65" s="4" t="str">
        <f>IFERROR(__xludf.DUMMYFUNCTION("GOOGLETRANSLATE(K65, ""en"", ""bn"")"),"ডানদিকের মানুষটির অভিব্যক্তি কী?")</f>
        <v>ডানদিকের মানুষটির অভিব্যক্তি কী?</v>
      </c>
      <c r="C65" s="4" t="str">
        <f>IFERROR(__xludf.DUMMYFUNCTION("GOOGLETRANSLATE(L65, ""en"", ""bn"")"),"দুঃখিত এবং পরাজিত")</f>
        <v>দুঃখিত এবং পরাজিত</v>
      </c>
      <c r="D65" s="4" t="str">
        <f>IFERROR(__xludf.DUMMYFUNCTION("GOOGLETRANSLATE(M65, ""en"", ""bn"")"),"সুখী ও আনন্দময়")</f>
        <v>সুখী ও আনন্দময়</v>
      </c>
      <c r="E65" s="4" t="str">
        <f>IFERROR(__xludf.DUMMYFUNCTION("GOOGLETRANSLATE(N65, ""en"", ""bn"")"),"মনোযোগী এবং দৃঢ়প্রতিজ্ঞ")</f>
        <v>মনোযোগী এবং দৃঢ়প্রতিজ্ঞ</v>
      </c>
      <c r="F65" s="4" t="str">
        <f>IFERROR(__xludf.DUMMYFUNCTION("GOOGLETRANSLATE(O65, ""en"", ""bn"")"),"ভীত")</f>
        <v>ভীত</v>
      </c>
      <c r="G65" s="4" t="str">
        <f>IFERROR(__xludf.DUMMYFUNCTION("GOOGLETRANSLATE(P65, ""en"", ""bn"")"),"মনোযোগী এবং দৃঢ়প্রতিজ্ঞ")</f>
        <v>মনোযোগী এবং দৃঢ়প্রতিজ্ঞ</v>
      </c>
      <c r="H65" s="4" t="str">
        <f>IFERROR(__xludf.DUMMYFUNCTION("GOOGLETRANSLATE(Q65, ""en"", ""bn"")"),"ছবি2")</f>
        <v>ছবি2</v>
      </c>
      <c r="J65" s="5" t="str">
        <f>IFERROR(__xludf.DUMMYFUNCTION("GOOGLETRANSLATE(A65, ""bn"", ""en"")"),"64")</f>
        <v>64</v>
      </c>
      <c r="K65" s="16" t="s">
        <v>784</v>
      </c>
      <c r="L65" s="16" t="s">
        <v>785</v>
      </c>
      <c r="M65" s="16" t="s">
        <v>786</v>
      </c>
      <c r="N65" s="16" t="s">
        <v>787</v>
      </c>
      <c r="O65" s="16" t="s">
        <v>788</v>
      </c>
      <c r="P65" s="16" t="s">
        <v>787</v>
      </c>
      <c r="Q65" s="7" t="s">
        <v>32</v>
      </c>
    </row>
    <row r="66">
      <c r="A66" s="3">
        <v>65.0</v>
      </c>
      <c r="B66" s="4" t="str">
        <f>IFERROR(__xludf.DUMMYFUNCTION("GOOGLETRANSLATE(K66, ""en"", ""bn"")"),"বাম দিকের লোকটির পরা প্যান্টের রঙ কী?")</f>
        <v>বাম দিকের লোকটির পরা প্যান্টের রঙ কী?</v>
      </c>
      <c r="C66" s="4" t="str">
        <f>IFERROR(__xludf.DUMMYFUNCTION("GOOGLETRANSLATE(L66, ""en"", ""bn"")"),"নীল")</f>
        <v>নীল</v>
      </c>
      <c r="D66" s="4" t="str">
        <f>IFERROR(__xludf.DUMMYFUNCTION("GOOGLETRANSLATE(M66, ""en"", ""bn"")"),"কালো")</f>
        <v>কালো</v>
      </c>
      <c r="E66" s="4" t="str">
        <f>IFERROR(__xludf.DUMMYFUNCTION("GOOGLETRANSLATE(N66, ""en"", ""bn"")"),"সবুজ")</f>
        <v>সবুজ</v>
      </c>
      <c r="F66" s="4" t="str">
        <f>IFERROR(__xludf.DUMMYFUNCTION("GOOGLETRANSLATE(O66, ""en"", ""bn"")"),"লাল")</f>
        <v>লাল</v>
      </c>
      <c r="G66" s="4" t="str">
        <f>IFERROR(__xludf.DUMMYFUNCTION("GOOGLETRANSLATE(P66, ""en"", ""bn"")"),"সবুজ")</f>
        <v>সবুজ</v>
      </c>
      <c r="H66" s="4" t="str">
        <f>IFERROR(__xludf.DUMMYFUNCTION("GOOGLETRANSLATE(Q66, ""en"", ""bn"")"),"ছবি2")</f>
        <v>ছবি2</v>
      </c>
      <c r="J66" s="5" t="str">
        <f>IFERROR(__xludf.DUMMYFUNCTION("GOOGLETRANSLATE(A66, ""bn"", ""en"")"),"65")</f>
        <v>65</v>
      </c>
      <c r="K66" s="16" t="s">
        <v>789</v>
      </c>
      <c r="L66" s="16" t="s">
        <v>274</v>
      </c>
      <c r="M66" s="16" t="s">
        <v>790</v>
      </c>
      <c r="N66" s="16" t="s">
        <v>272</v>
      </c>
      <c r="O66" s="16" t="s">
        <v>275</v>
      </c>
      <c r="P66" s="16" t="s">
        <v>272</v>
      </c>
      <c r="Q66" s="7" t="s">
        <v>32</v>
      </c>
    </row>
    <row r="67">
      <c r="A67" s="3">
        <v>66.0</v>
      </c>
      <c r="B67" s="4" t="str">
        <f>IFERROR(__xludf.DUMMYFUNCTION("GOOGLETRANSLATE(K67, ""en"", ""bn"")"),"এই অনুষ্ঠানের সাংস্কৃতিক তাৎপর্য সম্পর্কে কী অনুমান করা যেতে পারে?")</f>
        <v>এই অনুষ্ঠানের সাংস্কৃতিক তাৎপর্য সম্পর্কে কী অনুমান করা যেতে পারে?</v>
      </c>
      <c r="C67" s="4" t="str">
        <f>IFERROR(__xludf.DUMMYFUNCTION("GOOGLETRANSLATE(L67, ""en"", ""bn"")"),"এটি একটি স্বতঃস্ফূর্ত সমাবেশ")</f>
        <v>এটি একটি স্বতঃস্ফূর্ত সমাবেশ</v>
      </c>
      <c r="D67" s="4" t="str">
        <f>IFERROR(__xludf.DUMMYFUNCTION("GOOGLETRANSLATE(M67, ""en"", ""bn"")"),"এটি একটি ঐতিহ্যবাহী সাংস্কৃতিক খেলা বা উৎসব")</f>
        <v>এটি একটি ঐতিহ্যবাহী সাংস্কৃতিক খেলা বা উৎসব</v>
      </c>
      <c r="E67" s="4" t="str">
        <f>IFERROR(__xludf.DUMMYFUNCTION("GOOGLETRANSLATE(N67, ""en"", ""bn"")"),"এটা একটা সামরিক মহড়া")</f>
        <v>এটা একটা সামরিক মহড়া</v>
      </c>
      <c r="F67" s="4" t="str">
        <f>IFERROR(__xludf.DUMMYFUNCTION("GOOGLETRANSLATE(O67, ""en"", ""bn"")"),"এটি একটি আধুনিক প্রতিযোগিতামূলক খেলা")</f>
        <v>এটি একটি আধুনিক প্রতিযোগিতামূলক খেলা</v>
      </c>
      <c r="G67" s="4" t="str">
        <f>IFERROR(__xludf.DUMMYFUNCTION("GOOGLETRANSLATE(P67, ""en"", ""bn"")"),"এটি একটি ঐতিহ্যবাহী সাংস্কৃতিক খেলা বা উৎসব")</f>
        <v>এটি একটি ঐতিহ্যবাহী সাংস্কৃতিক খেলা বা উৎসব</v>
      </c>
      <c r="H67" s="4" t="str">
        <f>IFERROR(__xludf.DUMMYFUNCTION("GOOGLETRANSLATE(Q67, ""en"", ""bn"")"),"ছবি2")</f>
        <v>ছবি2</v>
      </c>
      <c r="J67" s="5" t="str">
        <f>IFERROR(__xludf.DUMMYFUNCTION("GOOGLETRANSLATE(A67, ""bn"", ""en"")"),"66")</f>
        <v>66</v>
      </c>
      <c r="K67" s="16" t="s">
        <v>791</v>
      </c>
      <c r="L67" s="16" t="s">
        <v>792</v>
      </c>
      <c r="M67" s="16" t="s">
        <v>793</v>
      </c>
      <c r="N67" s="16" t="s">
        <v>794</v>
      </c>
      <c r="O67" s="16" t="s">
        <v>795</v>
      </c>
      <c r="P67" s="16" t="s">
        <v>793</v>
      </c>
      <c r="Q67" s="7" t="s">
        <v>32</v>
      </c>
      <c r="R67" s="17"/>
      <c r="S67" s="17"/>
    </row>
    <row r="68">
      <c r="A68" s="3">
        <v>67.0</v>
      </c>
      <c r="B68" s="4" t="str">
        <f>IFERROR(__xludf.DUMMYFUNCTION("GOOGLETRANSLATE(K68, ""en"", ""bn"")"),"ভিড়ের বেশিরভাগ মানুষের লিঙ্গ কী?")</f>
        <v>ভিড়ের বেশিরভাগ মানুষের লিঙ্গ কী?</v>
      </c>
      <c r="C68" s="4" t="str">
        <f>IFERROR(__xludf.DUMMYFUNCTION("GOOGLETRANSLATE(L68, ""en"", ""bn"")"),"শুধুমাত্র পুরুষদের জন্য")</f>
        <v>শুধুমাত্র পুরুষদের জন্য</v>
      </c>
      <c r="D68" s="4" t="str">
        <f>IFERROR(__xludf.DUMMYFUNCTION("GOOGLETRANSLATE(M68, ""en"", ""bn"")"),"শুধু নারী")</f>
        <v>শুধু নারী</v>
      </c>
      <c r="E68" s="4" t="str">
        <f>IFERROR(__xludf.DUMMYFUNCTION("GOOGLETRANSLATE(N68, ""en"", ""bn"")"),"পুরুষ এবং মহিলা উভয়ই")</f>
        <v>পুরুষ এবং মহিলা উভয়ই</v>
      </c>
      <c r="F68" s="4" t="str">
        <f>IFERROR(__xludf.DUMMYFUNCTION("GOOGLETRANSLATE(O68, ""en"", ""bn"")"),"বেশিরভাগই শিশু")</f>
        <v>বেশিরভাগই শিশু</v>
      </c>
      <c r="G68" s="4" t="str">
        <f>IFERROR(__xludf.DUMMYFUNCTION("GOOGLETRANSLATE(P68, ""en"", ""bn"")"),"পুরুষ এবং মহিলা উভয়ই")</f>
        <v>পুরুষ এবং মহিলা উভয়ই</v>
      </c>
      <c r="H68" s="4" t="str">
        <f>IFERROR(__xludf.DUMMYFUNCTION("GOOGLETRANSLATE(Q68, ""en"", ""bn"")"),"ছবি2")</f>
        <v>ছবি2</v>
      </c>
      <c r="J68" s="5" t="str">
        <f>IFERROR(__xludf.DUMMYFUNCTION("GOOGLETRANSLATE(A68, ""bn"", ""en"")"),"67")</f>
        <v>67</v>
      </c>
      <c r="K68" s="16" t="s">
        <v>796</v>
      </c>
      <c r="L68" s="16" t="s">
        <v>797</v>
      </c>
      <c r="M68" s="16" t="s">
        <v>798</v>
      </c>
      <c r="N68" s="16" t="s">
        <v>799</v>
      </c>
      <c r="O68" s="16" t="s">
        <v>800</v>
      </c>
      <c r="P68" s="16" t="s">
        <v>799</v>
      </c>
      <c r="Q68" s="7" t="s">
        <v>32</v>
      </c>
    </row>
    <row r="69">
      <c r="A69" s="3">
        <v>68.0</v>
      </c>
      <c r="B69" s="4" t="str">
        <f>IFERROR(__xludf.DUMMYFUNCTION("GOOGLETRANSLATE(K69, ""en"", ""bn"")"),"ভিড়ের সামনের সারিতে বসে থাকা বা বসে থাকা ব্যক্তিদের ভূমিকা কী?")</f>
        <v>ভিড়ের সামনের সারিতে বসে থাকা বা বসে থাকা ব্যক্তিদের ভূমিকা কী?</v>
      </c>
      <c r="C69" s="4" t="str">
        <f>IFERROR(__xludf.DUMMYFUNCTION("GOOGLETRANSLATE(L69, ""en"", ""bn"")"),"তারাও অভিনয়শিল্পী।")</f>
        <v>তারাও অভিনয়শিল্পী।</v>
      </c>
      <c r="D69" s="4" t="str">
        <f>IFERROR(__xludf.DUMMYFUNCTION("GOOGLETRANSLATE(M69, ""en"", ""bn"")"),"তারা বিচারক।")</f>
        <v>তারা বিচারক।</v>
      </c>
      <c r="E69" s="4" t="str">
        <f>IFERROR(__xludf.DUMMYFUNCTION("GOOGLETRANSLATE(N69, ""en"", ""bn"")"),"তারা একটি ঘনিষ্ঠ দৃশ্য সঙ্গে দর্শক সদস্য")</f>
        <v>তারা একটি ঘনিষ্ঠ দৃশ্য সঙ্গে দর্শক সদস্য</v>
      </c>
      <c r="F69" s="4" t="str">
        <f>IFERROR(__xludf.DUMMYFUNCTION("GOOGLETRANSLATE(O69, ""en"", ""bn"")"),"তারা নিরাপত্তারক্ষী")</f>
        <v>তারা নিরাপত্তারক্ষী</v>
      </c>
      <c r="G69" s="4" t="str">
        <f>IFERROR(__xludf.DUMMYFUNCTION("GOOGLETRANSLATE(P69, ""en"", ""bn"")"),"তারা একটি ঘনিষ্ঠ দৃশ্য সঙ্গে দর্শক সদস্য")</f>
        <v>তারা একটি ঘনিষ্ঠ দৃশ্য সঙ্গে দর্শক সদস্য</v>
      </c>
      <c r="H69" s="4" t="str">
        <f>IFERROR(__xludf.DUMMYFUNCTION("GOOGLETRANSLATE(Q69, ""en"", ""bn"")"),"ছবি2")</f>
        <v>ছবি2</v>
      </c>
      <c r="J69" s="5" t="str">
        <f>IFERROR(__xludf.DUMMYFUNCTION("GOOGLETRANSLATE(A69, ""bn"", ""en"")"),"68")</f>
        <v>68</v>
      </c>
      <c r="K69" s="16" t="s">
        <v>801</v>
      </c>
      <c r="L69" s="16" t="s">
        <v>802</v>
      </c>
      <c r="M69" s="16" t="s">
        <v>803</v>
      </c>
      <c r="N69" s="16" t="s">
        <v>804</v>
      </c>
      <c r="O69" s="16" t="s">
        <v>805</v>
      </c>
      <c r="P69" s="16" t="s">
        <v>804</v>
      </c>
      <c r="Q69" s="7" t="s">
        <v>32</v>
      </c>
    </row>
    <row r="70">
      <c r="A70" s="3">
        <v>69.0</v>
      </c>
      <c r="B70" s="4" t="str">
        <f>IFERROR(__xludf.DUMMYFUNCTION("GOOGLETRANSLATE(K70, ""en"", ""bn"")"),"অংশগ্রহণকারীরা কী ধরণের পোশাক পরেছেন?")</f>
        <v>অংশগ্রহণকারীরা কী ধরণের পোশাক পরেছেন?</v>
      </c>
      <c r="C70" s="4" t="str">
        <f>IFERROR(__xludf.DUMMYFUNCTION("GOOGLETRANSLATE(L70, ""en"", ""bn"")"),"ভারী, প্রতিরক্ষামূলক বর্ম")</f>
        <v>ভারী, প্রতিরক্ষামূলক বর্ম</v>
      </c>
      <c r="D70" s="4" t="str">
        <f>IFERROR(__xludf.DUMMYFUNCTION("GOOGLETRANSLATE(M70, ""en"", ""bn"")"),"টি-শার্ট এবং জিন্স")</f>
        <v>টি-শার্ট এবং জিন্স</v>
      </c>
      <c r="E70" s="4" t="str">
        <f>IFERROR(__xludf.DUMMYFUNCTION("GOOGLETRANSLATE(N70, ""en"", ""bn"")"),"সাধারণ, নিত্যদিনের পোশাক")</f>
        <v>সাধারণ, নিত্যদিনের পোশাক</v>
      </c>
      <c r="F70" s="4" t="str">
        <f>IFERROR(__xludf.DUMMYFUNCTION("GOOGLETRANSLATE(O70, ""en"", ""bn"")"),"স্যুট")</f>
        <v>স্যুট</v>
      </c>
      <c r="G70" s="4" t="str">
        <f>IFERROR(__xludf.DUMMYFUNCTION("GOOGLETRANSLATE(P70, ""en"", ""bn"")"),"সাধারণ, নিত্যদিনের পোশাক")</f>
        <v>সাধারণ, নিত্যদিনের পোশাক</v>
      </c>
      <c r="H70" s="4" t="str">
        <f>IFERROR(__xludf.DUMMYFUNCTION("GOOGLETRANSLATE(Q70, ""en"", ""bn"")"),"ছবি2")</f>
        <v>ছবি2</v>
      </c>
      <c r="J70" s="5" t="str">
        <f>IFERROR(__xludf.DUMMYFUNCTION("GOOGLETRANSLATE(A70, ""bn"", ""en"")"),"69")</f>
        <v>69</v>
      </c>
      <c r="K70" s="16" t="s">
        <v>806</v>
      </c>
      <c r="L70" s="16" t="s">
        <v>807</v>
      </c>
      <c r="M70" s="16" t="s">
        <v>808</v>
      </c>
      <c r="N70" s="16" t="s">
        <v>809</v>
      </c>
      <c r="O70" s="16" t="s">
        <v>810</v>
      </c>
      <c r="P70" s="16" t="s">
        <v>809</v>
      </c>
      <c r="Q70" s="7" t="s">
        <v>32</v>
      </c>
    </row>
    <row r="71">
      <c r="A71" s="3">
        <v>70.0</v>
      </c>
      <c r="B71" s="4" t="str">
        <f>IFERROR(__xludf.DUMMYFUNCTION("GOOGLETRANSLATE(K71, ""en"", ""bn"")"),"ভিড় এবং সেটিং এর উপর ভিত্তি করে, দিনের কোন সময়ে ইভেন্টটি ঘটতে পারে?")</f>
        <v>ভিড় এবং সেটিং এর উপর ভিত্তি করে, দিনের কোন সময়ে ইভেন্টটি ঘটতে পারে?</v>
      </c>
      <c r="C71" s="4" t="str">
        <f>IFERROR(__xludf.DUMMYFUNCTION("GOOGLETRANSLATE(L71, ""en"", ""bn"")"),"গভীর রাতে")</f>
        <v>গভীর রাতে</v>
      </c>
      <c r="D71" s="4" t="str">
        <f>IFERROR(__xludf.DUMMYFUNCTION("GOOGLETRANSLATE(M71, ""en"", ""bn"")"),"ভোরবেলা")</f>
        <v>ভোরবেলা</v>
      </c>
      <c r="E71" s="4" t="str">
        <f>IFERROR(__xludf.DUMMYFUNCTION("GOOGLETRANSLATE(N71, ""en"", ""bn"")"),"দিনের বেলায়")</f>
        <v>দিনের বেলায়</v>
      </c>
      <c r="F71" s="4" t="str">
        <f>IFERROR(__xludf.DUMMYFUNCTION("GOOGLETRANSLATE(O71, ""en"", ""bn"")"),"সন্ধ্যাবেলা")</f>
        <v>সন্ধ্যাবেলা</v>
      </c>
      <c r="G71" s="4" t="str">
        <f>IFERROR(__xludf.DUMMYFUNCTION("GOOGLETRANSLATE(P71, ""en"", ""bn"")"),"দিনের বেলায়")</f>
        <v>দিনের বেলায়</v>
      </c>
      <c r="H71" s="4" t="str">
        <f>IFERROR(__xludf.DUMMYFUNCTION("GOOGLETRANSLATE(Q71, ""en"", ""bn"")"),"ছবি2")</f>
        <v>ছবি2</v>
      </c>
      <c r="J71" s="5" t="str">
        <f>IFERROR(__xludf.DUMMYFUNCTION("GOOGLETRANSLATE(A71, ""bn"", ""en"")"),"70")</f>
        <v>70</v>
      </c>
      <c r="K71" s="16" t="s">
        <v>811</v>
      </c>
      <c r="L71" s="16" t="s">
        <v>812</v>
      </c>
      <c r="M71" s="16" t="s">
        <v>813</v>
      </c>
      <c r="N71" s="16" t="s">
        <v>814</v>
      </c>
      <c r="O71" s="16" t="s">
        <v>815</v>
      </c>
      <c r="P71" s="16" t="s">
        <v>814</v>
      </c>
      <c r="Q71" s="7" t="s">
        <v>32</v>
      </c>
    </row>
    <row r="72">
      <c r="A72" s="3">
        <v>71.0</v>
      </c>
      <c r="B72" s="4" t="str">
        <f>IFERROR(__xludf.DUMMYFUNCTION("GOOGLETRANSLATE(K72, ""en"", ""bn"")"),"ডানদিকের লোকটির ভঙ্গি কী?")</f>
        <v>ডানদিকের লোকটির ভঙ্গি কী?</v>
      </c>
      <c r="C72" s="4" t="str">
        <f>IFERROR(__xludf.DUMMYFUNCTION("GOOGLETRANSLATE(L72, ""en"", ""bn"")"),"হাত বাড়িয়ে নিচু হয়ে শুয়ে আছে")</f>
        <v>হাত বাড়িয়ে নিচু হয়ে শুয়ে আছে</v>
      </c>
      <c r="D72" s="4" t="str">
        <f>IFERROR(__xludf.DUMMYFUNCTION("GOOGLETRANSLATE(M72, ""en"", ""bn"")"),"লম্বা এবং সোজা হয়ে দাঁড়িয়ে থাকা")</f>
        <v>লম্বা এবং সোজা হয়ে দাঁড়িয়ে থাকা</v>
      </c>
      <c r="E72" s="4" t="str">
        <f>IFERROR(__xludf.DUMMYFUNCTION("GOOGLETRANSLATE(N72, ""en"", ""bn"")"),"মাটিতে শুয়ে আছে")</f>
        <v>মাটিতে শুয়ে আছে</v>
      </c>
      <c r="F72" s="4" t="str">
        <f>IFERROR(__xludf.DUMMYFUNCTION("GOOGLETRANSLATE(O72, ""en"", ""bn"")"),"চেয়ারে বসে")</f>
        <v>চেয়ারে বসে</v>
      </c>
      <c r="G72" s="4" t="str">
        <f>IFERROR(__xludf.DUMMYFUNCTION("GOOGLETRANSLATE(P72, ""en"", ""bn"")"),"হাত বাড়িয়ে নিচু হয়ে শুয়ে আছে")</f>
        <v>হাত বাড়িয়ে নিচু হয়ে শুয়ে আছে</v>
      </c>
      <c r="H72" s="4" t="str">
        <f>IFERROR(__xludf.DUMMYFUNCTION("GOOGLETRANSLATE(Q72, ""en"", ""bn"")"),"ছবি3")</f>
        <v>ছবি3</v>
      </c>
      <c r="J72" s="5" t="str">
        <f>IFERROR(__xludf.DUMMYFUNCTION("GOOGLETRANSLATE(A72, ""bn"", ""en"")"),"71")</f>
        <v>71</v>
      </c>
      <c r="K72" s="16" t="s">
        <v>816</v>
      </c>
      <c r="L72" s="16" t="s">
        <v>817</v>
      </c>
      <c r="M72" s="16" t="s">
        <v>818</v>
      </c>
      <c r="N72" s="16" t="s">
        <v>819</v>
      </c>
      <c r="O72" s="16" t="s">
        <v>820</v>
      </c>
      <c r="P72" s="16" t="s">
        <v>817</v>
      </c>
      <c r="Q72" s="7" t="s">
        <v>39</v>
      </c>
    </row>
    <row r="73">
      <c r="A73" s="3">
        <v>72.0</v>
      </c>
      <c r="B73" s="4" t="str">
        <f>IFERROR(__xludf.DUMMYFUNCTION("GOOGLETRANSLATE(K73, ""en"", ""bn"")"),"অগ্রভাগে দুই পুরুষের দ্বারা সঞ্চালিত প্রধান কর্ম কি?")</f>
        <v>অগ্রভাগে দুই পুরুষের দ্বারা সঞ্চালিত প্রধান কর্ম কি?</v>
      </c>
      <c r="C73" s="4" t="str">
        <f>IFERROR(__xludf.DUMMYFUNCTION("GOOGLETRANSLATE(L73, ""en"", ""bn"")"),"লাঠি দিয়ে একটি দ্বন্দ্ব")</f>
        <v>লাঠি দিয়ে একটি দ্বন্দ্ব</v>
      </c>
      <c r="D73" s="4" t="str">
        <f>IFERROR(__xludf.DUMMYFUNCTION("GOOGLETRANSLATE(M73, ""en"", ""bn"")"),"একটি বন্ধুত্বপূর্ণ হ্যান্ডশেক")</f>
        <v>একটি বন্ধুত্বপূর্ণ হ্যান্ডশেক</v>
      </c>
      <c r="E73" s="4" t="str">
        <f>IFERROR(__xludf.DUMMYFUNCTION("GOOGLETRANSLATE(N73, ""en"", ""bn"")"),"একটি জাতি")</f>
        <v>একটি জাতি</v>
      </c>
      <c r="F73" s="4" t="str">
        <f>IFERROR(__xludf.DUMMYFUNCTION("GOOGLETRANSLATE(O73, ""en"", ""bn"")"),"স্কার্ফ সঙ্গে একটি নাচ")</f>
        <v>স্কার্ফ সঙ্গে একটি নাচ</v>
      </c>
      <c r="G73" s="4" t="str">
        <f>IFERROR(__xludf.DUMMYFUNCTION("GOOGLETRANSLATE(P73, ""en"", ""bn"")"),"লাঠি দিয়ে একটি দ্বন্দ্ব")</f>
        <v>লাঠি দিয়ে একটি দ্বন্দ্ব</v>
      </c>
      <c r="H73" s="4" t="str">
        <f>IFERROR(__xludf.DUMMYFUNCTION("GOOGLETRANSLATE(Q73, ""en"", ""bn"")"),"ছবি3")</f>
        <v>ছবি3</v>
      </c>
      <c r="J73" s="5" t="str">
        <f>IFERROR(__xludf.DUMMYFUNCTION("GOOGLETRANSLATE(A73, ""bn"", ""en"")"),"72")</f>
        <v>72</v>
      </c>
      <c r="K73" s="16" t="s">
        <v>821</v>
      </c>
      <c r="L73" s="16" t="s">
        <v>822</v>
      </c>
      <c r="M73" s="16" t="s">
        <v>823</v>
      </c>
      <c r="N73" s="16" t="s">
        <v>824</v>
      </c>
      <c r="O73" s="16" t="s">
        <v>825</v>
      </c>
      <c r="P73" s="16" t="s">
        <v>822</v>
      </c>
      <c r="Q73" s="7" t="s">
        <v>39</v>
      </c>
    </row>
    <row r="74">
      <c r="A74" s="3">
        <v>73.0</v>
      </c>
      <c r="B74" s="4" t="str">
        <f>IFERROR(__xludf.DUMMYFUNCTION("GOOGLETRANSLATE(K74, ""en"", ""bn"")"),"লাঠি খেলার এই বিশেষ প্রদর্শনীতে অংশগ্রহণকারীদের সম্ভাব্য বয়স কত?")</f>
        <v>লাঠি খেলার এই বিশেষ প্রদর্শনীতে অংশগ্রহণকারীদের সম্ভাব্য বয়স কত?</v>
      </c>
      <c r="C74" s="4" t="str">
        <f>IFERROR(__xludf.DUMMYFUNCTION("GOOGLETRANSLATE(L74, ""en"", ""bn"")"),"তাদের বিশের কোঠায়")</f>
        <v>তাদের বিশের কোঠায়</v>
      </c>
      <c r="D74" s="4" t="str">
        <f>IFERROR(__xludf.DUMMYFUNCTION("GOOGLETRANSLATE(M74, ""en"", ""bn"")"),"চল্লিশের কোঠায়")</f>
        <v>চল্লিশের কোঠায়</v>
      </c>
      <c r="E74" s="4" t="str">
        <f>IFERROR(__xludf.DUMMYFUNCTION("GOOGLETRANSLATE(N74, ""en"", ""bn"")"),"বয়স্ক পুরুষরা")</f>
        <v>বয়স্ক পুরুষরা</v>
      </c>
      <c r="F74" s="4" t="str">
        <f>IFERROR(__xludf.DUMMYFUNCTION("GOOGLETRANSLATE(O74, ""en"", ""bn"")"),"শিশুরা")</f>
        <v>শিশুরা</v>
      </c>
      <c r="G74" s="4" t="str">
        <f>IFERROR(__xludf.DUMMYFUNCTION("GOOGLETRANSLATE(P74, ""en"", ""bn"")"),"বয়স্ক পুরুষরা")</f>
        <v>বয়স্ক পুরুষরা</v>
      </c>
      <c r="H74" s="4" t="str">
        <f>IFERROR(__xludf.DUMMYFUNCTION("GOOGLETRANSLATE(Q74, ""en"", ""bn"")"),"ছবি3")</f>
        <v>ছবি3</v>
      </c>
      <c r="J74" s="5" t="str">
        <f>IFERROR(__xludf.DUMMYFUNCTION("GOOGLETRANSLATE(A74, ""bn"", ""en"")"),"73")</f>
        <v>73</v>
      </c>
      <c r="K74" s="16" t="s">
        <v>826</v>
      </c>
      <c r="L74" s="16" t="s">
        <v>827</v>
      </c>
      <c r="M74" s="16" t="s">
        <v>828</v>
      </c>
      <c r="N74" s="16" t="s">
        <v>829</v>
      </c>
      <c r="O74" s="16" t="s">
        <v>830</v>
      </c>
      <c r="P74" s="16" t="s">
        <v>829</v>
      </c>
      <c r="Q74" s="7" t="s">
        <v>39</v>
      </c>
    </row>
    <row r="75">
      <c r="A75" s="3">
        <v>74.0</v>
      </c>
      <c r="B75" s="4" t="str">
        <f>IFERROR(__xludf.DUMMYFUNCTION("GOOGLETRANSLATE(K75, ""en"", ""bn"")"),"বাম দিকের লোকটির পরা পোশাক সম্পর্কে কী অনুমান করা যেতে পারে?")</f>
        <v>বাম দিকের লোকটির পরা পোশাক সম্পর্কে কী অনুমান করা যেতে পারে?</v>
      </c>
      <c r="C75" s="4" t="str">
        <f>IFERROR(__xludf.DUMMYFUNCTION("GOOGLETRANSLATE(L75, ""en"", ""bn"")"),"এটি একটি আধুনিক অ্যাথলেটিক ইউনিফর্ম।")</f>
        <v>এটি একটি আধুনিক অ্যাথলেটিক ইউনিফর্ম।</v>
      </c>
      <c r="D75" s="4" t="str">
        <f>IFERROR(__xludf.DUMMYFUNCTION("GOOGLETRANSLATE(M75, ""en"", ""bn"")"),"এটি একটি ঐতিহ্যবাহী বাঙালি লুঙ্গি।")</f>
        <v>এটি একটি ঐতিহ্যবাহী বাঙালি লুঙ্গি।</v>
      </c>
      <c r="E75" s="4" t="str">
        <f>IFERROR(__xludf.DUMMYFUNCTION("GOOGLETRANSLATE(N75, ""en"", ""bn"")"),"এটি একটি আনুষ্ঠানিক স্যুট।")</f>
        <v>এটি একটি আনুষ্ঠানিক স্যুট।</v>
      </c>
      <c r="F75" s="4" t="str">
        <f>IFERROR(__xludf.DUMMYFUNCTION("GOOGLETRANSLATE(O75, ""en"", ""bn"")"),"এটি একটি সামরিক ইউনিফর্ম")</f>
        <v>এটি একটি সামরিক ইউনিফর্ম</v>
      </c>
      <c r="G75" s="4" t="str">
        <f>IFERROR(__xludf.DUMMYFUNCTION("GOOGLETRANSLATE(P75, ""en"", ""bn"")"),"এটি একটি ঐতিহ্যবাহী বাঙালি লুঙ্গি।")</f>
        <v>এটি একটি ঐতিহ্যবাহী বাঙালি লুঙ্গি।</v>
      </c>
      <c r="H75" s="4" t="str">
        <f>IFERROR(__xludf.DUMMYFUNCTION("GOOGLETRANSLATE(Q75, ""en"", ""bn"")"),"ছবি3")</f>
        <v>ছবি3</v>
      </c>
      <c r="J75" s="5" t="str">
        <f>IFERROR(__xludf.DUMMYFUNCTION("GOOGLETRANSLATE(A75, ""bn"", ""en"")"),"74")</f>
        <v>74</v>
      </c>
      <c r="K75" s="16" t="s">
        <v>831</v>
      </c>
      <c r="L75" s="16" t="s">
        <v>832</v>
      </c>
      <c r="M75" s="16" t="s">
        <v>833</v>
      </c>
      <c r="N75" s="16" t="s">
        <v>834</v>
      </c>
      <c r="O75" s="16" t="s">
        <v>835</v>
      </c>
      <c r="P75" s="16" t="s">
        <v>833</v>
      </c>
      <c r="Q75" s="7" t="s">
        <v>39</v>
      </c>
    </row>
    <row r="76">
      <c r="A76" s="3">
        <v>75.0</v>
      </c>
      <c r="B76" s="4" t="str">
        <f>IFERROR(__xludf.DUMMYFUNCTION("GOOGLETRANSLATE(K76, ""en"", ""bn"")"),"দর্শকদের মধ্যে শিশুদের সাধারণ মেজাজ কেমন?")</f>
        <v>দর্শকদের মধ্যে শিশুদের সাধারণ মেজাজ কেমন?</v>
      </c>
      <c r="C76" s="4" t="str">
        <f>IFERROR(__xludf.DUMMYFUNCTION("GOOGLETRANSLATE(L76, ""en"", ""bn"")"),"ভীত এবং লুকিয়ে থাকা")</f>
        <v>ভীত এবং লুকিয়ে থাকা</v>
      </c>
      <c r="D76" s="4" t="str">
        <f>IFERROR(__xludf.DUMMYFUNCTION("GOOGLETRANSLATE(M76, ""en"", ""bn"")"),"নিযুক্ত এবং মনোযোগ সহকারে দেখছেন")</f>
        <v>নিযুক্ত এবং মনোযোগ সহকারে দেখছেন</v>
      </c>
      <c r="E76" s="4" t="str">
        <f>IFERROR(__xludf.DUMMYFUNCTION("GOOGLETRANSLATE(N76, ""en"", ""bn"")"),"বিরক্ত হয়ে অন্যদিকে তাকিয়ে আছে")</f>
        <v>বিরক্ত হয়ে অন্যদিকে তাকিয়ে আছে</v>
      </c>
      <c r="F76" s="4" t="str">
        <f>IFERROR(__xludf.DUMMYFUNCTION("GOOGLETRANSLATE(O76, ""en"", ""bn"")"),"ঘুমন্ত")</f>
        <v>ঘুমন্ত</v>
      </c>
      <c r="G76" s="4" t="str">
        <f>IFERROR(__xludf.DUMMYFUNCTION("GOOGLETRANSLATE(P76, ""en"", ""bn"")"),"নিযুক্ত এবং মনোযোগ সহকারে দেখছেন")</f>
        <v>নিযুক্ত এবং মনোযোগ সহকারে দেখছেন</v>
      </c>
      <c r="H76" s="4" t="str">
        <f>IFERROR(__xludf.DUMMYFUNCTION("GOOGLETRANSLATE(Q76, ""en"", ""bn"")"),"ছবি3")</f>
        <v>ছবি3</v>
      </c>
      <c r="J76" s="5" t="str">
        <f>IFERROR(__xludf.DUMMYFUNCTION("GOOGLETRANSLATE(A76, ""bn"", ""en"")"),"75")</f>
        <v>75</v>
      </c>
      <c r="K76" s="16" t="s">
        <v>836</v>
      </c>
      <c r="L76" s="16" t="s">
        <v>837</v>
      </c>
      <c r="M76" s="16" t="s">
        <v>838</v>
      </c>
      <c r="N76" s="16" t="s">
        <v>839</v>
      </c>
      <c r="O76" s="16" t="s">
        <v>840</v>
      </c>
      <c r="P76" s="16" t="s">
        <v>838</v>
      </c>
      <c r="Q76" s="7" t="s">
        <v>39</v>
      </c>
      <c r="R76" s="17"/>
    </row>
    <row r="77">
      <c r="A77" s="3">
        <v>76.0</v>
      </c>
      <c r="B77" s="4" t="str">
        <f>IFERROR(__xludf.DUMMYFUNCTION("GOOGLETRANSLATE(K77, ""en"", ""bn"")"),"কি ধরনের পরিবেশে ঘটনা ঘটছে?")</f>
        <v>কি ধরনের পরিবেশে ঘটনা ঘটছে?</v>
      </c>
      <c r="C77" s="4" t="str">
        <f>IFERROR(__xludf.DUMMYFUNCTION("GOOGLETRANSLATE(L77, ""en"", ""bn"")"),"একটি শহরের পার্ক")</f>
        <v>একটি শহরের পার্ক</v>
      </c>
      <c r="D77" s="4" t="str">
        <f>IFERROR(__xludf.DUMMYFUNCTION("GOOGLETRANSLATE(M77, ""en"", ""bn"")"),"একটি অভ্যন্তরীণ আখড়া")</f>
        <v>একটি অভ্যন্তরীণ আখড়া</v>
      </c>
      <c r="E77" s="4" t="str">
        <f>IFERROR(__xludf.DUMMYFUNCTION("GOOGLETRANSLATE(N77, ""en"", ""bn"")"),"গ্রামীণ মাঠ")</f>
        <v>গ্রামীণ মাঠ</v>
      </c>
      <c r="F77" s="4" t="str">
        <f>IFERROR(__xludf.DUMMYFUNCTION("GOOGLETRANSLATE(O77, ""en"", ""bn"")"),"জনাকীর্ণ রাস্তা।")</f>
        <v>জনাকীর্ণ রাস্তা।</v>
      </c>
      <c r="G77" s="4" t="str">
        <f>IFERROR(__xludf.DUMMYFUNCTION("GOOGLETRANSLATE(P77, ""en"", ""bn"")"),"গ্রামীণ মাঠ")</f>
        <v>গ্রামীণ মাঠ</v>
      </c>
      <c r="H77" s="4" t="str">
        <f>IFERROR(__xludf.DUMMYFUNCTION("GOOGLETRANSLATE(Q77, ""en"", ""bn"")"),"ছবি3")</f>
        <v>ছবি3</v>
      </c>
      <c r="J77" s="5" t="str">
        <f>IFERROR(__xludf.DUMMYFUNCTION("GOOGLETRANSLATE(A77, ""bn"", ""en"")"),"76")</f>
        <v>76</v>
      </c>
      <c r="K77" s="16" t="s">
        <v>841</v>
      </c>
      <c r="L77" s="16" t="s">
        <v>842</v>
      </c>
      <c r="M77" s="16" t="s">
        <v>843</v>
      </c>
      <c r="N77" s="16" t="s">
        <v>844</v>
      </c>
      <c r="O77" s="16" t="s">
        <v>845</v>
      </c>
      <c r="P77" s="16" t="s">
        <v>844</v>
      </c>
      <c r="Q77" s="7" t="s">
        <v>39</v>
      </c>
    </row>
    <row r="78">
      <c r="A78" s="3">
        <v>77.0</v>
      </c>
      <c r="B78" s="4" t="str">
        <f>IFERROR(__xludf.DUMMYFUNCTION("GOOGLETRANSLATE(K78, ""en"", ""bn"")"),"অংশগ্রহণকারীদের বর্ধিত বাহু ভঙ্গি তাদের কৌশল সম্পর্কে কী নির্দেশ করে?")</f>
        <v>অংশগ্রহণকারীদের বর্ধিত বাহু ভঙ্গি তাদের কৌশল সম্পর্কে কী নির্দেশ করে?</v>
      </c>
      <c r="C78" s="4" t="str">
        <f>IFERROR(__xludf.DUMMYFUNCTION("GOOGLETRANSLATE(L78, ""en"", ""bn"")"),"তারা আলিঙ্গন করার প্রস্তুতি নিচ্ছে")</f>
        <v>তারা আলিঙ্গন করার প্রস্তুতি নিচ্ছে</v>
      </c>
      <c r="D78" s="4" t="str">
        <f>IFERROR(__xludf.DUMMYFUNCTION("GOOGLETRANSLATE(M78, ""en"", ""bn"")"),"তারা বাধা দিচ্ছে অথবা আঘাত করছে")</f>
        <v>তারা বাধা দিচ্ছে অথবা আঘাত করছে</v>
      </c>
      <c r="E78" s="4" t="str">
        <f>IFERROR(__xludf.DUMMYFUNCTION("GOOGLETRANSLATE(N78, ""en"", ""bn"")"),"তারা কাউকে সংকেত দিচ্ছে")</f>
        <v>তারা কাউকে সংকেত দিচ্ছে</v>
      </c>
      <c r="F78" s="4" t="str">
        <f>IFERROR(__xludf.DUMMYFUNCTION("GOOGLETRANSLATE(O78, ""en"", ""bn"")"),"তারা প্রসারিত হয়")</f>
        <v>তারা প্রসারিত হয়</v>
      </c>
      <c r="G78" s="4" t="str">
        <f>IFERROR(__xludf.DUMMYFUNCTION("GOOGLETRANSLATE(P78, ""en"", ""bn"")"),"তারা বাধা দিচ্ছে অথবা আঘাত করছে")</f>
        <v>তারা বাধা দিচ্ছে অথবা আঘাত করছে</v>
      </c>
      <c r="H78" s="4" t="str">
        <f>IFERROR(__xludf.DUMMYFUNCTION("GOOGLETRANSLATE(Q78, ""en"", ""bn"")"),"ছবি3")</f>
        <v>ছবি3</v>
      </c>
      <c r="J78" s="5" t="str">
        <f>IFERROR(__xludf.DUMMYFUNCTION("GOOGLETRANSLATE(A78, ""bn"", ""en"")"),"77")</f>
        <v>77</v>
      </c>
      <c r="K78" s="16" t="s">
        <v>846</v>
      </c>
      <c r="L78" s="16" t="s">
        <v>847</v>
      </c>
      <c r="M78" s="16" t="s">
        <v>848</v>
      </c>
      <c r="N78" s="16" t="s">
        <v>849</v>
      </c>
      <c r="O78" s="16" t="s">
        <v>850</v>
      </c>
      <c r="P78" s="16" t="s">
        <v>848</v>
      </c>
      <c r="Q78" s="7" t="s">
        <v>39</v>
      </c>
    </row>
    <row r="79">
      <c r="A79" s="3">
        <v>78.0</v>
      </c>
      <c r="B79" s="4" t="str">
        <f>IFERROR(__xludf.DUMMYFUNCTION("GOOGLETRANSLATE(K79, ""en"", ""bn"")"),"লাঠি ব্যবহার করা হচ্ছে সম্পর্কে একটি দৃশ্যমান বিস্তারিত কি?")</f>
        <v>লাঠি ব্যবহার করা হচ্ছে সম্পর্কে একটি দৃশ্যমান বিস্তারিত কি?</v>
      </c>
      <c r="C79" s="4" t="str">
        <f>IFERROR(__xludf.DUMMYFUNCTION("GOOGLETRANSLATE(L79, ""en"", ""bn"")"),"তারা খুব দীর্ঘ এবং ভারী হয়")</f>
        <v>তারা খুব দীর্ঘ এবং ভারী হয়</v>
      </c>
      <c r="D79" s="4" t="str">
        <f>IFERROR(__xludf.DUMMYFUNCTION("GOOGLETRANSLATE(M79, ""en"", ""bn"")"),"তারা খাটো এবং পাতলা।")</f>
        <v>তারা খাটো এবং পাতলা।</v>
      </c>
      <c r="E79" s="4" t="str">
        <f>IFERROR(__xludf.DUMMYFUNCTION("GOOGLETRANSLATE(N79, ""en"", ""bn"")"),"এগুলো ধাতু দিয়ে তৈরি")</f>
        <v>এগুলো ধাতু দিয়ে তৈরি</v>
      </c>
      <c r="F79" s="4" t="str">
        <f>IFERROR(__xludf.DUMMYFUNCTION("GOOGLETRANSLATE(O79, ""en"", ""bn"")"),"তাদের সাথে পতাকা লাগানো আছে")</f>
        <v>তাদের সাথে পতাকা লাগানো আছে</v>
      </c>
      <c r="G79" s="4" t="str">
        <f>IFERROR(__xludf.DUMMYFUNCTION("GOOGLETRANSLATE(P79, ""en"", ""bn"")"),"তারা খাটো এবং পাতলা।")</f>
        <v>তারা খাটো এবং পাতলা।</v>
      </c>
      <c r="H79" s="4" t="str">
        <f>IFERROR(__xludf.DUMMYFUNCTION("GOOGLETRANSLATE(Q79, ""en"", ""bn"")"),"ছবি3")</f>
        <v>ছবি3</v>
      </c>
      <c r="J79" s="5" t="str">
        <f>IFERROR(__xludf.DUMMYFUNCTION("GOOGLETRANSLATE(A79, ""bn"", ""en"")"),"78")</f>
        <v>78</v>
      </c>
      <c r="K79" s="16" t="s">
        <v>851</v>
      </c>
      <c r="L79" s="16" t="s">
        <v>852</v>
      </c>
      <c r="M79" s="16" t="s">
        <v>853</v>
      </c>
      <c r="N79" s="16" t="s">
        <v>854</v>
      </c>
      <c r="O79" s="16" t="s">
        <v>855</v>
      </c>
      <c r="P79" s="16" t="s">
        <v>853</v>
      </c>
      <c r="Q79" s="7" t="s">
        <v>39</v>
      </c>
    </row>
    <row r="80">
      <c r="A80" s="3">
        <v>79.0</v>
      </c>
      <c r="B80" s="4" t="str">
        <f>IFERROR(__xludf.DUMMYFUNCTION("GOOGLETRANSLATE(K80, ""en"", ""bn"")"),"আশেপাশের ভবনগুলির উপর ভিত্তি করে, সবচেয়ে সম্ভাব্য পরিবেশ কোনটি?")</f>
        <v>আশেপাশের ভবনগুলির উপর ভিত্তি করে, সবচেয়ে সম্ভাব্য পরিবেশ কোনটি?</v>
      </c>
      <c r="C80" s="4" t="str">
        <f>IFERROR(__xludf.DUMMYFUNCTION("GOOGLETRANSLATE(L80, ""en"", ""bn"")"),"একটি স্কুল ইয়ার্ড বা কমিউনিটি সেন্টার")</f>
        <v>একটি স্কুল ইয়ার্ড বা কমিউনিটি সেন্টার</v>
      </c>
      <c r="D80" s="4" t="str">
        <f>IFERROR(__xludf.DUMMYFUNCTION("GOOGLETRANSLATE(M80, ""en"", ""bn"")"),"একটি ক্রীড়া কমপ্লেক্স")</f>
        <v>একটি ক্রীড়া কমপ্লেক্স</v>
      </c>
      <c r="E80" s="4" t="str">
        <f>IFERROR(__xludf.DUMMYFUNCTION("GOOGLETRANSLATE(N80, ""en"", ""bn"")"),"একটি বাণিজ্যিক পার্কিং লট")</f>
        <v>একটি বাণিজ্যিক পার্কিং লট</v>
      </c>
      <c r="F80" s="4" t="str">
        <f>IFERROR(__xludf.DUMMYFUNCTION("GOOGLETRANSLATE(O80, ""en"", ""bn"")"),"একটি উন্মুক্ত থিয়েটার")</f>
        <v>একটি উন্মুক্ত থিয়েটার</v>
      </c>
      <c r="G80" s="4" t="str">
        <f>IFERROR(__xludf.DUMMYFUNCTION("GOOGLETRANSLATE(P80, ""en"", ""bn"")"),"একটি স্কুল ইয়ার্ড বা কমিউনিটি সেন্টার")</f>
        <v>একটি স্কুল ইয়ার্ড বা কমিউনিটি সেন্টার</v>
      </c>
      <c r="H80" s="4" t="str">
        <f>IFERROR(__xludf.DUMMYFUNCTION("GOOGLETRANSLATE(Q80, ""en"", ""bn"")"),"ছবি3")</f>
        <v>ছবি3</v>
      </c>
      <c r="J80" s="5" t="str">
        <f>IFERROR(__xludf.DUMMYFUNCTION("GOOGLETRANSLATE(A80, ""bn"", ""en"")"),"79")</f>
        <v>79</v>
      </c>
      <c r="K80" s="16" t="s">
        <v>856</v>
      </c>
      <c r="L80" s="16" t="s">
        <v>857</v>
      </c>
      <c r="M80" s="16" t="s">
        <v>858</v>
      </c>
      <c r="N80" s="16" t="s">
        <v>859</v>
      </c>
      <c r="O80" s="16" t="s">
        <v>860</v>
      </c>
      <c r="P80" s="16" t="s">
        <v>857</v>
      </c>
      <c r="Q80" s="7" t="s">
        <v>39</v>
      </c>
    </row>
    <row r="81">
      <c r="A81" s="3">
        <v>80.0</v>
      </c>
      <c r="B81" s="4" t="str">
        <f>IFERROR(__xludf.DUMMYFUNCTION("GOOGLETRANSLATE(K81, ""en"", ""bn"")"),"এখানে দেখানো লাঠিখেলার পরিবেশনার মূল উপাদান কী?")</f>
        <v>এখানে দেখানো লাঠিখেলার পরিবেশনার মূল উপাদান কী?</v>
      </c>
      <c r="C81" s="4" t="str">
        <f>IFERROR(__xludf.DUMMYFUNCTION("GOOGLETRANSLATE(L81, ""en"", ""bn"")"),"দৌড় প্রতিযোগিতা")</f>
        <v>দৌড় প্রতিযোগিতা</v>
      </c>
      <c r="D81" s="4" t="str">
        <f>IFERROR(__xludf.DUMMYFUNCTION("GOOGLETRANSLATE(M81, ""en"", ""bn"")"),"শক্তি ও দক্ষতার প্রদর্শন")</f>
        <v>শক্তি ও দক্ষতার প্রদর্শন</v>
      </c>
      <c r="E81" s="4" t="str">
        <f>IFERROR(__xludf.DUMMYFUNCTION("GOOGLETRANSLATE(N81, ""en"", ""bn"")"),"একটি নাটকীয় নাটক")</f>
        <v>একটি নাটকীয় নাটক</v>
      </c>
      <c r="F81" s="4" t="str">
        <f>IFERROR(__xludf.DUMMYFUNCTION("GOOGLETRANSLATE(O81, ""en"", ""bn"")"),"একটি গানের প্রতিযোগিতা")</f>
        <v>একটি গানের প্রতিযোগিতা</v>
      </c>
      <c r="G81" s="4" t="str">
        <f>IFERROR(__xludf.DUMMYFUNCTION("GOOGLETRANSLATE(P81, ""en"", ""bn"")"),"শক্তি ও দক্ষতার প্রদর্শন")</f>
        <v>শক্তি ও দক্ষতার প্রদর্শন</v>
      </c>
      <c r="H81" s="4" t="str">
        <f>IFERROR(__xludf.DUMMYFUNCTION("GOOGLETRANSLATE(Q81, ""en"", ""bn"")"),"ছবি3")</f>
        <v>ছবি3</v>
      </c>
      <c r="J81" s="5" t="str">
        <f>IFERROR(__xludf.DUMMYFUNCTION("GOOGLETRANSLATE(A81, ""bn"", ""en"")"),"80")</f>
        <v>80</v>
      </c>
      <c r="K81" s="16" t="s">
        <v>861</v>
      </c>
      <c r="L81" s="16" t="s">
        <v>862</v>
      </c>
      <c r="M81" s="16" t="s">
        <v>863</v>
      </c>
      <c r="N81" s="16" t="s">
        <v>864</v>
      </c>
      <c r="O81" s="16" t="s">
        <v>865</v>
      </c>
      <c r="P81" s="16" t="s">
        <v>863</v>
      </c>
      <c r="Q81" s="7" t="s">
        <v>39</v>
      </c>
    </row>
    <row r="82">
      <c r="A82" s="3">
        <v>81.0</v>
      </c>
      <c r="B82" s="4" t="str">
        <f>IFERROR(__xludf.DUMMYFUNCTION("GOOGLETRANSLATE(K82, ""en"", ""bn"")"),"দুই কেন্দ্রীয় অভিনয়শিল্পীর মূল পোশাক কী?")</f>
        <v>দুই কেন্দ্রীয় অভিনয়শিল্পীর মূল পোশাক কী?</v>
      </c>
      <c r="C82" s="4" t="str">
        <f>IFERROR(__xludf.DUMMYFUNCTION("GOOGLETRANSLATE(L82, ""en"", ""bn"")"),"স্যুট এবং টাই")</f>
        <v>স্যুট এবং টাই</v>
      </c>
      <c r="D82" s="4" t="str">
        <f>IFERROR(__xludf.DUMMYFUNCTION("GOOGLETRANSLATE(M82, ""en"", ""bn"")"),"টি-শার্ট এবং শর্টস")</f>
        <v>টি-শার্ট এবং শর্টস</v>
      </c>
      <c r="E82" s="4" t="str">
        <f>IFERROR(__xludf.DUMMYFUNCTION("GOOGLETRANSLATE(N82, ""en"", ""bn"")"),"রঙিন, frilled স্কার্ট এবং ট্যাংক শীর্ষ")</f>
        <v>রঙিন, frilled স্কার্ট এবং ট্যাংক শীর্ষ</v>
      </c>
      <c r="F82" s="4" t="str">
        <f>IFERROR(__xludf.DUMMYFUNCTION("GOOGLETRANSLATE(O82, ""en"", ""bn"")"),"সামরিক ইউনিফর্ম")</f>
        <v>সামরিক ইউনিফর্ম</v>
      </c>
      <c r="G82" s="4" t="str">
        <f>IFERROR(__xludf.DUMMYFUNCTION("GOOGLETRANSLATE(P82, ""en"", ""bn"")"),"রঙিন, frilled স্কার্ট এবং ট্যাংক শীর্ষ")</f>
        <v>রঙিন, frilled স্কার্ট এবং ট্যাংক শীর্ষ</v>
      </c>
      <c r="H82" s="4" t="str">
        <f>IFERROR(__xludf.DUMMYFUNCTION("GOOGLETRANSLATE(Q82, ""en"", ""bn"")"),"ছবি4")</f>
        <v>ছবি4</v>
      </c>
      <c r="J82" s="5" t="str">
        <f>IFERROR(__xludf.DUMMYFUNCTION("GOOGLETRANSLATE(A82, ""bn"", ""en"")"),"81")</f>
        <v>81</v>
      </c>
      <c r="K82" s="16" t="s">
        <v>866</v>
      </c>
      <c r="L82" s="16" t="s">
        <v>867</v>
      </c>
      <c r="M82" s="16" t="s">
        <v>868</v>
      </c>
      <c r="N82" s="16" t="s">
        <v>869</v>
      </c>
      <c r="O82" s="16" t="s">
        <v>870</v>
      </c>
      <c r="P82" s="16" t="s">
        <v>869</v>
      </c>
      <c r="Q82" s="7" t="s">
        <v>46</v>
      </c>
    </row>
    <row r="83">
      <c r="A83" s="3">
        <v>82.0</v>
      </c>
      <c r="B83" s="4" t="str">
        <f>IFERROR(__xludf.DUMMYFUNCTION("GOOGLETRANSLATE(K83, ""en"", ""bn"")"),"মাঝখানে থাকা ব্যক্তিটি কী বাদ্যযন্ত্রের পিছনে, বাজছে?")</f>
        <v>মাঝখানে থাকা ব্যক্তিটি কী বাদ্যযন্ত্রের পিছনে, বাজছে?</v>
      </c>
      <c r="C83" s="4" t="str">
        <f>IFERROR(__xludf.DUMMYFUNCTION("GOOGLETRANSLATE(L83, ""en"", ""bn"")"),"একটা গিটার")</f>
        <v>একটা গিটার</v>
      </c>
      <c r="D83" s="4" t="str">
        <f>IFERROR(__xludf.DUMMYFUNCTION("GOOGLETRANSLATE(M83, ""en"", ""bn"")"),"একটি বড় ড্রাম (ঢোল)")</f>
        <v>একটি বড় ড্রাম (ঢোল)</v>
      </c>
      <c r="E83" s="4" t="str">
        <f>IFERROR(__xludf.DUMMYFUNCTION("GOOGLETRANSLATE(N83, ""en"", ""bn"")"),"একটি সেতার")</f>
        <v>একটি সেতার</v>
      </c>
      <c r="F83" s="4" t="str">
        <f>IFERROR(__xludf.DUMMYFUNCTION("GOOGLETRANSLATE(O83, ""en"", ""bn"")"),"একটি ট্রাম্পেট")</f>
        <v>একটি ট্রাম্পেট</v>
      </c>
      <c r="G83" s="4" t="str">
        <f>IFERROR(__xludf.DUMMYFUNCTION("GOOGLETRANSLATE(P83, ""en"", ""bn"")"),"একটি বড় ড্রাম (ঢোল)")</f>
        <v>একটি বড় ড্রাম (ঢোল)</v>
      </c>
      <c r="H83" s="4" t="str">
        <f>IFERROR(__xludf.DUMMYFUNCTION("GOOGLETRANSLATE(Q83, ""en"", ""bn"")"),"ছবি4")</f>
        <v>ছবি4</v>
      </c>
      <c r="J83" s="5" t="str">
        <f>IFERROR(__xludf.DUMMYFUNCTION("GOOGLETRANSLATE(A83, ""bn"", ""en"")"),"82")</f>
        <v>82</v>
      </c>
      <c r="K83" s="16" t="s">
        <v>871</v>
      </c>
      <c r="L83" s="16" t="s">
        <v>872</v>
      </c>
      <c r="M83" s="16" t="s">
        <v>739</v>
      </c>
      <c r="N83" s="16" t="s">
        <v>740</v>
      </c>
      <c r="O83" s="16" t="s">
        <v>738</v>
      </c>
      <c r="P83" s="16" t="s">
        <v>739</v>
      </c>
      <c r="Q83" s="7" t="s">
        <v>46</v>
      </c>
    </row>
    <row r="84">
      <c r="A84" s="3">
        <v>83.0</v>
      </c>
      <c r="B84" s="4" t="str">
        <f>IFERROR(__xludf.DUMMYFUNCTION("GOOGLETRANSLATE(K84, ""en"", ""bn"")"),"প্রধান দুই অভিনয়শিল্পীর ভঙ্গি কী?")</f>
        <v>প্রধান দুই অভিনয়শিল্পীর ভঙ্গি কী?</v>
      </c>
      <c r="C84" s="4" t="str">
        <f>IFERROR(__xludf.DUMMYFUNCTION("GOOGLETRANSLATE(L84, ""en"", ""bn"")"),"স্থির হয়ে দাঁড়িয়ে আছে")</f>
        <v>স্থির হয়ে দাঁড়িয়ে আছে</v>
      </c>
      <c r="D84" s="4" t="str">
        <f>IFERROR(__xludf.DUMMYFUNCTION("GOOGLETRANSLATE(M84, ""en"", ""bn"")"),"মাটিতে শুয়ে আছে")</f>
        <v>মাটিতে শুয়ে আছে</v>
      </c>
      <c r="E84" s="4" t="str">
        <f>IFERROR(__xludf.DUMMYFUNCTION("GOOGLETRANSLATE(N84, ""en"", ""bn"")"),"নতজানু হয়ে গতিশীলভাবে চলাফেরা করা")</f>
        <v>নতজানু হয়ে গতিশীলভাবে চলাফেরা করা</v>
      </c>
      <c r="F84" s="4" t="str">
        <f>IFERROR(__xludf.DUMMYFUNCTION("GOOGLETRANSLATE(O84, ""en"", ""bn"")"),"বসা")</f>
        <v>বসা</v>
      </c>
      <c r="G84" s="4" t="str">
        <f>IFERROR(__xludf.DUMMYFUNCTION("GOOGLETRANSLATE(P84, ""en"", ""bn"")"),"নতজানু হয়ে গতিশীলভাবে চলাফেরা করা")</f>
        <v>নতজানু হয়ে গতিশীলভাবে চলাফেরা করা</v>
      </c>
      <c r="H84" s="4" t="str">
        <f>IFERROR(__xludf.DUMMYFUNCTION("GOOGLETRANSLATE(Q84, ""en"", ""bn"")"),"ছবি4")</f>
        <v>ছবি4</v>
      </c>
      <c r="J84" s="5" t="str">
        <f>IFERROR(__xludf.DUMMYFUNCTION("GOOGLETRANSLATE(A84, ""bn"", ""en"")"),"83")</f>
        <v>83</v>
      </c>
      <c r="K84" s="16" t="s">
        <v>873</v>
      </c>
      <c r="L84" s="16" t="s">
        <v>279</v>
      </c>
      <c r="M84" s="16" t="s">
        <v>819</v>
      </c>
      <c r="N84" s="16" t="s">
        <v>874</v>
      </c>
      <c r="O84" s="16" t="s">
        <v>875</v>
      </c>
      <c r="P84" s="16" t="s">
        <v>874</v>
      </c>
      <c r="Q84" s="7" t="s">
        <v>46</v>
      </c>
    </row>
    <row r="85">
      <c r="A85" s="3">
        <v>84.0</v>
      </c>
      <c r="B85" s="4" t="str">
        <f>IFERROR(__xludf.DUMMYFUNCTION("GOOGLETRANSLATE(K85, ""en"", ""bn"")"),"এই ঘটনার অবস্থান সম্পর্কে কী অনুমান করা যেতে পারে?")</f>
        <v>এই ঘটনার অবস্থান সম্পর্কে কী অনুমান করা যেতে পারে?</v>
      </c>
      <c r="C85" s="4" t="str">
        <f>IFERROR(__xludf.DUMMYFUNCTION("GOOGLETRANSLATE(L85, ""en"", ""bn"")"),"একটি শহরের পার্ক")</f>
        <v>একটি শহরের পার্ক</v>
      </c>
      <c r="D85" s="4" t="str">
        <f>IFERROR(__xludf.DUMMYFUNCTION("GOOGLETRANSLATE(M85, ""en"", ""bn"")"),"একটি অভ্যন্তরীণ আখড়া")</f>
        <v>একটি অভ্যন্তরীণ আখড়া</v>
      </c>
      <c r="E85" s="4" t="str">
        <f>IFERROR(__xludf.DUMMYFUNCTION("GOOGLETRANSLATE(N85, ""en"", ""bn"")"),"একটি উন্মুক্ত, গ্রামীণ এলাকা")</f>
        <v>একটি উন্মুক্ত, গ্রামীণ এলাকা</v>
      </c>
      <c r="F85" s="4" t="str">
        <f>IFERROR(__xludf.DUMMYFUNCTION("GOOGLETRANSLATE(O85, ""en"", ""bn"")"),"একটি কনসার্ট হল")</f>
        <v>একটি কনসার্ট হল</v>
      </c>
      <c r="G85" s="4" t="str">
        <f>IFERROR(__xludf.DUMMYFUNCTION("GOOGLETRANSLATE(P85, ""en"", ""bn"")"),"একটি উন্মুক্ত, গ্রামীণ এলাকা")</f>
        <v>একটি উন্মুক্ত, গ্রামীণ এলাকা</v>
      </c>
      <c r="H85" s="4" t="str">
        <f>IFERROR(__xludf.DUMMYFUNCTION("GOOGLETRANSLATE(Q85, ""en"", ""bn"")"),"ছবি4")</f>
        <v>ছবি4</v>
      </c>
      <c r="J85" s="5" t="str">
        <f>IFERROR(__xludf.DUMMYFUNCTION("GOOGLETRANSLATE(A85, ""bn"", ""en"")"),"84")</f>
        <v>84</v>
      </c>
      <c r="K85" s="16" t="s">
        <v>876</v>
      </c>
      <c r="L85" s="16" t="s">
        <v>842</v>
      </c>
      <c r="M85" s="16" t="s">
        <v>843</v>
      </c>
      <c r="N85" s="16" t="s">
        <v>877</v>
      </c>
      <c r="O85" s="16" t="s">
        <v>878</v>
      </c>
      <c r="P85" s="16" t="s">
        <v>877</v>
      </c>
      <c r="Q85" s="7" t="s">
        <v>46</v>
      </c>
    </row>
    <row r="86">
      <c r="A86" s="3">
        <v>85.0</v>
      </c>
      <c r="B86" s="4" t="str">
        <f>IFERROR(__xludf.DUMMYFUNCTION("GOOGLETRANSLATE(K86, ""en"", ""bn"")"),"পারফরম্যান্সে বাদ্যযন্ত্রের সম্ভাব্য উদ্দেশ্য কী?")</f>
        <v>পারফরম্যান্সে বাদ্যযন্ত্রের সম্ভাব্য উদ্দেশ্য কী?</v>
      </c>
      <c r="C86" s="4" t="str">
        <f>IFERROR(__xludf.DUMMYFUNCTION("GOOGLETRANSLATE(L86, ""en"", ""bn"")"),"অভিনয়শিল্পীদের বিনোদন দিতে")</f>
        <v>অভিনয়শিল্পীদের বিনোদন দিতে</v>
      </c>
      <c r="D86" s="4" t="str">
        <f>IFERROR(__xludf.DUMMYFUNCTION("GOOGLETRANSLATE(M86, ""en"", ""bn"")"),"ছন্দ তৈরি করতে এবং কর্মক্ষমতা উন্নত করতে")</f>
        <v>ছন্দ তৈরি করতে এবং কর্মক্ষমতা উন্নত করতে</v>
      </c>
      <c r="E86" s="4" t="str">
        <f>IFERROR(__xludf.DUMMYFUNCTION("GOOGLETRANSLATE(N86, ""en"", ""bn"")"),"ভিড়কে বিভ্রান্ত করার জন্য")</f>
        <v>ভিড়কে বিভ্রান্ত করার জন্য</v>
      </c>
      <c r="F86" s="4" t="str">
        <f>IFERROR(__xludf.DUMMYFUNCTION("GOOGLETRANSLATE(O86, ""en"", ""bn"")"),"শো শেষ হওয়ার সংকেত দিতে")</f>
        <v>শো শেষ হওয়ার সংকেত দিতে</v>
      </c>
      <c r="G86" s="4" t="str">
        <f>IFERROR(__xludf.DUMMYFUNCTION("GOOGLETRANSLATE(P86, ""en"", ""bn"")"),"ছন্দ তৈরি করতে এবং কর্মক্ষমতা উন্নত করতে")</f>
        <v>ছন্দ তৈরি করতে এবং কর্মক্ষমতা উন্নত করতে</v>
      </c>
      <c r="H86" s="4" t="str">
        <f>IFERROR(__xludf.DUMMYFUNCTION("GOOGLETRANSLATE(Q86, ""en"", ""bn"")"),"ছবি4")</f>
        <v>ছবি4</v>
      </c>
      <c r="J86" s="5" t="str">
        <f>IFERROR(__xludf.DUMMYFUNCTION("GOOGLETRANSLATE(A86, ""bn"", ""en"")"),"85")</f>
        <v>85</v>
      </c>
      <c r="K86" s="16" t="s">
        <v>879</v>
      </c>
      <c r="L86" s="16" t="s">
        <v>880</v>
      </c>
      <c r="M86" s="16" t="s">
        <v>881</v>
      </c>
      <c r="N86" s="16" t="s">
        <v>882</v>
      </c>
      <c r="O86" s="16" t="s">
        <v>883</v>
      </c>
      <c r="P86" s="16" t="s">
        <v>881</v>
      </c>
      <c r="Q86" s="7" t="s">
        <v>46</v>
      </c>
    </row>
    <row r="87">
      <c r="A87" s="3">
        <v>86.0</v>
      </c>
      <c r="B87" s="4" t="str">
        <f>IFERROR(__xludf.DUMMYFUNCTION("GOOGLETRANSLATE(K87, ""en"", ""bn"")"),"অভিনয়শিল্পীরা কি ধরনের লাঠি ব্যবহার করছেন?")</f>
        <v>অভিনয়শিল্পীরা কি ধরনের লাঠি ব্যবহার করছেন?</v>
      </c>
      <c r="C87" s="4" t="str">
        <f>IFERROR(__xludf.DUMMYFUNCTION("GOOGLETRANSLATE(L87, ""en"", ""bn"")"),"ভারী কাঠের লগ")</f>
        <v>ভারী কাঠের লগ</v>
      </c>
      <c r="D87" s="4" t="str">
        <f>IFERROR(__xludf.DUMMYFUNCTION("GOOGLETRANSLATE(M87, ""en"", ""bn"")"),"পাতলা বাঁশের লাঠি")</f>
        <v>পাতলা বাঁশের লাঠি</v>
      </c>
      <c r="E87" s="4" t="str">
        <f>IFERROR(__xludf.DUMMYFUNCTION("GOOGLETRANSLATE(N87, ""en"", ""bn"")"),"ধাতব রড")</f>
        <v>ধাতব রড</v>
      </c>
      <c r="F87" s="4" t="str">
        <f>IFERROR(__xludf.DUMMYFUNCTION("GOOGLETRANSLATE(O87, ""en"", ""bn"")"),"প্লাস্টিকের খুঁটি")</f>
        <v>প্লাস্টিকের খুঁটি</v>
      </c>
      <c r="G87" s="4" t="str">
        <f>IFERROR(__xludf.DUMMYFUNCTION("GOOGLETRANSLATE(P87, ""en"", ""bn"")"),"পাতলা বাঁশের লাঠি")</f>
        <v>পাতলা বাঁশের লাঠি</v>
      </c>
      <c r="H87" s="4" t="str">
        <f>IFERROR(__xludf.DUMMYFUNCTION("GOOGLETRANSLATE(Q87, ""en"", ""bn"")"),"ছবি4")</f>
        <v>ছবি4</v>
      </c>
      <c r="J87" s="5" t="str">
        <f>IFERROR(__xludf.DUMMYFUNCTION("GOOGLETRANSLATE(A87, ""bn"", ""en"")"),"86")</f>
        <v>86</v>
      </c>
      <c r="K87" s="16" t="s">
        <v>884</v>
      </c>
      <c r="L87" s="16" t="s">
        <v>885</v>
      </c>
      <c r="M87" s="16" t="s">
        <v>886</v>
      </c>
      <c r="N87" s="16" t="s">
        <v>887</v>
      </c>
      <c r="O87" s="16" t="s">
        <v>888</v>
      </c>
      <c r="P87" s="16" t="s">
        <v>886</v>
      </c>
      <c r="Q87" s="7" t="s">
        <v>46</v>
      </c>
    </row>
    <row r="88">
      <c r="A88" s="3">
        <v>87.0</v>
      </c>
      <c r="B88" s="4" t="str">
        <f>IFERROR(__xludf.DUMMYFUNCTION("GOOGLETRANSLATE(K88, ""en"", ""bn"")"),"নীল শার্টে ডানদিকের লোকটির অভিব্যক্তি কী?")</f>
        <v>নীল শার্টে ডানদিকের লোকটির অভিব্যক্তি কী?</v>
      </c>
      <c r="C88" s="4" t="str">
        <f>IFERROR(__xludf.DUMMYFUNCTION("GOOGLETRANSLATE(L88, ""en"", ""bn"")"),"একঘেয়েমি")</f>
        <v>একঘেয়েমি</v>
      </c>
      <c r="D88" s="4" t="str">
        <f>IFERROR(__xludf.DUMMYFUNCTION("GOOGLETRANSLATE(M88, ""en"", ""bn"")"),"বিভ্রান্তি")</f>
        <v>বিভ্রান্তি</v>
      </c>
      <c r="E88" s="4" t="str">
        <f>IFERROR(__xludf.DUMMYFUNCTION("GOOGLETRANSLATE(N88, ""en"", ""bn"")"),"সুখ এবং ব্যস্ততা")</f>
        <v>সুখ এবং ব্যস্ততা</v>
      </c>
      <c r="F88" s="4" t="str">
        <f>IFERROR(__xludf.DUMMYFUNCTION("GOOGLETRANSLATE(O88, ""en"", ""bn"")"),"রাগ")</f>
        <v>রাগ</v>
      </c>
      <c r="G88" s="4" t="str">
        <f>IFERROR(__xludf.DUMMYFUNCTION("GOOGLETRANSLATE(P88, ""en"", ""bn"")"),"সুখ এবং ব্যস্ততা")</f>
        <v>সুখ এবং ব্যস্ততা</v>
      </c>
      <c r="H88" s="4" t="str">
        <f>IFERROR(__xludf.DUMMYFUNCTION("GOOGLETRANSLATE(Q88, ""en"", ""bn"")"),"ছবি4")</f>
        <v>ছবি4</v>
      </c>
      <c r="J88" s="5" t="str">
        <f>IFERROR(__xludf.DUMMYFUNCTION("GOOGLETRANSLATE(A88, ""bn"", ""en"")"),"87")</f>
        <v>87</v>
      </c>
      <c r="K88" s="16" t="s">
        <v>889</v>
      </c>
      <c r="L88" s="16" t="s">
        <v>890</v>
      </c>
      <c r="M88" s="16" t="s">
        <v>891</v>
      </c>
      <c r="N88" s="16" t="s">
        <v>892</v>
      </c>
      <c r="O88" s="16" t="s">
        <v>893</v>
      </c>
      <c r="P88" s="16" t="s">
        <v>892</v>
      </c>
      <c r="Q88" s="7" t="s">
        <v>46</v>
      </c>
    </row>
    <row r="89">
      <c r="A89" s="3">
        <v>88.0</v>
      </c>
      <c r="B89" s="4" t="str">
        <f>IFERROR(__xludf.DUMMYFUNCTION("GOOGLETRANSLATE(K89, ""en"", ""bn"")"),"অনুষ্ঠানের সার্বিক পরিবেশ কেমন?")</f>
        <v>অনুষ্ঠানের সার্বিক পরিবেশ কেমন?</v>
      </c>
      <c r="C89" s="4" t="str">
        <f>IFERROR(__xludf.DUMMYFUNCTION("GOOGLETRANSLATE(L89, ""en"", ""bn"")"),"গম্ভীর এবং গুরুতর")</f>
        <v>গম্ভীর এবং গুরুতর</v>
      </c>
      <c r="D89" s="4" t="str">
        <f>IFERROR(__xludf.DUMMYFUNCTION("GOOGLETRANSLATE(M89, ""en"", ""bn"")"),"প্রফুল্ল এবং উত্সব")</f>
        <v>প্রফুল্ল এবং উত্সব</v>
      </c>
      <c r="E89" s="4" t="str">
        <f>IFERROR(__xludf.DUMMYFUNCTION("GOOGLETRANSLATE(N89, ""en"", ""bn"")"),"শান্ত এবং প্রতিফলিত")</f>
        <v>শান্ত এবং প্রতিফলিত</v>
      </c>
      <c r="F89" s="4" t="str">
        <f>IFERROR(__xludf.DUMMYFUNCTION("GOOGLETRANSLATE(O89, ""en"", ""bn"")"),"উত্তেজনাপূর্ণ এবং সংঘর্ষমূলক")</f>
        <v>উত্তেজনাপূর্ণ এবং সংঘর্ষমূলক</v>
      </c>
      <c r="G89" s="4" t="str">
        <f>IFERROR(__xludf.DUMMYFUNCTION("GOOGLETRANSLATE(P89, ""en"", ""bn"")"),"প্রফুল্ল এবং উত্সব")</f>
        <v>প্রফুল্ল এবং উত্সব</v>
      </c>
      <c r="H89" s="4" t="str">
        <f>IFERROR(__xludf.DUMMYFUNCTION("GOOGLETRANSLATE(Q89, ""en"", ""bn"")"),"ছবি4")</f>
        <v>ছবি4</v>
      </c>
      <c r="J89" s="5" t="str">
        <f>IFERROR(__xludf.DUMMYFUNCTION("GOOGLETRANSLATE(A89, ""bn"", ""en"")"),"88")</f>
        <v>88</v>
      </c>
      <c r="K89" s="16" t="s">
        <v>894</v>
      </c>
      <c r="L89" s="16" t="s">
        <v>895</v>
      </c>
      <c r="M89" s="16" t="s">
        <v>896</v>
      </c>
      <c r="N89" s="16" t="s">
        <v>897</v>
      </c>
      <c r="O89" s="16" t="s">
        <v>898</v>
      </c>
      <c r="P89" s="16" t="s">
        <v>896</v>
      </c>
      <c r="Q89" s="7" t="s">
        <v>46</v>
      </c>
    </row>
    <row r="90">
      <c r="A90" s="3">
        <v>89.0</v>
      </c>
      <c r="B90" s="4" t="str">
        <f>IFERROR(__xludf.DUMMYFUNCTION("GOOGLETRANSLATE(K90, ""en"", ""bn"")"),"কেন্দ্রীয় পারফর্মারদের ডান ও বাম দিকের দুই ব্যক্তি কী করছেন?")</f>
        <v>কেন্দ্রীয় পারফর্মারদের ডান ও বাম দিকের দুই ব্যক্তি কী করছেন?</v>
      </c>
      <c r="C90" s="4" t="str">
        <f>IFERROR(__xludf.DUMMYFUNCTION("GOOGLETRANSLATE(L90, ""en"", ""bn"")"),"নাচ")</f>
        <v>নাচ</v>
      </c>
      <c r="D90" s="4" t="str">
        <f>IFERROR(__xludf.DUMMYFUNCTION("GOOGLETRANSLATE(M90, ""en"", ""bn"")"),"বাদ্যযন্ত্র বাজানো এবং দেখা")</f>
        <v>বাদ্যযন্ত্র বাজানো এবং দেখা</v>
      </c>
      <c r="E90" s="4" t="str">
        <f>IFERROR(__xludf.DUMMYFUNCTION("GOOGLETRANSLATE(N90, ""en"", ""bn"")"),"অলস বসে থাকা")</f>
        <v>অলস বসে থাকা</v>
      </c>
      <c r="F90" s="4" t="str">
        <f>IFERROR(__xludf.DUMMYFUNCTION("GOOGLETRANSLATE(O90, ""en"", ""bn"")"),"ফোনে কথা বলছি")</f>
        <v>ফোনে কথা বলছি</v>
      </c>
      <c r="G90" s="4" t="str">
        <f>IFERROR(__xludf.DUMMYFUNCTION("GOOGLETRANSLATE(P90, ""en"", ""bn"")"),"বাদ্যযন্ত্র বাজানো এবং দেখা")</f>
        <v>বাদ্যযন্ত্র বাজানো এবং দেখা</v>
      </c>
      <c r="H90" s="4" t="str">
        <f>IFERROR(__xludf.DUMMYFUNCTION("GOOGLETRANSLATE(Q90, ""en"", ""bn"")"),"ছবি4")</f>
        <v>ছবি4</v>
      </c>
      <c r="J90" s="5" t="str">
        <f>IFERROR(__xludf.DUMMYFUNCTION("GOOGLETRANSLATE(A90, ""bn"", ""en"")"),"89")</f>
        <v>89</v>
      </c>
      <c r="K90" s="16" t="s">
        <v>899</v>
      </c>
      <c r="L90" s="16" t="s">
        <v>900</v>
      </c>
      <c r="M90" s="16" t="s">
        <v>901</v>
      </c>
      <c r="N90" s="16" t="s">
        <v>902</v>
      </c>
      <c r="O90" s="16" t="s">
        <v>903</v>
      </c>
      <c r="P90" s="16" t="s">
        <v>901</v>
      </c>
      <c r="Q90" s="7" t="s">
        <v>46</v>
      </c>
    </row>
    <row r="91">
      <c r="A91" s="3">
        <v>90.0</v>
      </c>
      <c r="B91" s="4" t="str">
        <f>IFERROR(__xludf.DUMMYFUNCTION("GOOGLETRANSLATE(K91, ""en"", ""bn"")"),"কেন্দ্রীয় অভিনয়শিল্পীদের পোশাকের মধ্যে দৃশ্যমান পার্থক্য কী?")</f>
        <v>কেন্দ্রীয় অভিনয়শিল্পীদের পোশাকের মধ্যে দৃশ্যমান পার্থক্য কী?</v>
      </c>
      <c r="C91" s="4" t="str">
        <f>IFERROR(__xludf.DUMMYFUNCTION("GOOGLETRANSLATE(L91, ""en"", ""bn"")"),"একজনের পরনে সবুজ শার্ট, অন্যজনের পরনে সাদা ট্যাঙ্ক টপ।")</f>
        <v>একজনের পরনে সবুজ শার্ট, অন্যজনের পরনে সাদা ট্যাঙ্ক টপ।</v>
      </c>
      <c r="D91" s="4" t="str">
        <f>IFERROR(__xludf.DUMMYFUNCTION("GOOGLETRANSLATE(M91, ""en"", ""bn"")"),"একজন জুতা পরে, অন্যজন খালি পায়ে")</f>
        <v>একজন জুতা পরে, অন্যজন খালি পায়ে</v>
      </c>
      <c r="E91" s="4" t="str">
        <f>IFERROR(__xludf.DUMMYFUNCTION("GOOGLETRANSLATE(N91, ""en"", ""bn"")"),"একজনের টুপি আছে, অন্যের নেই")</f>
        <v>একজনের টুপি আছে, অন্যের নেই</v>
      </c>
      <c r="F91" s="4" t="str">
        <f>IFERROR(__xludf.DUMMYFUNCTION("GOOGLETRANSLATE(O91, ""en"", ""bn"")"),"দুজনেই একই পোশাক পরেছেন")</f>
        <v>দুজনেই একই পোশাক পরেছেন</v>
      </c>
      <c r="G91" s="4" t="str">
        <f>IFERROR(__xludf.DUMMYFUNCTION("GOOGLETRANSLATE(P91, ""en"", ""bn"")"),"একজনের পরনে সবুজ শার্ট, অন্যজনের পরনে সাদা ট্যাঙ্ক টপ।")</f>
        <v>একজনের পরনে সবুজ শার্ট, অন্যজনের পরনে সাদা ট্যাঙ্ক টপ।</v>
      </c>
      <c r="H91" s="4" t="str">
        <f>IFERROR(__xludf.DUMMYFUNCTION("GOOGLETRANSLATE(Q91, ""en"", ""bn"")"),"ছবি4")</f>
        <v>ছবি4</v>
      </c>
      <c r="J91" s="5" t="str">
        <f>IFERROR(__xludf.DUMMYFUNCTION("GOOGLETRANSLATE(A91, ""bn"", ""en"")"),"90")</f>
        <v>90</v>
      </c>
      <c r="K91" s="16" t="s">
        <v>904</v>
      </c>
      <c r="L91" s="16" t="s">
        <v>905</v>
      </c>
      <c r="M91" s="16" t="s">
        <v>906</v>
      </c>
      <c r="N91" s="16" t="s">
        <v>907</v>
      </c>
      <c r="O91" s="16" t="s">
        <v>908</v>
      </c>
      <c r="P91" s="16" t="s">
        <v>905</v>
      </c>
      <c r="Q91" s="7" t="s">
        <v>46</v>
      </c>
    </row>
    <row r="92">
      <c r="A92" s="3">
        <v>91.0</v>
      </c>
      <c r="B92" s="4" t="str">
        <f>IFERROR(__xludf.DUMMYFUNCTION("GOOGLETRANSLATE(K92, ""en"", ""bn"")"),"ডানদিকে অংশগ্রহণকারীর বাম হাতে প্রধান প্রপ কি?")</f>
        <v>ডানদিকে অংশগ্রহণকারীর বাম হাতে প্রধান প্রপ কি?</v>
      </c>
      <c r="C92" s="4" t="str">
        <f>IFERROR(__xludf.DUMMYFUNCTION("GOOGLETRANSLATE(L92, ""en"", ""bn"")"),"একটি তলোয়ার")</f>
        <v>একটি তলোয়ার</v>
      </c>
      <c r="D92" s="4" t="str">
        <f>IFERROR(__xludf.DUMMYFUNCTION("GOOGLETRANSLATE(M92, ""en"", ""bn"")"),"একটি গোলাকার ঢাল")</f>
        <v>একটি গোলাকার ঢাল</v>
      </c>
      <c r="E92" s="4" t="str">
        <f>IFERROR(__xludf.DUMMYFUNCTION("GOOGLETRANSLATE(N92, ""en"", ""bn"")"),"একটি টুপি")</f>
        <v>একটি টুপি</v>
      </c>
      <c r="F92" s="4" t="str">
        <f>IFERROR(__xludf.DUMMYFUNCTION("GOOGLETRANSLATE(O92, ""en"", ""bn"")"),"একটি বাঁশি")</f>
        <v>একটি বাঁশি</v>
      </c>
      <c r="G92" s="4" t="str">
        <f>IFERROR(__xludf.DUMMYFUNCTION("GOOGLETRANSLATE(P92, ""en"", ""bn"")"),"একটি গোলাকার ঢাল")</f>
        <v>একটি গোলাকার ঢাল</v>
      </c>
      <c r="H92" s="4" t="str">
        <f>IFERROR(__xludf.DUMMYFUNCTION("GOOGLETRANSLATE(Q92, ""en"", ""bn"")"),"ছবি ৫")</f>
        <v>ছবি ৫</v>
      </c>
      <c r="J92" s="5" t="str">
        <f>IFERROR(__xludf.DUMMYFUNCTION("GOOGLETRANSLATE(A92, ""bn"", ""en"")"),"91")</f>
        <v>91</v>
      </c>
      <c r="K92" s="16" t="s">
        <v>909</v>
      </c>
      <c r="L92" s="16" t="s">
        <v>780</v>
      </c>
      <c r="M92" s="16" t="s">
        <v>910</v>
      </c>
      <c r="N92" s="16" t="s">
        <v>911</v>
      </c>
      <c r="O92" s="16" t="s">
        <v>741</v>
      </c>
      <c r="P92" s="16" t="s">
        <v>910</v>
      </c>
      <c r="Q92" s="7" t="s">
        <v>57</v>
      </c>
    </row>
    <row r="93">
      <c r="A93" s="3">
        <v>92.0</v>
      </c>
      <c r="B93" s="4" t="str">
        <f>IFERROR(__xludf.DUMMYFUNCTION("GOOGLETRANSLATE(K93, ""en"", ""bn"")"),"বাম দিকে অংশগ্রহণকারী দ্বারা ব্যবহৃত প্রধান অস্ত্র কি?")</f>
        <v>বাম দিকে অংশগ্রহণকারী দ্বারা ব্যবহৃত প্রধান অস্ত্র কি?</v>
      </c>
      <c r="C93" s="4" t="str">
        <f>IFERROR(__xludf.DUMMYFUNCTION("GOOGLETRANSLATE(L93, ""en"", ""bn"")"),"একজন সরল কর্মী")</f>
        <v>একজন সরল কর্মী</v>
      </c>
      <c r="D93" s="4" t="str">
        <f>IFERROR(__xludf.DUMMYFUNCTION("GOOGLETRANSLATE(M93, ""en"", ""bn"")"),"একটি হুক সঙ্গে একটি নমিত স্টাফ")</f>
        <v>একটি হুক সঙ্গে একটি নমিত স্টাফ</v>
      </c>
      <c r="E93" s="4" t="str">
        <f>IFERROR(__xludf.DUMMYFUNCTION("GOOGLETRANSLATE(N93, ""en"", ""bn"")"),"একটি বর্শা")</f>
        <v>একটি বর্শা</v>
      </c>
      <c r="F93" s="4" t="str">
        <f>IFERROR(__xludf.DUMMYFUNCTION("GOOGLETRANSLATE(O93, ""en"", ""bn"")"),"একটি তলোয়ার")</f>
        <v>একটি তলোয়ার</v>
      </c>
      <c r="G93" s="4" t="str">
        <f>IFERROR(__xludf.DUMMYFUNCTION("GOOGLETRANSLATE(P93, ""en"", ""bn"")"),"একটি হুক সঙ্গে একটি নমিত স্টাফ")</f>
        <v>একটি হুক সঙ্গে একটি নমিত স্টাফ</v>
      </c>
      <c r="H93" s="4" t="str">
        <f>IFERROR(__xludf.DUMMYFUNCTION("GOOGLETRANSLATE(Q93, ""en"", ""bn"")"),"ছবি ৫")</f>
        <v>ছবি ৫</v>
      </c>
      <c r="J93" s="5" t="str">
        <f>IFERROR(__xludf.DUMMYFUNCTION("GOOGLETRANSLATE(A93, ""bn"", ""en"")"),"92")</f>
        <v>92</v>
      </c>
      <c r="K93" s="16" t="s">
        <v>912</v>
      </c>
      <c r="L93" s="16" t="s">
        <v>913</v>
      </c>
      <c r="M93" s="16" t="s">
        <v>914</v>
      </c>
      <c r="N93" s="16" t="s">
        <v>915</v>
      </c>
      <c r="O93" s="16" t="s">
        <v>780</v>
      </c>
      <c r="P93" s="16" t="s">
        <v>914</v>
      </c>
      <c r="Q93" s="6" t="s">
        <v>57</v>
      </c>
      <c r="R93" s="17"/>
      <c r="S93" s="17"/>
    </row>
    <row r="94">
      <c r="A94" s="3">
        <v>93.0</v>
      </c>
      <c r="B94" s="4" t="str">
        <f>IFERROR(__xludf.DUMMYFUNCTION("GOOGLETRANSLATE(K94, ""en"", ""bn"")"),"অংশগ্রহণকারীদের দ্বারা অনুষ্ঠিত বৃত্তাকার বস্তুর উদ্দেশ্য কি?")</f>
        <v>অংশগ্রহণকারীদের দ্বারা অনুষ্ঠিত বৃত্তাকার বস্তুর উদ্দেশ্য কি?</v>
      </c>
      <c r="C94" s="4" t="str">
        <f>IFERROR(__xludf.DUMMYFUNCTION("GOOGLETRANSLATE(L94, ""en"", ""bn"")"),"খাবার পরিবেশন করতে")</f>
        <v>খাবার পরিবেশন করতে</v>
      </c>
      <c r="D94" s="4" t="str">
        <f>IFERROR(__xludf.DUMMYFUNCTION("GOOGLETRANSLATE(M94, ""en"", ""bn"")"),"অস্ত্র হিসেবে নিক্ষেপ করতে হবে")</f>
        <v>অস্ত্র হিসেবে নিক্ষেপ করতে হবে</v>
      </c>
      <c r="E94" s="4" t="str">
        <f>IFERROR(__xludf.DUMMYFUNCTION("GOOGLETRANSLATE(N94, ""en"", ""bn"")"),"ধর্মঘট থেকে রক্ষা করার জন্য")</f>
        <v>ধর্মঘট থেকে রক্ষা করার জন্য</v>
      </c>
      <c r="F94" s="4" t="str">
        <f>IFERROR(__xludf.DUMMYFUNCTION("GOOGLETRANSLATE(O94, ""en"", ""bn"")"),"ভিড়কে সংকেত দিতে")</f>
        <v>ভিড়কে সংকেত দিতে</v>
      </c>
      <c r="G94" s="4" t="str">
        <f>IFERROR(__xludf.DUMMYFUNCTION("GOOGLETRANSLATE(P94, ""en"", ""bn"")"),"ধর্মঘট থেকে রক্ষা করার জন্য")</f>
        <v>ধর্মঘট থেকে রক্ষা করার জন্য</v>
      </c>
      <c r="H94" s="4" t="str">
        <f>IFERROR(__xludf.DUMMYFUNCTION("GOOGLETRANSLATE(Q94, ""en"", ""bn"")"),"ছবি ৫")</f>
        <v>ছবি ৫</v>
      </c>
      <c r="J94" s="5" t="str">
        <f>IFERROR(__xludf.DUMMYFUNCTION("GOOGLETRANSLATE(A94, ""bn"", ""en"")"),"93")</f>
        <v>93</v>
      </c>
      <c r="K94" s="16" t="s">
        <v>916</v>
      </c>
      <c r="L94" s="16" t="s">
        <v>917</v>
      </c>
      <c r="M94" s="16" t="s">
        <v>918</v>
      </c>
      <c r="N94" s="16" t="s">
        <v>919</v>
      </c>
      <c r="O94" s="16" t="s">
        <v>920</v>
      </c>
      <c r="P94" s="16" t="s">
        <v>919</v>
      </c>
      <c r="Q94" s="7" t="s">
        <v>57</v>
      </c>
    </row>
    <row r="95">
      <c r="A95" s="3">
        <v>94.0</v>
      </c>
      <c r="B95" s="4" t="str">
        <f>IFERROR(__xludf.DUMMYFUNCTION("GOOGLETRANSLATE(K95, ""en"", ""bn"")"),"দুই প্রধান অংশগ্রহণকারীর পোশাক কি?")</f>
        <v>দুই প্রধান অংশগ্রহণকারীর পোশাক কি?</v>
      </c>
      <c r="C95" s="4" t="str">
        <f>IFERROR(__xludf.DUMMYFUNCTION("GOOGLETRANSLATE(L95, ""en"", ""bn"")"),"আনুষ্ঠানিক স্যুট")</f>
        <v>আনুষ্ঠানিক স্যুট</v>
      </c>
      <c r="D95" s="4" t="str">
        <f>IFERROR(__xludf.DUMMYFUNCTION("GOOGLETRANSLATE(M95, ""en"", ""bn"")"),"ঐতিহ্যবাহী বাঙালি পোশাক")</f>
        <v>ঐতিহ্যবাহী বাঙালি পোশাক</v>
      </c>
      <c r="E95" s="4" t="str">
        <f>IFERROR(__xludf.DUMMYFUNCTION("GOOGLETRANSLATE(N95, ""en"", ""bn"")"),"খেলাধুলার পোশাক")</f>
        <v>খেলাধুলার পোশাক</v>
      </c>
      <c r="F95" s="4" t="str">
        <f>IFERROR(__xludf.DUMMYFUNCTION("GOOGLETRANSLATE(O95, ""en"", ""bn"")"),"সামরিক ইউনিফর্ম")</f>
        <v>সামরিক ইউনিফর্ম</v>
      </c>
      <c r="G95" s="4" t="str">
        <f>IFERROR(__xludf.DUMMYFUNCTION("GOOGLETRANSLATE(P95, ""en"", ""bn"")"),"খেলাধুলার পোশাক")</f>
        <v>খেলাধুলার পোশাক</v>
      </c>
      <c r="H95" s="4" t="str">
        <f>IFERROR(__xludf.DUMMYFUNCTION("GOOGLETRANSLATE(Q95, ""en"", ""bn"")"),"ছবি ৫")</f>
        <v>ছবি ৫</v>
      </c>
      <c r="J95" s="5" t="str">
        <f>IFERROR(__xludf.DUMMYFUNCTION("GOOGLETRANSLATE(A95, ""bn"", ""en"")"),"94")</f>
        <v>94</v>
      </c>
      <c r="K95" s="16" t="s">
        <v>921</v>
      </c>
      <c r="L95" s="16" t="s">
        <v>373</v>
      </c>
      <c r="M95" s="16" t="s">
        <v>922</v>
      </c>
      <c r="N95" s="16" t="s">
        <v>923</v>
      </c>
      <c r="O95" s="16" t="s">
        <v>870</v>
      </c>
      <c r="P95" s="16" t="s">
        <v>923</v>
      </c>
      <c r="Q95" s="6" t="s">
        <v>57</v>
      </c>
    </row>
    <row r="96">
      <c r="A96" s="3">
        <v>95.0</v>
      </c>
      <c r="B96" s="4" t="str">
        <f>IFERROR(__xludf.DUMMYFUNCTION("GOOGLETRANSLATE(K96, ""en"", ""bn"")"),"এই ইভেন্টের সম্ভাব্য সেটিং কি?")</f>
        <v>এই ইভেন্টের সম্ভাব্য সেটিং কি?</v>
      </c>
      <c r="C96" s="4" t="str">
        <f>IFERROR(__xludf.DUMMYFUNCTION("GOOGLETRANSLATE(L96, ""en"", ""bn"")"),"একটি শহরের পার্ক")</f>
        <v>একটি শহরের পার্ক</v>
      </c>
      <c r="D96" s="4" t="str">
        <f>IFERROR(__xludf.DUMMYFUNCTION("GOOGLETRANSLATE(M96, ""en"", ""bn"")"),"একটি স্টেডিয়াম")</f>
        <v>একটি স্টেডিয়াম</v>
      </c>
      <c r="E96" s="4" t="str">
        <f>IFERROR(__xludf.DUMMYFUNCTION("GOOGLETRANSLATE(N96, ""en"", ""bn"")"),"একটি গ্রামীণ এলাকায় একটি খোলা, ময়লা মাঠ")</f>
        <v>একটি গ্রামীণ এলাকায় একটি খোলা, ময়লা মাঠ</v>
      </c>
      <c r="F96" s="4" t="str">
        <f>IFERROR(__xludf.DUMMYFUNCTION("GOOGLETRANSLATE(O96, ""en"", ""bn"")"),"একটি কনসার্ট হল")</f>
        <v>একটি কনসার্ট হল</v>
      </c>
      <c r="G96" s="4" t="str">
        <f>IFERROR(__xludf.DUMMYFUNCTION("GOOGLETRANSLATE(P96, ""en"", ""bn"")"),"একটি গ্রামীণ এলাকায় একটি খোলা, ময়লা মাঠ")</f>
        <v>একটি গ্রামীণ এলাকায় একটি খোলা, ময়লা মাঠ</v>
      </c>
      <c r="H96" s="4" t="str">
        <f>IFERROR(__xludf.DUMMYFUNCTION("GOOGLETRANSLATE(Q96, ""en"", ""bn"")"),"ছবি ৫")</f>
        <v>ছবি ৫</v>
      </c>
      <c r="J96" s="5" t="str">
        <f>IFERROR(__xludf.DUMMYFUNCTION("GOOGLETRANSLATE(A96, ""bn"", ""en"")"),"95")</f>
        <v>95</v>
      </c>
      <c r="K96" s="16" t="s">
        <v>924</v>
      </c>
      <c r="L96" s="16" t="s">
        <v>842</v>
      </c>
      <c r="M96" s="16" t="s">
        <v>268</v>
      </c>
      <c r="N96" s="16" t="s">
        <v>925</v>
      </c>
      <c r="O96" s="16" t="s">
        <v>878</v>
      </c>
      <c r="P96" s="16" t="s">
        <v>925</v>
      </c>
      <c r="Q96" s="7" t="s">
        <v>57</v>
      </c>
    </row>
    <row r="97">
      <c r="A97" s="3">
        <v>96.0</v>
      </c>
      <c r="B97" s="4" t="str">
        <f>IFERROR(__xludf.DUMMYFUNCTION("GOOGLETRANSLATE(K97, ""en"", ""bn"")"),"দুই প্রধান অংশগ্রহণকারীর বয়স সম্পর্কে কী অনুমান করা যেতে পারে?")</f>
        <v>দুই প্রধান অংশগ্রহণকারীর বয়স সম্পর্কে কী অনুমান করা যেতে পারে?</v>
      </c>
      <c r="C97" s="4" t="str">
        <f>IFERROR(__xludf.DUMMYFUNCTION("GOOGLETRANSLATE(L97, ""en"", ""bn"")"),"তারা তরুণ প্রাপ্তবয়স্ক")</f>
        <v>তারা তরুণ প্রাপ্তবয়স্ক</v>
      </c>
      <c r="D97" s="4" t="str">
        <f>IFERROR(__xludf.DUMMYFUNCTION("GOOGLETRANSLATE(M97, ""en"", ""bn"")"),"তারা কিশোর")</f>
        <v>তারা কিশোর</v>
      </c>
      <c r="E97" s="4" t="str">
        <f>IFERROR(__xludf.DUMMYFUNCTION("GOOGLETRANSLATE(N97, ""en"", ""bn"")"),"তারা বয়স্ক।")</f>
        <v>তারা বয়স্ক।</v>
      </c>
      <c r="F97" s="4" t="str">
        <f>IFERROR(__xludf.DUMMYFUNCTION("GOOGLETRANSLATE(O97, ""en"", ""bn"")"),"তারা মধ্যবয়সী।")</f>
        <v>তারা মধ্যবয়সী।</v>
      </c>
      <c r="G97" s="4" t="str">
        <f>IFERROR(__xludf.DUMMYFUNCTION("GOOGLETRANSLATE(P97, ""en"", ""bn"")"),"তারা বয়স্ক।")</f>
        <v>তারা বয়স্ক।</v>
      </c>
      <c r="H97" s="4" t="str">
        <f>IFERROR(__xludf.DUMMYFUNCTION("GOOGLETRANSLATE(Q97, ""en"", ""bn"")"),"ছবি ৫")</f>
        <v>ছবি ৫</v>
      </c>
      <c r="J97" s="5" t="str">
        <f>IFERROR(__xludf.DUMMYFUNCTION("GOOGLETRANSLATE(A97, ""bn"", ""en"")"),"96")</f>
        <v>96</v>
      </c>
      <c r="K97" s="16" t="s">
        <v>926</v>
      </c>
      <c r="L97" s="16" t="s">
        <v>927</v>
      </c>
      <c r="M97" s="16" t="s">
        <v>928</v>
      </c>
      <c r="N97" s="16" t="s">
        <v>929</v>
      </c>
      <c r="O97" s="16" t="s">
        <v>930</v>
      </c>
      <c r="P97" s="16" t="s">
        <v>929</v>
      </c>
      <c r="Q97" s="6" t="s">
        <v>57</v>
      </c>
    </row>
    <row r="98">
      <c r="A98" s="3">
        <v>97.0</v>
      </c>
      <c r="B98" s="4" t="str">
        <f>IFERROR(__xludf.DUMMYFUNCTION("GOOGLETRANSLATE(K98, ""en"", ""bn"")"),"ডানদিকে কালো দাড়ি আর লাল খোসাওয়ালা লোকটা কী করছে?")</f>
        <v>ডানদিকে কালো দাড়ি আর লাল খোসাওয়ালা লোকটা কী করছে?</v>
      </c>
      <c r="C98" s="4" t="str">
        <f>IFERROR(__xludf.DUMMYFUNCTION("GOOGLETRANSLATE(L98, ""en"", ""bn"")"),"পারফরম্যান্স দেখছেন")</f>
        <v>পারফরম্যান্স দেখছেন</v>
      </c>
      <c r="D98" s="4" t="str">
        <f>IFERROR(__xludf.DUMMYFUNCTION("GOOGLETRANSLATE(M98, ""en"", ""bn"")"),"একটি যন্ত্র বাজাচ্ছে")</f>
        <v>একটি যন্ত্র বাজাচ্ছে</v>
      </c>
      <c r="E98" s="4" t="str">
        <f>IFERROR(__xludf.DUMMYFUNCTION("GOOGLETRANSLATE(N98, ""en"", ""bn"")"),"খাবার বিক্রি")</f>
        <v>খাবার বিক্রি</v>
      </c>
      <c r="F98" s="4" t="str">
        <f>IFERROR(__xludf.DUMMYFUNCTION("GOOGLETRANSLATE(O98, ""en"", ""bn"")"),"ট্র্যাফিক পরিচালনা করা")</f>
        <v>ট্র্যাফিক পরিচালনা করা</v>
      </c>
      <c r="G98" s="4" t="str">
        <f>IFERROR(__xludf.DUMMYFUNCTION("GOOGLETRANSLATE(P98, ""en"", ""bn"")"),"পারফরম্যান্স দেখছেন")</f>
        <v>পারফরম্যান্স দেখছেন</v>
      </c>
      <c r="H98" s="4" t="str">
        <f>IFERROR(__xludf.DUMMYFUNCTION("GOOGLETRANSLATE(Q98, ""en"", ""bn"")"),"ছবি ৫")</f>
        <v>ছবি ৫</v>
      </c>
      <c r="J98" s="5" t="str">
        <f>IFERROR(__xludf.DUMMYFUNCTION("GOOGLETRANSLATE(A98, ""bn"", ""en"")"),"97")</f>
        <v>97</v>
      </c>
      <c r="K98" s="16" t="s">
        <v>931</v>
      </c>
      <c r="L98" s="16" t="s">
        <v>932</v>
      </c>
      <c r="M98" s="16" t="s">
        <v>933</v>
      </c>
      <c r="N98" s="16" t="s">
        <v>934</v>
      </c>
      <c r="O98" s="16" t="s">
        <v>935</v>
      </c>
      <c r="P98" s="16" t="s">
        <v>932</v>
      </c>
      <c r="Q98" s="7" t="s">
        <v>57</v>
      </c>
    </row>
    <row r="99">
      <c r="A99" s="3">
        <v>98.0</v>
      </c>
      <c r="B99" s="4" t="str">
        <f>IFERROR(__xludf.DUMMYFUNCTION("GOOGLETRANSLATE(K99, ""en"", ""bn"")"),"বাম দিকের লোকটির ভঙ্গি কী?")</f>
        <v>বাম দিকের লোকটির ভঙ্গি কী?</v>
      </c>
      <c r="C99" s="4" t="str">
        <f>IFERROR(__xludf.DUMMYFUNCTION("GOOGLETRANSLATE(L99, ""en"", ""bn"")"),"সোজা হয়ে দাঁড়িয়ে আছে")</f>
        <v>সোজা হয়ে দাঁড়িয়ে আছে</v>
      </c>
      <c r="D99" s="4" t="str">
        <f>IFERROR(__xludf.DUMMYFUNCTION("GOOGLETRANSLATE(M99, ""en"", ""bn"")"),"পা ছড়িয়ে নিচু হয়ে শুয়ে আছে")</f>
        <v>পা ছড়িয়ে নিচু হয়ে শুয়ে আছে</v>
      </c>
      <c r="E99" s="4" t="str">
        <f>IFERROR(__xludf.DUMMYFUNCTION("GOOGLETRANSLATE(N99, ""en"", ""bn"")"),"মাটিতে শুয়ে আছে")</f>
        <v>মাটিতে শুয়ে আছে</v>
      </c>
      <c r="F99" s="4" t="str">
        <f>IFERROR(__xludf.DUMMYFUNCTION("GOOGLETRANSLATE(O99, ""en"", ""bn"")"),"চেয়ারে বসে")</f>
        <v>চেয়ারে বসে</v>
      </c>
      <c r="G99" s="4" t="str">
        <f>IFERROR(__xludf.DUMMYFUNCTION("GOOGLETRANSLATE(P99, ""en"", ""bn"")"),"পা ছড়িয়ে নিচু হয়ে শুয়ে আছে")</f>
        <v>পা ছড়িয়ে নিচু হয়ে শুয়ে আছে</v>
      </c>
      <c r="H99" s="4" t="str">
        <f>IFERROR(__xludf.DUMMYFUNCTION("GOOGLETRANSLATE(Q99, ""en"", ""bn"")"),"ছবি ৫")</f>
        <v>ছবি ৫</v>
      </c>
      <c r="J99" s="5" t="str">
        <f>IFERROR(__xludf.DUMMYFUNCTION("GOOGLETRANSLATE(A99, ""bn"", ""en"")"),"98")</f>
        <v>98</v>
      </c>
      <c r="K99" s="16" t="s">
        <v>936</v>
      </c>
      <c r="L99" s="16" t="s">
        <v>937</v>
      </c>
      <c r="M99" s="16" t="s">
        <v>938</v>
      </c>
      <c r="N99" s="16" t="s">
        <v>819</v>
      </c>
      <c r="O99" s="16" t="s">
        <v>820</v>
      </c>
      <c r="P99" s="16" t="s">
        <v>938</v>
      </c>
      <c r="Q99" s="6" t="s">
        <v>57</v>
      </c>
    </row>
    <row r="100">
      <c r="A100" s="3">
        <v>99.0</v>
      </c>
      <c r="B100" s="4" t="str">
        <f>IFERROR(__xludf.DUMMYFUNCTION("GOOGLETRANSLATE(K100, ""en"", ""bn"")"),"পারফরমারদের দ্বারা ব্যবহৃত সুরক্ষার স্তর সম্পর্কে কী বলা যেতে পারে?")</f>
        <v>পারফরমারদের দ্বারা ব্যবহৃত সুরক্ষার স্তর সম্পর্কে কী বলা যেতে পারে?</v>
      </c>
      <c r="C100" s="4" t="str">
        <f>IFERROR(__xludf.DUMMYFUNCTION("GOOGLETRANSLATE(L100, ""en"", ""bn"")"),"তারা পুরো শরীরে বর্ম পরিহিত")</f>
        <v>তারা পুরো শরীরে বর্ম পরিহিত</v>
      </c>
      <c r="D100" s="4" t="str">
        <f>IFERROR(__xludf.DUMMYFUNCTION("GOOGLETRANSLATE(M100, ""en"", ""bn"")"),"তারা প্যাডেড গিয়ার ব্যবহার করছে")</f>
        <v>তারা প্যাডেড গিয়ার ব্যবহার করছে</v>
      </c>
      <c r="E100" s="4" t="str">
        <f>IFERROR(__xludf.DUMMYFUNCTION("GOOGLETRANSLATE(N100, ""en"", ""bn"")"),"তাদের ন্যূনতম প্রতিরক্ষামূলক গিয়ার রয়েছে")</f>
        <v>তাদের ন্যূনতম প্রতিরক্ষামূলক গিয়ার রয়েছে</v>
      </c>
      <c r="F100" s="4" t="str">
        <f>IFERROR(__xludf.DUMMYFUNCTION("GOOGLETRANSLATE(O100, ""en"", ""bn"")"),"তারা হেলমেট ব্যবহার করছে।")</f>
        <v>তারা হেলমেট ব্যবহার করছে।</v>
      </c>
      <c r="G100" s="4" t="str">
        <f>IFERROR(__xludf.DUMMYFUNCTION("GOOGLETRANSLATE(P100, ""en"", ""bn"")"),"তাদের ন্যূনতম প্রতিরক্ষামূলক গিয়ার রয়েছে")</f>
        <v>তাদের ন্যূনতম প্রতিরক্ষামূলক গিয়ার রয়েছে</v>
      </c>
      <c r="H100" s="4" t="str">
        <f>IFERROR(__xludf.DUMMYFUNCTION("GOOGLETRANSLATE(Q100, ""en"", ""bn"")"),"ছবি ৫")</f>
        <v>ছবি ৫</v>
      </c>
      <c r="J100" s="5" t="str">
        <f>IFERROR(__xludf.DUMMYFUNCTION("GOOGLETRANSLATE(A100, ""bn"", ""en"")"),"99")</f>
        <v>99</v>
      </c>
      <c r="K100" s="16" t="s">
        <v>939</v>
      </c>
      <c r="L100" s="16" t="s">
        <v>940</v>
      </c>
      <c r="M100" s="16" t="s">
        <v>941</v>
      </c>
      <c r="N100" s="16" t="s">
        <v>942</v>
      </c>
      <c r="O100" s="16" t="s">
        <v>943</v>
      </c>
      <c r="P100" s="16" t="s">
        <v>942</v>
      </c>
      <c r="Q100" s="7" t="s">
        <v>57</v>
      </c>
    </row>
    <row r="101">
      <c r="A101" s="3">
        <v>100.0</v>
      </c>
      <c r="B101" s="4" t="str">
        <f>IFERROR(__xludf.DUMMYFUNCTION("GOOGLETRANSLATE(K101, ""en"", ""bn"")"),"দুই অভিনয়শিল্পী দ্বারা ব্যবহৃত লাঠি একটি দৃশ্যমান পার্থক্য কি?")</f>
        <v>দুই অভিনয়শিল্পী দ্বারা ব্যবহৃত লাঠি একটি দৃশ্যমান পার্থক্য কি?</v>
      </c>
      <c r="C101" s="4" t="str">
        <f>IFERROR(__xludf.DUMMYFUNCTION("GOOGLETRANSLATE(L101, ""en"", ""bn"")"),"একটি লাঠি, অন্যটি ধাতব রড")</f>
        <v>একটি লাঠি, অন্যটি ধাতব রড</v>
      </c>
      <c r="D101" s="4" t="str">
        <f>IFERROR(__xludf.DUMMYFUNCTION("GOOGLETRANSLATE(M101, ""en"", ""bn"")"),"একটি সোজা, অন্যটি বাঁকানো")</f>
        <v>একটি সোজা, অন্যটি বাঁকানো</v>
      </c>
      <c r="E101" s="4" t="str">
        <f>IFERROR(__xludf.DUMMYFUNCTION("GOOGLETRANSLATE(N101, ""en"", ""bn"")"),"একটি দীর্ঘ, অন্যটি ছোট")</f>
        <v>একটি দীর্ঘ, অন্যটি ছোট</v>
      </c>
      <c r="F101" s="4" t="str">
        <f>IFERROR(__xludf.DUMMYFUNCTION("GOOGLETRANSLATE(O101, ""en"", ""bn"")"),"তারা অভিন্ন")</f>
        <v>তারা অভিন্ন</v>
      </c>
      <c r="G101" s="4" t="str">
        <f>IFERROR(__xludf.DUMMYFUNCTION("GOOGLETRANSLATE(P101, ""en"", ""bn"")"),"একটি সোজা, অন্যটি বাঁকানো")</f>
        <v>একটি সোজা, অন্যটি বাঁকানো</v>
      </c>
      <c r="H101" s="4" t="str">
        <f>IFERROR(__xludf.DUMMYFUNCTION("GOOGLETRANSLATE(Q101, ""en"", ""bn"")"),"ছবি ৫")</f>
        <v>ছবি ৫</v>
      </c>
      <c r="J101" s="5" t="str">
        <f>IFERROR(__xludf.DUMMYFUNCTION("GOOGLETRANSLATE(A101, ""bn"", ""en"")"),"100")</f>
        <v>100</v>
      </c>
      <c r="K101" s="16" t="s">
        <v>944</v>
      </c>
      <c r="L101" s="16" t="s">
        <v>945</v>
      </c>
      <c r="M101" s="16" t="s">
        <v>946</v>
      </c>
      <c r="N101" s="16" t="s">
        <v>947</v>
      </c>
      <c r="O101" s="16" t="s">
        <v>948</v>
      </c>
      <c r="P101" s="16" t="s">
        <v>946</v>
      </c>
      <c r="Q101" s="6" t="s">
        <v>57</v>
      </c>
    </row>
    <row r="102">
      <c r="A102" s="3">
        <v>101.0</v>
      </c>
      <c r="B102" s="4" t="str">
        <f>IFERROR(__xludf.DUMMYFUNCTION("GOOGLETRANSLATE(K102, ""en"", ""bn"")"),"অগ্রভাগে অভিনয়শিল্পীদের ভঙ্গি কী?")</f>
        <v>অগ্রভাগে অভিনয়শিল্পীদের ভঙ্গি কী?</v>
      </c>
      <c r="C102" s="4" t="str">
        <f>IFERROR(__xludf.DUMMYFUNCTION("GOOGLETRANSLATE(L102, ""en"", ""bn"")"),"সোজা হয়ে দাঁড়িয়ে আছে")</f>
        <v>সোজা হয়ে দাঁড়িয়ে আছে</v>
      </c>
      <c r="D102" s="4" t="str">
        <f>IFERROR(__xludf.DUMMYFUNCTION("GOOGLETRANSLATE(M102, ""en"", ""bn"")"),"বসে আছি")</f>
        <v>বসে আছি</v>
      </c>
      <c r="E102" s="4" t="str">
        <f>IFERROR(__xludf.DUMMYFUNCTION("GOOGLETRANSLATE(N102, ""en"", ""bn"")"),"মাটিতে নিচু হয়ে থাকা")</f>
        <v>মাটিতে নিচু হয়ে থাকা</v>
      </c>
      <c r="F102" s="4" t="str">
        <f>IFERROR(__xludf.DUMMYFUNCTION("GOOGLETRANSLATE(O102, ""en"", ""bn"")"),"শুয়ে থাকা")</f>
        <v>শুয়ে থাকা</v>
      </c>
      <c r="G102" s="4" t="str">
        <f>IFERROR(__xludf.DUMMYFUNCTION("GOOGLETRANSLATE(P102, ""en"", ""bn"")"),"মাটিতে নিচু হয়ে থাকা")</f>
        <v>মাটিতে নিচু হয়ে থাকা</v>
      </c>
      <c r="H102" s="4" t="str">
        <f>IFERROR(__xludf.DUMMYFUNCTION("GOOGLETRANSLATE(Q102, ""en"", ""bn"")"),"ছবি৬")</f>
        <v>ছবি৬</v>
      </c>
      <c r="J102" s="5" t="str">
        <f>IFERROR(__xludf.DUMMYFUNCTION("GOOGLETRANSLATE(A102, ""bn"", ""en"")"),"101")</f>
        <v>101</v>
      </c>
      <c r="K102" s="16" t="s">
        <v>949</v>
      </c>
      <c r="L102" s="16" t="s">
        <v>937</v>
      </c>
      <c r="M102" s="16" t="s">
        <v>314</v>
      </c>
      <c r="N102" s="16" t="s">
        <v>950</v>
      </c>
      <c r="O102" s="16" t="s">
        <v>749</v>
      </c>
      <c r="P102" s="16" t="s">
        <v>950</v>
      </c>
      <c r="Q102" s="7" t="s">
        <v>68</v>
      </c>
    </row>
    <row r="103">
      <c r="A103" s="3">
        <v>102.0</v>
      </c>
      <c r="B103" s="4" t="str">
        <f>IFERROR(__xludf.DUMMYFUNCTION("GOOGLETRANSLATE(K103, ""en"", ""bn"")"),"সকল শিল্পীর ব্যবহৃত প্রধান প্রপ কী?")</f>
        <v>সকল শিল্পীর ব্যবহৃত প্রধান প্রপ কী?</v>
      </c>
      <c r="C103" s="4" t="str">
        <f>IFERROR(__xludf.DUMMYFUNCTION("GOOGLETRANSLATE(L103, ""en"", ""bn"")"),"একটি তলোয়ার")</f>
        <v>একটি তলোয়ার</v>
      </c>
      <c r="D103" s="4" t="str">
        <f>IFERROR(__xludf.DUMMYFUNCTION("GOOGLETRANSLATE(M103, ""en"", ""bn"")"),"লম্বা বাঁশের লাঠি")</f>
        <v>লম্বা বাঁশের লাঠি</v>
      </c>
      <c r="E103" s="4" t="str">
        <f>IFERROR(__xludf.DUMMYFUNCTION("GOOGLETRANSLATE(N103, ""en"", ""bn"")"),"একটি দড়ি")</f>
        <v>একটি দড়ি</v>
      </c>
      <c r="F103" s="4" t="str">
        <f>IFERROR(__xludf.DUMMYFUNCTION("GOOGLETRANSLATE(O103, ""en"", ""bn"")"),"একটি ধাতব রড")</f>
        <v>একটি ধাতব রড</v>
      </c>
      <c r="G103" s="4" t="str">
        <f>IFERROR(__xludf.DUMMYFUNCTION("GOOGLETRANSLATE(P103, ""en"", ""bn"")"),"লম্বা বাঁশের লাঠি")</f>
        <v>লম্বা বাঁশের লাঠি</v>
      </c>
      <c r="H103" s="4" t="str">
        <f>IFERROR(__xludf.DUMMYFUNCTION("GOOGLETRANSLATE(Q103, ""en"", ""bn"")"),"ছবি৬")</f>
        <v>ছবি৬</v>
      </c>
      <c r="J103" s="5" t="str">
        <f>IFERROR(__xludf.DUMMYFUNCTION("GOOGLETRANSLATE(A103, ""bn"", ""en"")"),"102")</f>
        <v>102</v>
      </c>
      <c r="K103" s="16" t="s">
        <v>951</v>
      </c>
      <c r="L103" s="16" t="s">
        <v>780</v>
      </c>
      <c r="M103" s="16" t="s">
        <v>952</v>
      </c>
      <c r="N103" s="16" t="s">
        <v>782</v>
      </c>
      <c r="O103" s="16" t="s">
        <v>953</v>
      </c>
      <c r="P103" s="16" t="s">
        <v>952</v>
      </c>
      <c r="Q103" s="7" t="s">
        <v>68</v>
      </c>
    </row>
    <row r="104">
      <c r="A104" s="3">
        <v>103.0</v>
      </c>
      <c r="B104" s="4" t="str">
        <f>IFERROR(__xludf.DUMMYFUNCTION("GOOGLETRANSLATE(K104, ""en"", ""bn"")"),"যে মাঠে অনুষ্ঠানটি অনুষ্ঠিত হচ্ছে, সেখানকার একটি উল্লেখযোগ্য বৈশিষ্ট্য কী?")</f>
        <v>যে মাঠে অনুষ্ঠানটি অনুষ্ঠিত হচ্ছে, সেখানকার একটি উল্লেখযোগ্য বৈশিষ্ট্য কী?</v>
      </c>
      <c r="C104" s="4" t="str">
        <f>IFERROR(__xludf.DUMMYFUNCTION("GOOGLETRANSLATE(L104, ""en"", ""bn"")"),"এটি সবুজ ঘাসে ঢাকা")</f>
        <v>এটি সবুজ ঘাসে ঢাকা</v>
      </c>
      <c r="D104" s="4" t="str">
        <f>IFERROR(__xludf.DUMMYFUNCTION("GOOGLETRANSLATE(M104, ""en"", ""bn"")"),"এটি একটি কর্দমাক্ত মাঠ।")</f>
        <v>এটি একটি কর্দমাক্ত মাঠ।</v>
      </c>
      <c r="E104" s="4" t="str">
        <f>IFERROR(__xludf.DUMMYFUNCTION("GOOGLETRANSLATE(N104, ""en"", ""bn"")"),"এটি একটি ধুলোবালি, অনুর্বর মাঠ")</f>
        <v>এটি একটি ধুলোবালি, অনুর্বর মাঠ</v>
      </c>
      <c r="F104" s="4" t="str">
        <f>IFERROR(__xludf.DUMMYFUNCTION("GOOGLETRANSLATE(O104, ""en"", ""bn"")"),"এটি একটি পাকা রাস্তা।")</f>
        <v>এটি একটি পাকা রাস্তা।</v>
      </c>
      <c r="G104" s="4" t="str">
        <f>IFERROR(__xludf.DUMMYFUNCTION("GOOGLETRANSLATE(P104, ""en"", ""bn"")"),"এটি একটি ধুলোবালি, অনুর্বর মাঠ")</f>
        <v>এটি একটি ধুলোবালি, অনুর্বর মাঠ</v>
      </c>
      <c r="H104" s="4" t="str">
        <f>IFERROR(__xludf.DUMMYFUNCTION("GOOGLETRANSLATE(Q104, ""en"", ""bn"")"),"ছবি৬")</f>
        <v>ছবি৬</v>
      </c>
      <c r="J104" s="5" t="str">
        <f>IFERROR(__xludf.DUMMYFUNCTION("GOOGLETRANSLATE(A104, ""bn"", ""en"")"),"103")</f>
        <v>103</v>
      </c>
      <c r="K104" s="16" t="s">
        <v>954</v>
      </c>
      <c r="L104" s="16" t="s">
        <v>955</v>
      </c>
      <c r="M104" s="16" t="s">
        <v>956</v>
      </c>
      <c r="N104" s="16" t="s">
        <v>957</v>
      </c>
      <c r="O104" s="16" t="s">
        <v>958</v>
      </c>
      <c r="P104" s="16" t="s">
        <v>957</v>
      </c>
      <c r="Q104" s="7" t="s">
        <v>68</v>
      </c>
    </row>
    <row r="105">
      <c r="A105" s="3">
        <v>104.0</v>
      </c>
      <c r="B105" s="4" t="str">
        <f>IFERROR(__xludf.DUMMYFUNCTION("GOOGLETRANSLATE(K105, ""en"", ""bn"")"),"পারফর্মারদের দ্বারা পরা শর্টস সবচেয়ে সাধারণ রং কি?")</f>
        <v>পারফর্মারদের দ্বারা পরা শর্টস সবচেয়ে সাধারণ রং কি?</v>
      </c>
      <c r="C105" s="4" t="str">
        <f>IFERROR(__xludf.DUMMYFUNCTION("GOOGLETRANSLATE(L105, ""en"", ""bn"")"),"নীল")</f>
        <v>নীল</v>
      </c>
      <c r="D105" s="4" t="str">
        <f>IFERROR(__xludf.DUMMYFUNCTION("GOOGLETRANSLATE(M105, ""en"", ""bn"")"),"কালো")</f>
        <v>কালো</v>
      </c>
      <c r="E105" s="4" t="str">
        <f>IFERROR(__xludf.DUMMYFUNCTION("GOOGLETRANSLATE(N105, ""en"", ""bn"")"),"লাল")</f>
        <v>লাল</v>
      </c>
      <c r="F105" s="4" t="str">
        <f>IFERROR(__xludf.DUMMYFUNCTION("GOOGLETRANSLATE(O105, ""en"", ""bn"")"),"সবুজ")</f>
        <v>সবুজ</v>
      </c>
      <c r="G105" s="4" t="str">
        <f>IFERROR(__xludf.DUMMYFUNCTION("GOOGLETRANSLATE(P105, ""en"", ""bn"")"),"লাল")</f>
        <v>লাল</v>
      </c>
      <c r="H105" s="4" t="str">
        <f>IFERROR(__xludf.DUMMYFUNCTION("GOOGLETRANSLATE(Q105, ""en"", ""bn"")"),"ছবি৬")</f>
        <v>ছবি৬</v>
      </c>
      <c r="J105" s="5" t="str">
        <f>IFERROR(__xludf.DUMMYFUNCTION("GOOGLETRANSLATE(A105, ""bn"", ""en"")"),"104")</f>
        <v>104</v>
      </c>
      <c r="K105" s="16" t="s">
        <v>959</v>
      </c>
      <c r="L105" s="16" t="s">
        <v>274</v>
      </c>
      <c r="M105" s="16" t="s">
        <v>790</v>
      </c>
      <c r="N105" s="16" t="s">
        <v>275</v>
      </c>
      <c r="O105" s="16" t="s">
        <v>272</v>
      </c>
      <c r="P105" s="16" t="s">
        <v>275</v>
      </c>
      <c r="Q105" s="7" t="s">
        <v>68</v>
      </c>
    </row>
    <row r="106">
      <c r="A106" s="3">
        <v>105.0</v>
      </c>
      <c r="B106" s="4" t="str">
        <f>IFERROR(__xludf.DUMMYFUNCTION("GOOGLETRANSLATE(K106, ""en"", ""bn"")"),"এই অনুষ্ঠানের সম্ভাব্য পরিবেশ কী?")</f>
        <v>এই অনুষ্ঠানের সম্ভাব্য পরিবেশ কী?</v>
      </c>
      <c r="C106" s="4" t="str">
        <f>IFERROR(__xludf.DUMMYFUNCTION("GOOGLETRANSLATE(L106, ""en"", ""bn"")"),"একটি ইনডোর স্টেডিয়াম")</f>
        <v>একটি ইনডোর স্টেডিয়াম</v>
      </c>
      <c r="D106" s="4" t="str">
        <f>IFERROR(__xludf.DUMMYFUNCTION("GOOGLETRANSLATE(M106, ""en"", ""bn"")"),"গ্রামীণ মাঠ")</f>
        <v>গ্রামীণ মাঠ</v>
      </c>
      <c r="E106" s="4" t="str">
        <f>IFERROR(__xludf.DUMMYFUNCTION("GOOGLETRANSLATE(N106, ""en"", ""bn"")"),"একটি শহরের পার্ক")</f>
        <v>একটি শহরের পার্ক</v>
      </c>
      <c r="F106" s="4" t="str">
        <f>IFERROR(__xludf.DUMMYFUNCTION("GOOGLETRANSLATE(O106, ""en"", ""bn"")"),"একটি শপিং মল")</f>
        <v>একটি শপিং মল</v>
      </c>
      <c r="G106" s="4" t="str">
        <f>IFERROR(__xludf.DUMMYFUNCTION("GOOGLETRANSLATE(P106, ""en"", ""bn"")"),"গ্রামীণ মাঠ")</f>
        <v>গ্রামীণ মাঠ</v>
      </c>
      <c r="H106" s="4" t="str">
        <f>IFERROR(__xludf.DUMMYFUNCTION("GOOGLETRANSLATE(Q106, ""en"", ""bn"")"),"ছবি৬")</f>
        <v>ছবি৬</v>
      </c>
      <c r="J106" s="5" t="str">
        <f>IFERROR(__xludf.DUMMYFUNCTION("GOOGLETRANSLATE(A106, ""bn"", ""en"")"),"105")</f>
        <v>105</v>
      </c>
      <c r="K106" s="16" t="s">
        <v>766</v>
      </c>
      <c r="L106" s="16" t="s">
        <v>346</v>
      </c>
      <c r="M106" s="16" t="s">
        <v>844</v>
      </c>
      <c r="N106" s="16" t="s">
        <v>842</v>
      </c>
      <c r="O106" s="16" t="s">
        <v>960</v>
      </c>
      <c r="P106" s="16" t="s">
        <v>844</v>
      </c>
      <c r="Q106" s="7" t="s">
        <v>68</v>
      </c>
    </row>
    <row r="107">
      <c r="A107" s="3">
        <v>106.0</v>
      </c>
      <c r="B107" s="4" t="str">
        <f>IFERROR(__xludf.DUMMYFUNCTION("GOOGLETRANSLATE(K107, ""en"", ""bn"")"),"ভিড়ের আকার সম্পর্কে কি অনুমান করা যেতে পারে?")</f>
        <v>ভিড়ের আকার সম্পর্কে কি অনুমান করা যেতে পারে?</v>
      </c>
      <c r="C107" s="4" t="str">
        <f>IFERROR(__xludf.DUMMYFUNCTION("GOOGLETRANSLATE(L107, ""en"", ""bn"")"),"এটা খুবই ছোট, মাত্র কয়েকজন মানুষ")</f>
        <v>এটা খুবই ছোট, মাত্র কয়েকজন মানুষ</v>
      </c>
      <c r="D107" s="4" t="str">
        <f>IFERROR(__xludf.DUMMYFUNCTION("GOOGLETRANSLATE(M107, ""en"", ""bn"")"),"এটি মানুষের একটি বিশাল সমাবেশ।")</f>
        <v>এটি মানুষের একটি বিশাল সমাবেশ।</v>
      </c>
      <c r="E107" s="4" t="str">
        <f>IFERROR(__xludf.DUMMYFUNCTION("GOOGLETRANSLATE(N107, ""en"", ""bn"")"),"এটা শুধুমাত্র শিশুরা")</f>
        <v>এটা শুধুমাত্র শিশুরা</v>
      </c>
      <c r="F107" s="4" t="str">
        <f>IFERROR(__xludf.DUMMYFUNCTION("GOOGLETRANSLATE(O107, ""en"", ""bn"")"),"এটা শুধুমাত্র পুরুষদের জন্য")</f>
        <v>এটা শুধুমাত্র পুরুষদের জন্য</v>
      </c>
      <c r="G107" s="4" t="str">
        <f>IFERROR(__xludf.DUMMYFUNCTION("GOOGLETRANSLATE(P107, ""en"", ""bn"")"),"এটি মানুষের একটি বিশাল সমাবেশ।")</f>
        <v>এটি মানুষের একটি বিশাল সমাবেশ।</v>
      </c>
      <c r="H107" s="4" t="str">
        <f>IFERROR(__xludf.DUMMYFUNCTION("GOOGLETRANSLATE(Q107, ""en"", ""bn"")"),"ছবি৬")</f>
        <v>ছবি৬</v>
      </c>
      <c r="J107" s="5" t="str">
        <f>IFERROR(__xludf.DUMMYFUNCTION("GOOGLETRANSLATE(A107, ""bn"", ""en"")"),"106")</f>
        <v>106</v>
      </c>
      <c r="K107" s="16" t="s">
        <v>961</v>
      </c>
      <c r="L107" s="16" t="s">
        <v>962</v>
      </c>
      <c r="M107" s="16" t="s">
        <v>963</v>
      </c>
      <c r="N107" s="16" t="s">
        <v>964</v>
      </c>
      <c r="O107" s="16" t="s">
        <v>965</v>
      </c>
      <c r="P107" s="16" t="s">
        <v>963</v>
      </c>
      <c r="Q107" s="7" t="s">
        <v>68</v>
      </c>
      <c r="R107" s="17"/>
    </row>
    <row r="108">
      <c r="A108" s="3">
        <v>107.0</v>
      </c>
      <c r="B108" s="4" t="str">
        <f>IFERROR(__xludf.DUMMYFUNCTION("GOOGLETRANSLATE(K108, ""en"", ""bn"")"),"এই ফটোতে দেখানো লাঠি খেলা পারফরম্যান্সের একটি মূল উপাদান কী?")</f>
        <v>এই ফটোতে দেখানো লাঠি খেলা পারফরম্যান্সের একটি মূল উপাদান কী?</v>
      </c>
      <c r="C108" s="4" t="str">
        <f>IFERROR(__xludf.DUMMYFUNCTION("GOOGLETRANSLATE(L108, ""en"", ""bn"")"),"স্বতন্ত্র দ্বৈত")</f>
        <v>স্বতন্ত্র দ্বৈত</v>
      </c>
      <c r="D108" s="4" t="str">
        <f>IFERROR(__xludf.DUMMYFUNCTION("GOOGLETRANSLATE(M108, ""en"", ""bn"")"),"গ্রুপ সিঙ্ক্রোনাইজড মুভমেন্ট")</f>
        <v>গ্রুপ সিঙ্ক্রোনাইজড মুভমেন্ট</v>
      </c>
      <c r="E108" s="4" t="str">
        <f>IFERROR(__xludf.DUMMYFUNCTION("GOOGLETRANSLATE(N108, ""en"", ""bn"")"),"একের পর এক লড়াই")</f>
        <v>একের পর এক লড়াই</v>
      </c>
      <c r="F108" s="4" t="str">
        <f>IFERROR(__xludf.DUMMYFUNCTION("GOOGLETRANSLATE(O108, ""en"", ""bn"")"),"একটি রিলে রেস")</f>
        <v>একটি রিলে রেস</v>
      </c>
      <c r="G108" s="4" t="str">
        <f>IFERROR(__xludf.DUMMYFUNCTION("GOOGLETRANSLATE(P108, ""en"", ""bn"")"),"গ্রুপ সিঙ্ক্রোনাইজড মুভমেন্ট")</f>
        <v>গ্রুপ সিঙ্ক্রোনাইজড মুভমেন্ট</v>
      </c>
      <c r="H108" s="4" t="str">
        <f>IFERROR(__xludf.DUMMYFUNCTION("GOOGLETRANSLATE(Q108, ""en"", ""bn"")"),"ছবি৬")</f>
        <v>ছবি৬</v>
      </c>
      <c r="J108" s="5" t="str">
        <f>IFERROR(__xludf.DUMMYFUNCTION("GOOGLETRANSLATE(A108, ""bn"", ""en"")"),"107")</f>
        <v>107</v>
      </c>
      <c r="K108" s="16" t="s">
        <v>966</v>
      </c>
      <c r="L108" s="16" t="s">
        <v>967</v>
      </c>
      <c r="M108" s="16" t="s">
        <v>968</v>
      </c>
      <c r="N108" s="16" t="s">
        <v>969</v>
      </c>
      <c r="O108" s="16" t="s">
        <v>970</v>
      </c>
      <c r="P108" s="16" t="s">
        <v>968</v>
      </c>
      <c r="Q108" s="7" t="s">
        <v>68</v>
      </c>
    </row>
    <row r="109">
      <c r="A109" s="3">
        <v>108.0</v>
      </c>
      <c r="B109" s="4" t="str">
        <f>IFERROR(__xludf.DUMMYFUNCTION("GOOGLETRANSLATE(K109, ""en"", ""bn"")"),"অগ্রভাগের মানুষ এবং অন্যান্য অভিনয়শিল্পীদের মধ্যে একটি দৃশ্যমান পার্থক্য কী?")</f>
        <v>অগ্রভাগের মানুষ এবং অন্যান্য অভিনয়শিল্পীদের মধ্যে একটি দৃশ্যমান পার্থক্য কী?</v>
      </c>
      <c r="C109" s="4" t="str">
        <f>IFERROR(__xludf.DUMMYFUNCTION("GOOGLETRANSLATE(L109, ""en"", ""bn"")"),"সে অন্য রঙের শার্ট পরে আছে।")</f>
        <v>সে অন্য রঙের শার্ট পরে আছে।</v>
      </c>
      <c r="D109" s="4" t="str">
        <f>IFERROR(__xludf.DUMMYFUNCTION("GOOGLETRANSLATE(M109, ""en"", ""bn"")"),"তিনি অন্যদের চেয়ে বয়সে বড়")</f>
        <v>তিনি অন্যদের চেয়ে বয়সে বড়</v>
      </c>
      <c r="E109" s="4" t="str">
        <f>IFERROR(__xludf.DUMMYFUNCTION("GOOGLETRANSLATE(N109, ""en"", ""bn"")"),"তিনি অন্যদের চেয়ে লম্বা")</f>
        <v>তিনি অন্যদের চেয়ে লম্বা</v>
      </c>
      <c r="F109" s="4" t="str">
        <f>IFERROR(__xludf.DUMMYFUNCTION("GOOGLETRANSLATE(O109, ""en"", ""bn"")"),"তিনি একটি লাঠি ধরছেন না")</f>
        <v>তিনি একটি লাঠি ধরছেন না</v>
      </c>
      <c r="G109" s="4" t="str">
        <f>IFERROR(__xludf.DUMMYFUNCTION("GOOGLETRANSLATE(P109, ""en"", ""bn"")"),"তিনি অন্যদের চেয়ে বয়সে বড়")</f>
        <v>তিনি অন্যদের চেয়ে বয়সে বড়</v>
      </c>
      <c r="H109" s="4" t="str">
        <f>IFERROR(__xludf.DUMMYFUNCTION("GOOGLETRANSLATE(Q109, ""en"", ""bn"")"),"ছবি৬")</f>
        <v>ছবি৬</v>
      </c>
      <c r="J109" s="5" t="str">
        <f>IFERROR(__xludf.DUMMYFUNCTION("GOOGLETRANSLATE(A109, ""bn"", ""en"")"),"108")</f>
        <v>108</v>
      </c>
      <c r="K109" s="16" t="s">
        <v>971</v>
      </c>
      <c r="L109" s="16" t="s">
        <v>972</v>
      </c>
      <c r="M109" s="16" t="s">
        <v>973</v>
      </c>
      <c r="N109" s="16" t="s">
        <v>974</v>
      </c>
      <c r="O109" s="16" t="s">
        <v>975</v>
      </c>
      <c r="P109" s="16" t="s">
        <v>973</v>
      </c>
      <c r="Q109" s="7" t="s">
        <v>68</v>
      </c>
    </row>
    <row r="110">
      <c r="A110" s="3">
        <v>109.0</v>
      </c>
      <c r="B110" s="4" t="str">
        <f>IFERROR(__xludf.DUMMYFUNCTION("GOOGLETRANSLATE(K110, ""en"", ""bn"")"),"ডান এবং বামে কিছু পারফরমার তাদের পায়ে কি পরছে?")</f>
        <v>ডান এবং বামে কিছু পারফরমার তাদের পায়ে কি পরছে?</v>
      </c>
      <c r="C110" s="4" t="str">
        <f>IFERROR(__xludf.DUMMYFUNCTION("GOOGLETRANSLATE(L110, ""en"", ""bn"")"),"মোজা এবং জুতা")</f>
        <v>মোজা এবং জুতা</v>
      </c>
      <c r="D110" s="4" t="str">
        <f>IFERROR(__xludf.DUMMYFUNCTION("GOOGLETRANSLATE(M110, ""en"", ""bn"")"),"লেগ গার্ড বা মোড়ানো")</f>
        <v>লেগ গার্ড বা মোড়ানো</v>
      </c>
      <c r="E110" s="4" t="str">
        <f>IFERROR(__xludf.DUMMYFUNCTION("GOOGLETRANSLATE(N110, ""en"", ""bn"")"),"তাদের পায়ে কিছুই নেই")</f>
        <v>তাদের পায়ে কিছুই নেই</v>
      </c>
      <c r="F110" s="4" t="str">
        <f>IFERROR(__xludf.DUMMYFUNCTION("GOOGLETRANSLATE(O110, ""en"", ""bn"")"),"লম্বা প্যান্ট")</f>
        <v>লম্বা প্যান্ট</v>
      </c>
      <c r="G110" s="4" t="str">
        <f>IFERROR(__xludf.DUMMYFUNCTION("GOOGLETRANSLATE(P110, ""en"", ""bn"")"),"লেগ গার্ড বা মোড়ানো")</f>
        <v>লেগ গার্ড বা মোড়ানো</v>
      </c>
      <c r="H110" s="4" t="str">
        <f>IFERROR(__xludf.DUMMYFUNCTION("GOOGLETRANSLATE(Q110, ""en"", ""bn"")"),"ছবি৬")</f>
        <v>ছবি৬</v>
      </c>
      <c r="J110" s="5" t="str">
        <f>IFERROR(__xludf.DUMMYFUNCTION("GOOGLETRANSLATE(A110, ""bn"", ""en"")"),"109")</f>
        <v>109</v>
      </c>
      <c r="K110" s="16" t="s">
        <v>976</v>
      </c>
      <c r="L110" s="16" t="s">
        <v>977</v>
      </c>
      <c r="M110" s="16" t="s">
        <v>978</v>
      </c>
      <c r="N110" s="16" t="s">
        <v>979</v>
      </c>
      <c r="O110" s="16" t="s">
        <v>980</v>
      </c>
      <c r="P110" s="16" t="s">
        <v>978</v>
      </c>
      <c r="Q110" s="7" t="s">
        <v>68</v>
      </c>
      <c r="R110" s="18"/>
      <c r="S110" s="18"/>
    </row>
    <row r="111">
      <c r="A111" s="3">
        <v>110.0</v>
      </c>
      <c r="B111" s="4" t="str">
        <f>IFERROR(__xludf.DUMMYFUNCTION("GOOGLETRANSLATE(K111, ""en"", ""bn"")"),"প্রশস্ত, উন্মুক্ত মাঠের পরিবেশ পারফর্ম্যান্সের প্রকৃতি সম্পর্কে কী ইঙ্গিত দেয়?")</f>
        <v>প্রশস্ত, উন্মুক্ত মাঠের পরিবেশ পারফর্ম্যান্সের প্রকৃতি সম্পর্কে কী ইঙ্গিত দেয়?</v>
      </c>
      <c r="C111" s="4" t="str">
        <f>IFERROR(__xludf.DUMMYFUNCTION("GOOGLETRANSLATE(L111, ""en"", ""bn"")"),"এটি একটি ব্যক্তিগত অনুষ্ঠান")</f>
        <v>এটি একটি ব্যক্তিগত অনুষ্ঠান</v>
      </c>
      <c r="D111" s="4" t="str">
        <f>IFERROR(__xludf.DUMMYFUNCTION("GOOGLETRANSLATE(M111, ""en"", ""bn"")"),"এটি একটি বৃহৎ, সম্প্রদায়-ভিত্তিক উৎসব")</f>
        <v>এটি একটি বৃহৎ, সম্প্রদায়-ভিত্তিক উৎসব</v>
      </c>
      <c r="E111" s="4" t="str">
        <f>IFERROR(__xludf.DUMMYFUNCTION("GOOGLETRANSLATE(N111, ""en"", ""bn"")"),"এটি একটি আনুষ্ঠানিক প্রতিযোগিতা")</f>
        <v>এটি একটি আনুষ্ঠানিক প্রতিযোগিতা</v>
      </c>
      <c r="F111" s="4" t="str">
        <f>IFERROR(__xludf.DUMMYFUNCTION("GOOGLETRANSLATE(O111, ""en"", ""bn"")"),"এটি একটি গোপন আচার")</f>
        <v>এটি একটি গোপন আচার</v>
      </c>
      <c r="G111" s="4" t="str">
        <f>IFERROR(__xludf.DUMMYFUNCTION("GOOGLETRANSLATE(P111, ""en"", ""bn"")"),"এটি একটি বৃহৎ, সম্প্রদায়-ভিত্তিক উৎসব")</f>
        <v>এটি একটি বৃহৎ, সম্প্রদায়-ভিত্তিক উৎসব</v>
      </c>
      <c r="H111" s="4" t="str">
        <f>IFERROR(__xludf.DUMMYFUNCTION("GOOGLETRANSLATE(Q111, ""en"", ""bn"")"),"ছবি৬")</f>
        <v>ছবি৬</v>
      </c>
      <c r="J111" s="5" t="str">
        <f>IFERROR(__xludf.DUMMYFUNCTION("GOOGLETRANSLATE(A111, ""bn"", ""en"")"),"110")</f>
        <v>110</v>
      </c>
      <c r="K111" s="16" t="s">
        <v>981</v>
      </c>
      <c r="L111" s="16" t="s">
        <v>982</v>
      </c>
      <c r="M111" s="16" t="s">
        <v>983</v>
      </c>
      <c r="N111" s="16" t="s">
        <v>984</v>
      </c>
      <c r="O111" s="16" t="s">
        <v>985</v>
      </c>
      <c r="P111" s="16" t="s">
        <v>983</v>
      </c>
      <c r="Q111" s="7" t="s">
        <v>68</v>
      </c>
    </row>
    <row r="112">
      <c r="A112" s="3">
        <v>111.0</v>
      </c>
      <c r="B112" s="4" t="str">
        <f>IFERROR(__xludf.DUMMYFUNCTION("GOOGLETRANSLATE(K112, ""en"", ""bn"")"),"উভয় অংশগ্রহণকারীর হাতে থাকা বোনা বৃত্তাকার বস্তুর উদ্দেশ্য কী?")</f>
        <v>উভয় অংশগ্রহণকারীর হাতে থাকা বোনা বৃত্তাকার বস্তুর উদ্দেশ্য কী?</v>
      </c>
      <c r="C112" s="4" t="str">
        <f>IFERROR(__xludf.DUMMYFUNCTION("GOOGLETRANSLATE(L112, ""en"", ""bn"")"),"খাবার পরিবেশন করতে")</f>
        <v>খাবার পরিবেশন করতে</v>
      </c>
      <c r="D112" s="4" t="str">
        <f>IFERROR(__xludf.DUMMYFUNCTION("GOOGLETRANSLATE(M112, ""en"", ""bn"")"),"প্রতিপক্ষের দিকে নিক্ষেপ করা")</f>
        <v>প্রতিপক্ষের দিকে নিক্ষেপ করা</v>
      </c>
      <c r="E112" s="4" t="str">
        <f>IFERROR(__xludf.DUMMYFUNCTION("GOOGLETRANSLATE(N112, ""en"", ""bn"")"),"ঢাল হিসেবে ব্যবহার করা")</f>
        <v>ঢাল হিসেবে ব্যবহার করা</v>
      </c>
      <c r="F112" s="4" t="str">
        <f>IFERROR(__xludf.DUMMYFUNCTION("GOOGLETRANSLATE(O112, ""en"", ""bn"")"),"টাকা সংগ্রহ করতে")</f>
        <v>টাকা সংগ্রহ করতে</v>
      </c>
      <c r="G112" s="4" t="str">
        <f>IFERROR(__xludf.DUMMYFUNCTION("GOOGLETRANSLATE(P112, ""en"", ""bn"")"),"ঢাল হিসেবে ব্যবহার করা")</f>
        <v>ঢাল হিসেবে ব্যবহার করা</v>
      </c>
      <c r="H112" s="4" t="str">
        <f>IFERROR(__xludf.DUMMYFUNCTION("GOOGLETRANSLATE(Q112, ""en"", ""bn"")"),"ছবি7")</f>
        <v>ছবি7</v>
      </c>
      <c r="J112" s="5" t="str">
        <f>IFERROR(__xludf.DUMMYFUNCTION("GOOGLETRANSLATE(A112, ""bn"", ""en"")"),"111")</f>
        <v>111</v>
      </c>
      <c r="K112" s="16" t="s">
        <v>986</v>
      </c>
      <c r="L112" s="16" t="s">
        <v>917</v>
      </c>
      <c r="M112" s="16" t="s">
        <v>724</v>
      </c>
      <c r="N112" s="16" t="s">
        <v>725</v>
      </c>
      <c r="O112" s="16" t="s">
        <v>987</v>
      </c>
      <c r="P112" s="16" t="s">
        <v>725</v>
      </c>
      <c r="Q112" s="7" t="s">
        <v>72</v>
      </c>
    </row>
    <row r="113">
      <c r="A113" s="3">
        <v>112.0</v>
      </c>
      <c r="B113" s="4" t="str">
        <f>IFERROR(__xludf.DUMMYFUNCTION("GOOGLETRANSLATE(K113, ""en"", ""bn"")"),"ডানদিকে অংশগ্রহণকারীর লিঙ্গ কী?")</f>
        <v>ডানদিকে অংশগ্রহণকারীর লিঙ্গ কী?</v>
      </c>
      <c r="C113" s="4" t="str">
        <f>IFERROR(__xludf.DUMMYFUNCTION("GOOGLETRANSLATE(L113, ""en"", ""bn"")"),"পুরুষ")</f>
        <v>পুরুষ</v>
      </c>
      <c r="D113" s="4" t="str">
        <f>IFERROR(__xludf.DUMMYFUNCTION("GOOGLETRANSLATE(M113, ""en"", ""bn"")"),"মহিলা")</f>
        <v>মহিলা</v>
      </c>
      <c r="E113" s="4" t="str">
        <f>IFERROR(__xludf.DUMMYFUNCTION("GOOGLETRANSLATE(N113, ""en"", ""bn"")"),"অনির্ধারিত")</f>
        <v>অনির্ধারিত</v>
      </c>
      <c r="F113" s="4" t="str">
        <f>IFERROR(__xludf.DUMMYFUNCTION("GOOGLETRANSLATE(O113, ""en"", ""bn"")"),"নন-বাইনারী")</f>
        <v>নন-বাইনারী</v>
      </c>
      <c r="G113" s="4" t="str">
        <f>IFERROR(__xludf.DUMMYFUNCTION("GOOGLETRANSLATE(P113, ""en"", ""bn"")"),"মহিলা")</f>
        <v>মহিলা</v>
      </c>
      <c r="H113" s="4" t="str">
        <f>IFERROR(__xludf.DUMMYFUNCTION("GOOGLETRANSLATE(Q113, ""en"", ""bn"")"),"ছবি7")</f>
        <v>ছবি7</v>
      </c>
      <c r="J113" s="5" t="str">
        <f>IFERROR(__xludf.DUMMYFUNCTION("GOOGLETRANSLATE(A113, ""bn"", ""en"")"),"112")</f>
        <v>112</v>
      </c>
      <c r="K113" s="16" t="s">
        <v>988</v>
      </c>
      <c r="L113" s="16" t="s">
        <v>989</v>
      </c>
      <c r="M113" s="16" t="s">
        <v>990</v>
      </c>
      <c r="N113" s="16" t="s">
        <v>991</v>
      </c>
      <c r="O113" s="16" t="s">
        <v>992</v>
      </c>
      <c r="P113" s="16" t="s">
        <v>990</v>
      </c>
      <c r="Q113" s="7" t="s">
        <v>72</v>
      </c>
    </row>
    <row r="114">
      <c r="A114" s="3">
        <v>113.0</v>
      </c>
      <c r="B114" s="4" t="str">
        <f>IFERROR(__xludf.DUMMYFUNCTION("GOOGLETRANSLATE(K114, ""en"", ""bn"")"),"বাম দিকের অংশগ্রহণকারীর পরা পোশাকের প্রধান রঙ কী?")</f>
        <v>বাম দিকের অংশগ্রহণকারীর পরা পোশাকের প্রধান রঙ কী?</v>
      </c>
      <c r="C114" s="4" t="str">
        <f>IFERROR(__xludf.DUMMYFUNCTION("GOOGLETRANSLATE(L114, ""en"", ""bn"")"),"কালো")</f>
        <v>কালো</v>
      </c>
      <c r="D114" s="4" t="str">
        <f>IFERROR(__xludf.DUMMYFUNCTION("GOOGLETRANSLATE(M114, ""en"", ""bn"")"),"নীল")</f>
        <v>নীল</v>
      </c>
      <c r="E114" s="4" t="str">
        <f>IFERROR(__xludf.DUMMYFUNCTION("GOOGLETRANSLATE(N114, ""en"", ""bn"")"),"লাল এবং সবুজ")</f>
        <v>লাল এবং সবুজ</v>
      </c>
      <c r="F114" s="4" t="str">
        <f>IFERROR(__xludf.DUMMYFUNCTION("GOOGLETRANSLATE(O114, ""en"", ""bn"")"),"সাদা")</f>
        <v>সাদা</v>
      </c>
      <c r="G114" s="4" t="str">
        <f>IFERROR(__xludf.DUMMYFUNCTION("GOOGLETRANSLATE(P114, ""en"", ""bn"")"),"লাল এবং সবুজ")</f>
        <v>লাল এবং সবুজ</v>
      </c>
      <c r="H114" s="4" t="str">
        <f>IFERROR(__xludf.DUMMYFUNCTION("GOOGLETRANSLATE(Q114, ""en"", ""bn"")"),"ছবি7")</f>
        <v>ছবি7</v>
      </c>
      <c r="J114" s="5" t="str">
        <f>IFERROR(__xludf.DUMMYFUNCTION("GOOGLETRANSLATE(A114, ""bn"", ""en"")"),"113")</f>
        <v>113</v>
      </c>
      <c r="K114" s="16" t="s">
        <v>993</v>
      </c>
      <c r="L114" s="16" t="s">
        <v>790</v>
      </c>
      <c r="M114" s="16" t="s">
        <v>274</v>
      </c>
      <c r="N114" s="16" t="s">
        <v>428</v>
      </c>
      <c r="O114" s="16" t="s">
        <v>273</v>
      </c>
      <c r="P114" s="16" t="s">
        <v>428</v>
      </c>
      <c r="Q114" s="7" t="s">
        <v>72</v>
      </c>
    </row>
    <row r="115">
      <c r="A115" s="3">
        <v>114.0</v>
      </c>
      <c r="B115" s="4" t="str">
        <f>IFERROR(__xludf.DUMMYFUNCTION("GOOGLETRANSLATE(K115, ""en"", ""bn"")"),"প্রেক্ষাপটে ভিড়ের ব্যস্ততাকে কী বলা যায়?")</f>
        <v>প্রেক্ষাপটে ভিড়ের ব্যস্ততাকে কী বলা যায়?</v>
      </c>
      <c r="C115" s="4" t="str">
        <f>IFERROR(__xludf.DUMMYFUNCTION("GOOGLETRANSLATE(L115, ""en"", ""bn"")"),"তারা আগ্রহী নয় বলে মনে হচ্ছে")</f>
        <v>তারা আগ্রহী নয় বলে মনে হচ্ছে</v>
      </c>
      <c r="D115" s="4" t="str">
        <f>IFERROR(__xludf.DUMMYFUNCTION("GOOGLETRANSLATE(M115, ""en"", ""bn"")"),"তারা সক্রিয়ভাবে ঘটনাটি পর্যবেক্ষণ করছে।")</f>
        <v>তারা সক্রিয়ভাবে ঘটনাটি পর্যবেক্ষণ করছে।</v>
      </c>
      <c r="E115" s="4" t="str">
        <f>IFERROR(__xludf.DUMMYFUNCTION("GOOGLETRANSLATE(N115, ""en"", ""bn"")"),"তারা এলাকা ছেড়ে চলে যাচ্ছে।")</f>
        <v>তারা এলাকা ছেড়ে চলে যাচ্ছে।</v>
      </c>
      <c r="F115" s="4" t="str">
        <f>IFERROR(__xludf.DUMMYFUNCTION("GOOGLETRANSLATE(O115, ""en"", ""bn"")"),"তারা প্রতিবাদ করছে।")</f>
        <v>তারা প্রতিবাদ করছে।</v>
      </c>
      <c r="G115" s="4" t="str">
        <f>IFERROR(__xludf.DUMMYFUNCTION("GOOGLETRANSLATE(P115, ""en"", ""bn"")"),"তারা সক্রিয়ভাবে ঘটনাটি পর্যবেক্ষণ করছে।")</f>
        <v>তারা সক্রিয়ভাবে ঘটনাটি পর্যবেক্ষণ করছে।</v>
      </c>
      <c r="H115" s="4" t="str">
        <f>IFERROR(__xludf.DUMMYFUNCTION("GOOGLETRANSLATE(Q115, ""en"", ""bn"")"),"ছবি7")</f>
        <v>ছবি7</v>
      </c>
      <c r="J115" s="5" t="str">
        <f>IFERROR(__xludf.DUMMYFUNCTION("GOOGLETRANSLATE(A115, ""bn"", ""en"")"),"114")</f>
        <v>114</v>
      </c>
      <c r="K115" s="16" t="s">
        <v>994</v>
      </c>
      <c r="L115" s="16" t="s">
        <v>995</v>
      </c>
      <c r="M115" s="16" t="s">
        <v>996</v>
      </c>
      <c r="N115" s="16" t="s">
        <v>997</v>
      </c>
      <c r="O115" s="16" t="s">
        <v>998</v>
      </c>
      <c r="P115" s="16" t="s">
        <v>996</v>
      </c>
      <c r="Q115" s="7" t="s">
        <v>72</v>
      </c>
    </row>
    <row r="116">
      <c r="A116" s="3">
        <v>115.0</v>
      </c>
      <c r="B116" s="4" t="str">
        <f>IFERROR(__xludf.DUMMYFUNCTION("GOOGLETRANSLATE(K116, ""en"", ""bn"")"),"উভয় অংশগ্রহণকারী দ্বারা ব্যবহৃত প্রধান অস্ত্র কি?")</f>
        <v>উভয় অংশগ্রহণকারী দ্বারা ব্যবহৃত প্রধান অস্ত্র কি?</v>
      </c>
      <c r="C116" s="4" t="str">
        <f>IFERROR(__xludf.DUMMYFUNCTION("GOOGLETRANSLATE(L116, ""en"", ""bn"")"),"একটি তলোয়ার")</f>
        <v>একটি তলোয়ার</v>
      </c>
      <c r="D116" s="4" t="str">
        <f>IFERROR(__xludf.DUMMYFUNCTION("GOOGLETRANSLATE(M116, ""en"", ""bn"")"),"একটা বাঁশের লাঠি")</f>
        <v>একটা বাঁশের লাঠি</v>
      </c>
      <c r="E116" s="4" t="str">
        <f>IFERROR(__xludf.DUMMYFUNCTION("GOOGLETRANSLATE(N116, ""en"", ""bn"")"),"একটি ধাতব রড")</f>
        <v>একটি ধাতব রড</v>
      </c>
      <c r="F116" s="4" t="str">
        <f>IFERROR(__xludf.DUMMYFUNCTION("GOOGLETRANSLATE(O116, ""en"", ""bn"")"),"একটি বর্শা")</f>
        <v>একটি বর্শা</v>
      </c>
      <c r="G116" s="4" t="str">
        <f>IFERROR(__xludf.DUMMYFUNCTION("GOOGLETRANSLATE(P116, ""en"", ""bn"")"),"একটা বাঁশের লাঠি")</f>
        <v>একটা বাঁশের লাঠি</v>
      </c>
      <c r="H116" s="4" t="str">
        <f>IFERROR(__xludf.DUMMYFUNCTION("GOOGLETRANSLATE(Q116, ""en"", ""bn"")"),"ছবি7")</f>
        <v>ছবি7</v>
      </c>
      <c r="J116" s="5" t="str">
        <f>IFERROR(__xludf.DUMMYFUNCTION("GOOGLETRANSLATE(A116, ""bn"", ""en"")"),"115")</f>
        <v>115</v>
      </c>
      <c r="K116" s="16" t="s">
        <v>999</v>
      </c>
      <c r="L116" s="16" t="s">
        <v>780</v>
      </c>
      <c r="M116" s="16" t="s">
        <v>1000</v>
      </c>
      <c r="N116" s="16" t="s">
        <v>953</v>
      </c>
      <c r="O116" s="16" t="s">
        <v>915</v>
      </c>
      <c r="P116" s="16" t="s">
        <v>1000</v>
      </c>
      <c r="Q116" s="7" t="s">
        <v>72</v>
      </c>
    </row>
    <row r="117">
      <c r="A117" s="3">
        <v>116.0</v>
      </c>
      <c r="B117" s="4" t="str">
        <f>IFERROR(__xludf.DUMMYFUNCTION("GOOGLETRANSLATE(K117, ""en"", ""bn"")"),"মহিলা অংশগ্রহণকারীর চুলের স্টাইল কী?")</f>
        <v>মহিলা অংশগ্রহণকারীর চুলের স্টাইল কী?</v>
      </c>
      <c r="C117" s="4" t="str">
        <f>IFERROR(__xludf.DUMMYFUNCTION("GOOGLETRANSLATE(L117, ""en"", ""bn"")"),"ছোট চুল")</f>
        <v>ছোট চুল</v>
      </c>
      <c r="D117" s="4" t="str">
        <f>IFERROR(__xludf.DUMMYFUNCTION("GOOGLETRANSLATE(M117, ""en"", ""bn"")"),"খোঁপায় বাঁধা")</f>
        <v>খোঁপায় বাঁধা</v>
      </c>
      <c r="E117" s="4" t="str">
        <f>IFERROR(__xludf.DUMMYFUNCTION("GOOGLETRANSLATE(N117, ""en"", ""bn"")"),"লম্বা, প্রবাহিত চুল")</f>
        <v>লম্বা, প্রবাহিত চুল</v>
      </c>
      <c r="F117" s="4" t="str">
        <f>IFERROR(__xludf.DUMMYFUNCTION("GOOGLETRANSLATE(O117, ""en"", ""bn"")"),"মাথা কামানো")</f>
        <v>মাথা কামানো</v>
      </c>
      <c r="G117" s="4" t="str">
        <f>IFERROR(__xludf.DUMMYFUNCTION("GOOGLETRANSLATE(P117, ""en"", ""bn"")"),"লম্বা, প্রবাহিত চুল")</f>
        <v>লম্বা, প্রবাহিত চুল</v>
      </c>
      <c r="H117" s="4" t="str">
        <f>IFERROR(__xludf.DUMMYFUNCTION("GOOGLETRANSLATE(Q117, ""en"", ""bn"")"),"ছবি7")</f>
        <v>ছবি7</v>
      </c>
      <c r="J117" s="5" t="str">
        <f>IFERROR(__xludf.DUMMYFUNCTION("GOOGLETRANSLATE(A117, ""bn"", ""en"")"),"116")</f>
        <v>116</v>
      </c>
      <c r="K117" s="16" t="s">
        <v>1001</v>
      </c>
      <c r="L117" s="16" t="s">
        <v>284</v>
      </c>
      <c r="M117" s="16" t="s">
        <v>1002</v>
      </c>
      <c r="N117" s="16" t="s">
        <v>1003</v>
      </c>
      <c r="O117" s="16" t="s">
        <v>1004</v>
      </c>
      <c r="P117" s="16" t="s">
        <v>1003</v>
      </c>
      <c r="Q117" s="7" t="s">
        <v>72</v>
      </c>
    </row>
    <row r="118">
      <c r="A118" s="3">
        <v>117.0</v>
      </c>
      <c r="B118" s="4" t="str">
        <f>IFERROR(__xludf.DUMMYFUNCTION("GOOGLETRANSLATE(K118, ""en"", ""bn"")"),"দুই প্রধান অংশগ্রহণকারীর সামগ্রিক ভঙ্গি কী?")</f>
        <v>দুই প্রধান অংশগ্রহণকারীর সামগ্রিক ভঙ্গি কী?</v>
      </c>
      <c r="C118" s="4" t="str">
        <f>IFERROR(__xludf.DUMMYFUNCTION("GOOGLETRANSLATE(L118, ""en"", ""bn"")"),"আরামদায়ক এবং নৈমিত্তিক")</f>
        <v>আরামদায়ক এবং নৈমিত্তিক</v>
      </c>
      <c r="D118" s="4" t="str">
        <f>IFERROR(__xludf.DUMMYFUNCTION("GOOGLETRANSLATE(M118, ""en"", ""bn"")"),"আক্রমণাত্মক এবং কর্মের জন্য প্রস্তুত")</f>
        <v>আক্রমণাত্মক এবং কর্মের জন্য প্রস্তুত</v>
      </c>
      <c r="E118" s="4" t="str">
        <f>IFERROR(__xludf.DUMMYFUNCTION("GOOGLETRANSLATE(N118, ""en"", ""bn"")"),"অবসর সময়ে হাঁটা")</f>
        <v>অবসর সময়ে হাঁটা</v>
      </c>
      <c r="F118" s="4" t="str">
        <f>IFERROR(__xludf.DUMMYFUNCTION("GOOGLETRANSLATE(O118, ""en"", ""bn"")"),"বসে থাকা এবং বিশ্রাম নেওয়া")</f>
        <v>বসে থাকা এবং বিশ্রাম নেওয়া</v>
      </c>
      <c r="G118" s="4" t="str">
        <f>IFERROR(__xludf.DUMMYFUNCTION("GOOGLETRANSLATE(P118, ""en"", ""bn"")"),"আক্রমণাত্মক এবং কর্মের জন্য প্রস্তুত")</f>
        <v>আক্রমণাত্মক এবং কর্মের জন্য প্রস্তুত</v>
      </c>
      <c r="H118" s="4" t="str">
        <f>IFERROR(__xludf.DUMMYFUNCTION("GOOGLETRANSLATE(Q118, ""en"", ""bn"")"),"ছবি7")</f>
        <v>ছবি7</v>
      </c>
      <c r="J118" s="5" t="str">
        <f>IFERROR(__xludf.DUMMYFUNCTION("GOOGLETRANSLATE(A118, ""bn"", ""en"")"),"117")</f>
        <v>117</v>
      </c>
      <c r="K118" s="16" t="s">
        <v>1005</v>
      </c>
      <c r="L118" s="16" t="s">
        <v>1006</v>
      </c>
      <c r="M118" s="16" t="s">
        <v>1007</v>
      </c>
      <c r="N118" s="16" t="s">
        <v>1008</v>
      </c>
      <c r="O118" s="16" t="s">
        <v>1009</v>
      </c>
      <c r="P118" s="16" t="s">
        <v>1007</v>
      </c>
      <c r="Q118" s="7" t="s">
        <v>72</v>
      </c>
    </row>
    <row r="119">
      <c r="A119" s="3">
        <v>118.0</v>
      </c>
      <c r="B119" s="4" t="str">
        <f>IFERROR(__xludf.DUMMYFUNCTION("GOOGLETRANSLATE(K119, ""en"", ""bn"")"),"এই পারফরম্যান্সের সাংস্কৃতিক তাত্পর্য সম্পর্কে কী অনুমান করা যেতে পারে?")</f>
        <v>এই পারফরম্যান্সের সাংস্কৃতিক তাত্পর্য সম্পর্কে কী অনুমান করা যেতে পারে?</v>
      </c>
      <c r="C119" s="4" t="str">
        <f>IFERROR(__xludf.DUMMYFUNCTION("GOOGLETRANSLATE(L119, ""en"", ""bn"")"),"এটি একটি সাম্প্রতিক আবিষ্কার।")</f>
        <v>এটি একটি সাম্প্রতিক আবিষ্কার।</v>
      </c>
      <c r="D119" s="4" t="str">
        <f>IFERROR(__xludf.DUMMYFUNCTION("GOOGLETRANSLATE(M119, ""en"", ""bn"")"),"এটি একটি ঐতিহ্যবাহী খেলা যা উভয় লিঙ্গ জড়িত")</f>
        <v>এটি একটি ঐতিহ্যবাহী খেলা যা উভয় লিঙ্গ জড়িত</v>
      </c>
      <c r="E119" s="4" t="str">
        <f>IFERROR(__xludf.DUMMYFUNCTION("GOOGLETRANSLATE(N119, ""en"", ""bn"")"),"এটি শুধুমাত্র পুরুষদের জন্য খেলা")</f>
        <v>এটি শুধুমাত্র পুরুষদের জন্য খেলা</v>
      </c>
      <c r="F119" s="4" t="str">
        <f>IFERROR(__xludf.DUMMYFUNCTION("GOOGLETRANSLATE(O119, ""en"", ""bn"")"),"এটি একটি অলিম্পিক খেলা।")</f>
        <v>এটি একটি অলিম্পিক খেলা।</v>
      </c>
      <c r="G119" s="4" t="str">
        <f>IFERROR(__xludf.DUMMYFUNCTION("GOOGLETRANSLATE(P119, ""en"", ""bn"")"),"এটি একটি ঐতিহ্যবাহী খেলা যা উভয় লিঙ্গ জড়িত")</f>
        <v>এটি একটি ঐতিহ্যবাহী খেলা যা উভয় লিঙ্গ জড়িত</v>
      </c>
      <c r="H119" s="4" t="str">
        <f>IFERROR(__xludf.DUMMYFUNCTION("GOOGLETRANSLATE(Q119, ""en"", ""bn"")"),"ছবি7")</f>
        <v>ছবি7</v>
      </c>
      <c r="J119" s="5" t="str">
        <f>IFERROR(__xludf.DUMMYFUNCTION("GOOGLETRANSLATE(A119, ""bn"", ""en"")"),"118")</f>
        <v>118</v>
      </c>
      <c r="K119" s="16" t="s">
        <v>1010</v>
      </c>
      <c r="L119" s="16" t="s">
        <v>1011</v>
      </c>
      <c r="M119" s="16" t="s">
        <v>1012</v>
      </c>
      <c r="N119" s="16" t="s">
        <v>1013</v>
      </c>
      <c r="O119" s="16" t="s">
        <v>1014</v>
      </c>
      <c r="P119" s="16" t="s">
        <v>1012</v>
      </c>
      <c r="Q119" s="7" t="s">
        <v>72</v>
      </c>
    </row>
    <row r="120">
      <c r="A120" s="3">
        <v>119.0</v>
      </c>
      <c r="B120" s="4" t="str">
        <f>IFERROR(__xludf.DUMMYFUNCTION("GOOGLETRANSLATE(K120, ""en"", ""bn"")"),"অনুষ্ঠানটি কোন ধরণের পরিবেশে অনুষ্ঠিত হচ্ছে?")</f>
        <v>অনুষ্ঠানটি কোন ধরণের পরিবেশে অনুষ্ঠিত হচ্ছে?</v>
      </c>
      <c r="C120" s="4" t="str">
        <f>IFERROR(__xludf.DUMMYFUNCTION("GOOGLETRANSLATE(L120, ""en"", ""bn"")"),"একটি ইনডোর জিমনেসিয়াম")</f>
        <v>একটি ইনডোর জিমনেসিয়াম</v>
      </c>
      <c r="D120" s="4" t="str">
        <f>IFERROR(__xludf.DUMMYFUNCTION("GOOGLETRANSLATE(M120, ""en"", ""bn"")"),"স্কুলের উঠোন অথবা খোলা মাঠ")</f>
        <v>স্কুলের উঠোন অথবা খোলা মাঠ</v>
      </c>
      <c r="E120" s="4" t="str">
        <f>IFERROR(__xludf.DUMMYFUNCTION("GOOGLETRANSLATE(N120, ""en"", ""bn"")"),"শহরের রাস্তা")</f>
        <v>শহরের রাস্তা</v>
      </c>
      <c r="F120" s="4" t="str">
        <f>IFERROR(__xludf.DUMMYFUNCTION("GOOGLETRANSLATE(O120, ""en"", ""bn"")"),"একটা পাহাড়ের চূড়া")</f>
        <v>একটা পাহাড়ের চূড়া</v>
      </c>
      <c r="G120" s="4" t="str">
        <f>IFERROR(__xludf.DUMMYFUNCTION("GOOGLETRANSLATE(P120, ""en"", ""bn"")"),"স্কুলের উঠোন অথবা খোলা মাঠ")</f>
        <v>স্কুলের উঠোন অথবা খোলা মাঠ</v>
      </c>
      <c r="H120" s="4" t="str">
        <f>IFERROR(__xludf.DUMMYFUNCTION("GOOGLETRANSLATE(Q120, ""en"", ""bn"")"),"ছবি7")</f>
        <v>ছবি7</v>
      </c>
      <c r="J120" s="5" t="str">
        <f>IFERROR(__xludf.DUMMYFUNCTION("GOOGLETRANSLATE(A120, ""bn"", ""en"")"),"119")</f>
        <v>119</v>
      </c>
      <c r="K120" s="16" t="s">
        <v>1015</v>
      </c>
      <c r="L120" s="16" t="s">
        <v>767</v>
      </c>
      <c r="M120" s="16" t="s">
        <v>1016</v>
      </c>
      <c r="N120" s="16" t="s">
        <v>768</v>
      </c>
      <c r="O120" s="16" t="s">
        <v>1017</v>
      </c>
      <c r="P120" s="16" t="s">
        <v>1016</v>
      </c>
      <c r="Q120" s="7" t="s">
        <v>72</v>
      </c>
      <c r="R120" s="18"/>
      <c r="S120" s="18"/>
    </row>
    <row r="121">
      <c r="A121" s="3">
        <v>120.0</v>
      </c>
      <c r="B121" s="4" t="str">
        <f>IFERROR(__xludf.DUMMYFUNCTION("GOOGLETRANSLATE(K121, ""en"", ""bn"")"),"মহিলা অংশগ্রহণকারীর ঢাল সম্পর্কে একটি উল্লেখযোগ্য বিবরণ কি?")</f>
        <v>মহিলা অংশগ্রহণকারীর ঢাল সম্পর্কে একটি উল্লেখযোগ্য বিবরণ কি?</v>
      </c>
      <c r="C121" s="4" t="str">
        <f>IFERROR(__xludf.DUMMYFUNCTION("GOOGLETRANSLATE(L121, ""en"", ""bn"")"),"এটি ধাতু দিয়ে তৈরি।")</f>
        <v>এটি ধাতু দিয়ে তৈরি।</v>
      </c>
      <c r="D121" s="4" t="str">
        <f>IFERROR(__xludf.DUMMYFUNCTION("GOOGLETRANSLATE(M121, ""en"", ""bn"")"),"এটি একটি আঁকা লোগো আছে")</f>
        <v>এটি একটি আঁকা লোগো আছে</v>
      </c>
      <c r="E121" s="4" t="str">
        <f>IFERROR(__xludf.DUMMYFUNCTION("GOOGLETRANSLATE(N121, ""en"", ""bn"")"),"এটি একটি বোনা উপাদান তৈরি করা হয়")</f>
        <v>এটি একটি বোনা উপাদান তৈরি করা হয়</v>
      </c>
      <c r="F121" s="4" t="str">
        <f>IFERROR(__xludf.DUMMYFUNCTION("GOOGLETRANSLATE(O121, ""en"", ""bn"")"),"এটি স্বচ্ছ।")</f>
        <v>এটি স্বচ্ছ।</v>
      </c>
      <c r="G121" s="4" t="str">
        <f>IFERROR(__xludf.DUMMYFUNCTION("GOOGLETRANSLATE(P121, ""en"", ""bn"")"),"এটি একটি বোনা উপাদান তৈরি করা হয়")</f>
        <v>এটি একটি বোনা উপাদান তৈরি করা হয়</v>
      </c>
      <c r="H121" s="4" t="str">
        <f>IFERROR(__xludf.DUMMYFUNCTION("GOOGLETRANSLATE(Q121, ""en"", ""bn"")"),"ছবি7")</f>
        <v>ছবি7</v>
      </c>
      <c r="J121" s="5" t="str">
        <f>IFERROR(__xludf.DUMMYFUNCTION("GOOGLETRANSLATE(A121, ""bn"", ""en"")"),"120")</f>
        <v>120</v>
      </c>
      <c r="K121" s="16" t="s">
        <v>1018</v>
      </c>
      <c r="L121" s="16" t="s">
        <v>1019</v>
      </c>
      <c r="M121" s="16" t="s">
        <v>1020</v>
      </c>
      <c r="N121" s="16" t="s">
        <v>1021</v>
      </c>
      <c r="O121" s="16" t="s">
        <v>1022</v>
      </c>
      <c r="P121" s="16" t="s">
        <v>1021</v>
      </c>
      <c r="Q121" s="7" t="s">
        <v>72</v>
      </c>
    </row>
    <row r="122">
      <c r="A122" s="3">
        <v>121.0</v>
      </c>
      <c r="B122" s="4" t="str">
        <f>IFERROR(__xludf.DUMMYFUNCTION("GOOGLETRANSLATE(K122, ""en"", ""bn"")"),"দুটি চরিত্র দ্বারা ব্যবহৃত প্রধান প্রপ বা অস্ত্র কি?")</f>
        <v>দুটি চরিত্র দ্বারা ব্যবহৃত প্রধান প্রপ বা অস্ত্র কি?</v>
      </c>
      <c r="C122" s="4" t="str">
        <f>IFERROR(__xludf.DUMMYFUNCTION("GOOGLETRANSLATE(L122, ""en"", ""bn"")"),"একটি তলোয়ার")</f>
        <v>একটি তলোয়ার</v>
      </c>
      <c r="D122" s="4" t="str">
        <f>IFERROR(__xludf.DUMMYFUNCTION("GOOGLETRANSLATE(M122, ""en"", ""bn"")"),"একটি লাঠি বা লাঠি")</f>
        <v>একটি লাঠি বা লাঠি</v>
      </c>
      <c r="E122" s="4" t="str">
        <f>IFERROR(__xludf.DUMMYFUNCTION("GOOGLETRANSLATE(N122, ""en"", ""bn"")"),"একটি ধনুক এবং তীর")</f>
        <v>একটি ধনুক এবং তীর</v>
      </c>
      <c r="F122" s="4" t="str">
        <f>IFERROR(__xludf.DUMMYFUNCTION("GOOGLETRANSLATE(O122, ""en"", ""bn"")"),"একটি ঢাল")</f>
        <v>একটি ঢাল</v>
      </c>
      <c r="G122" s="4" t="str">
        <f>IFERROR(__xludf.DUMMYFUNCTION("GOOGLETRANSLATE(P122, ""en"", ""bn"")"),"একটি লাঠি বা লাঠি")</f>
        <v>একটি লাঠি বা লাঠি</v>
      </c>
      <c r="H122" s="4" t="str">
        <f>IFERROR(__xludf.DUMMYFUNCTION("GOOGLETRANSLATE(Q122, ""en"", ""bn"")"),"ছবি৮")</f>
        <v>ছবি৮</v>
      </c>
      <c r="J122" s="5" t="str">
        <f>IFERROR(__xludf.DUMMYFUNCTION("GOOGLETRANSLATE(A122, ""bn"", ""en"")"),"121")</f>
        <v>121</v>
      </c>
      <c r="K122" s="16" t="s">
        <v>1023</v>
      </c>
      <c r="L122" s="16" t="s">
        <v>780</v>
      </c>
      <c r="M122" s="16" t="s">
        <v>1024</v>
      </c>
      <c r="N122" s="16" t="s">
        <v>1025</v>
      </c>
      <c r="O122" s="16" t="s">
        <v>1026</v>
      </c>
      <c r="P122" s="16" t="s">
        <v>1024</v>
      </c>
      <c r="Q122" s="7" t="s">
        <v>81</v>
      </c>
    </row>
    <row r="123">
      <c r="A123" s="3">
        <v>122.0</v>
      </c>
      <c r="B123" s="4" t="str">
        <f>IFERROR(__xludf.DUMMYFUNCTION("GOOGLETRANSLATE(K123, ""en"", ""bn"")"),"ছবির পটভূমিতে কোন বিখ্যাত কাঠামো দেখানো হয়েছে?")</f>
        <v>ছবির পটভূমিতে কোন বিখ্যাত কাঠামো দেখানো হয়েছে?</v>
      </c>
      <c r="C123" s="4" t="str">
        <f>IFERROR(__xludf.DUMMYFUNCTION("GOOGLETRANSLATE(L123, ""en"", ""bn"")"),"আইফেল টাওয়ার")</f>
        <v>আইফেল টাওয়ার</v>
      </c>
      <c r="D123" s="4" t="str">
        <f>IFERROR(__xludf.DUMMYFUNCTION("GOOGLETRANSLATE(M123, ""en"", ""bn"")"),"চীনের মহাপ্রাচীর")</f>
        <v>চীনের মহাপ্রাচীর</v>
      </c>
      <c r="E123" s="4" t="str">
        <f>IFERROR(__xludf.DUMMYFUNCTION("GOOGLETRANSLATE(N123, ""en"", ""bn"")"),"হাওড়া ব্রিজ")</f>
        <v>হাওড়া ব্রিজ</v>
      </c>
      <c r="F123" s="4" t="str">
        <f>IFERROR(__xludf.DUMMYFUNCTION("GOOGLETRANSLATE(O123, ""en"", ""bn"")"),"গোল্ডেন গেট ব্রিজ")</f>
        <v>গোল্ডেন গেট ব্রিজ</v>
      </c>
      <c r="G123" s="4" t="str">
        <f>IFERROR(__xludf.DUMMYFUNCTION("GOOGLETRANSLATE(P123, ""en"", ""bn"")"),"হাওড়া ব্রিজ")</f>
        <v>হাওড়া ব্রিজ</v>
      </c>
      <c r="H123" s="4" t="str">
        <f>IFERROR(__xludf.DUMMYFUNCTION("GOOGLETRANSLATE(Q123, ""en"", ""bn"")"),"ছবি৮")</f>
        <v>ছবি৮</v>
      </c>
      <c r="J123" s="5" t="str">
        <f>IFERROR(__xludf.DUMMYFUNCTION("GOOGLETRANSLATE(A123, ""bn"", ""en"")"),"122")</f>
        <v>122</v>
      </c>
      <c r="K123" s="16" t="s">
        <v>1027</v>
      </c>
      <c r="L123" s="16" t="s">
        <v>1028</v>
      </c>
      <c r="M123" s="16" t="s">
        <v>1029</v>
      </c>
      <c r="N123" s="16" t="s">
        <v>1030</v>
      </c>
      <c r="O123" s="16" t="s">
        <v>1031</v>
      </c>
      <c r="P123" s="16" t="s">
        <v>1030</v>
      </c>
      <c r="Q123" s="7" t="s">
        <v>81</v>
      </c>
    </row>
    <row r="124">
      <c r="A124" s="3">
        <v>123.0</v>
      </c>
      <c r="B124" s="4" t="str">
        <f>IFERROR(__xludf.DUMMYFUNCTION("GOOGLETRANSLATE(K124, ""en"", ""bn"")"),"""যে লাঠি বাঁধে... সে গরু রাখে!"" লেখাটির কেন্দ্রীয় বার্তা কী?")</f>
        <v>"যে লাঠি বাঁধে... সে গরু রাখে!" লেখাটির কেন্দ্রীয় বার্তা কী?</v>
      </c>
      <c r="C124" s="4" t="str">
        <f>IFERROR(__xludf.DUMMYFUNCTION("GOOGLETRANSLATE(L124, ""en"", ""bn"")"),"লাঠিগুলো গরু চড়াতে ব্যবহৃত হয়")</f>
        <v>লাঠিগুলো গরু চড়াতে ব্যবহৃত হয়</v>
      </c>
      <c r="D124" s="4" t="str">
        <f>IFERROR(__xludf.DUMMYFUNCTION("GOOGLETRANSLATE(M124, ""en"", ""bn"")"),"লড়াইয়ে বিজয়ী একটি গরু রাখতে পায়")</f>
        <v>লড়াইয়ে বিজয়ী একটি গরু রাখতে পায়</v>
      </c>
      <c r="E124" s="4" t="str">
        <f>IFERROR(__xludf.DUMMYFUNCTION("GOOGLETRANSLATE(N124, ""en"", ""bn"")"),"খেলাটি কৃষকদের জন্য")</f>
        <v>খেলাটি কৃষকদের জন্য</v>
      </c>
      <c r="F124" s="4" t="str">
        <f>IFERROR(__xludf.DUMMYFUNCTION("GOOGLETRANSLATE(O124, ""en"", ""bn"")"),"গরু বিজয় বা শক্তির প্রতীক")</f>
        <v>গরু বিজয় বা শক্তির প্রতীক</v>
      </c>
      <c r="G124" s="4" t="str">
        <f>IFERROR(__xludf.DUMMYFUNCTION("GOOGLETRANSLATE(P124, ""en"", ""bn"")"),"গরু বিজয় বা শক্তির প্রতীক")</f>
        <v>গরু বিজয় বা শক্তির প্রতীক</v>
      </c>
      <c r="H124" s="4" t="str">
        <f>IFERROR(__xludf.DUMMYFUNCTION("GOOGLETRANSLATE(Q124, ""en"", ""bn"")"),"ছবি৮")</f>
        <v>ছবি৮</v>
      </c>
      <c r="J124" s="5" t="str">
        <f>IFERROR(__xludf.DUMMYFUNCTION("GOOGLETRANSLATE(A124, ""bn"", ""en"")"),"123")</f>
        <v>123</v>
      </c>
      <c r="K124" s="16" t="s">
        <v>1032</v>
      </c>
      <c r="L124" s="16" t="s">
        <v>1033</v>
      </c>
      <c r="M124" s="16" t="s">
        <v>1034</v>
      </c>
      <c r="N124" s="16" t="s">
        <v>1035</v>
      </c>
      <c r="O124" s="16" t="s">
        <v>1036</v>
      </c>
      <c r="P124" s="16" t="s">
        <v>1036</v>
      </c>
      <c r="Q124" s="7" t="s">
        <v>81</v>
      </c>
    </row>
    <row r="125">
      <c r="A125" s="3">
        <v>124.0</v>
      </c>
      <c r="B125" s="4" t="str">
        <f>IFERROR(__xludf.DUMMYFUNCTION("GOOGLETRANSLATE(K125, ""en"", ""bn"")"),"পটভূমির উপর ভিত্তি করে খেলাধুলার সাংস্কৃতিক উত্স সম্পর্কে কী অনুমান করা যেতে পারে?")</f>
        <v>পটভূমির উপর ভিত্তি করে খেলাধুলার সাংস্কৃতিক উত্স সম্পর্কে কী অনুমান করা যেতে পারে?</v>
      </c>
      <c r="C125" s="4" t="str">
        <f>IFERROR(__xludf.DUMMYFUNCTION("GOOGLETRANSLATE(L125, ""en"", ""bn"")"),"এটি ফ্রান্স থেকে এসেছে")</f>
        <v>এটি ফ্রান্স থেকে এসেছে</v>
      </c>
      <c r="D125" s="4" t="str">
        <f>IFERROR(__xludf.DUMMYFUNCTION("GOOGLETRANSLATE(M125, ""en"", ""bn"")"),"এটি ভারতের পশ্চিমবঙ্গ থেকে এসেছে")</f>
        <v>এটি ভারতের পশ্চিমবঙ্গ থেকে এসেছে</v>
      </c>
      <c r="E125" s="4" t="str">
        <f>IFERROR(__xludf.DUMMYFUNCTION("GOOGLETRANSLATE(N125, ""en"", ""bn"")"),"এটি মার্কিন যুক্তরাষ্ট্র থেকে এসেছে।")</f>
        <v>এটি মার্কিন যুক্তরাষ্ট্র থেকে এসেছে।</v>
      </c>
      <c r="F125" s="4" t="str">
        <f>IFERROR(__xludf.DUMMYFUNCTION("GOOGLETRANSLATE(O125, ""en"", ""bn"")"),"এটি জাপান থেকে এসেছে")</f>
        <v>এটি জাপান থেকে এসেছে</v>
      </c>
      <c r="G125" s="4" t="str">
        <f>IFERROR(__xludf.DUMMYFUNCTION("GOOGLETRANSLATE(P125, ""en"", ""bn"")"),"এটি ভারতের পশ্চিমবঙ্গ থেকে এসেছে")</f>
        <v>এটি ভারতের পশ্চিমবঙ্গ থেকে এসেছে</v>
      </c>
      <c r="H125" s="4" t="str">
        <f>IFERROR(__xludf.DUMMYFUNCTION("GOOGLETRANSLATE(Q125, ""en"", ""bn"")"),"ছবি৮")</f>
        <v>ছবি৮</v>
      </c>
      <c r="J125" s="5" t="str">
        <f>IFERROR(__xludf.DUMMYFUNCTION("GOOGLETRANSLATE(A125, ""bn"", ""en"")"),"124")</f>
        <v>124</v>
      </c>
      <c r="K125" s="16" t="s">
        <v>1037</v>
      </c>
      <c r="L125" s="16" t="s">
        <v>1038</v>
      </c>
      <c r="M125" s="16" t="s">
        <v>1039</v>
      </c>
      <c r="N125" s="16" t="s">
        <v>1040</v>
      </c>
      <c r="O125" s="16" t="s">
        <v>1041</v>
      </c>
      <c r="P125" s="16" t="s">
        <v>1039</v>
      </c>
      <c r="Q125" s="7" t="s">
        <v>81</v>
      </c>
    </row>
    <row r="126">
      <c r="A126" s="3">
        <v>125.0</v>
      </c>
      <c r="B126" s="4" t="str">
        <f>IFERROR(__xludf.DUMMYFUNCTION("GOOGLETRANSLATE(K126, ""en"", ""bn"")"),"শব্দ প্রভাব কি ""CLAT!"" সম্ভবত প্রতিনিধিত্ব করার মানে?")</f>
        <v>শব্দ প্রভাব কি "CLAT!" সম্ভবত প্রতিনিধিত্ব করার মানে?</v>
      </c>
      <c r="C126" s="4" t="str">
        <f>IFERROR(__xludf.DUMMYFUNCTION("GOOGLETRANSLATE(L126, ""en"", ""bn"")"),"করতালির শব্দ")</f>
        <v>করতালির শব্দ</v>
      </c>
      <c r="D126" s="4" t="str">
        <f>IFERROR(__xludf.DUMMYFUNCTION("GOOGLETRANSLATE(M126, ""en"", ""bn"")"),"একে অপরকে লাঠির আঘাতের শব্দ")</f>
        <v>একে অপরকে লাঠির আঘাতের শব্দ</v>
      </c>
      <c r="E126" s="4" t="str">
        <f>IFERROR(__xludf.DUMMYFUNCTION("GOOGLETRANSLATE(N126, ""en"", ""bn"")"),"ঘণ্টা বাজানোর শব্দ")</f>
        <v>ঘণ্টা বাজানোর শব্দ</v>
      </c>
      <c r="F126" s="4" t="str">
        <f>IFERROR(__xludf.DUMMYFUNCTION("GOOGLETRANSLATE(O126, ""en"", ""bn"")"),"হর্নের শব্দ")</f>
        <v>হর্নের শব্দ</v>
      </c>
      <c r="G126" s="4" t="str">
        <f>IFERROR(__xludf.DUMMYFUNCTION("GOOGLETRANSLATE(P126, ""en"", ""bn"")"),"একে অপরকে লাঠির আঘাতের শব্দ")</f>
        <v>একে অপরকে লাঠির আঘাতের শব্দ</v>
      </c>
      <c r="H126" s="4" t="str">
        <f>IFERROR(__xludf.DUMMYFUNCTION("GOOGLETRANSLATE(Q126, ""en"", ""bn"")"),"ছবি৮")</f>
        <v>ছবি৮</v>
      </c>
      <c r="J126" s="5" t="str">
        <f>IFERROR(__xludf.DUMMYFUNCTION("GOOGLETRANSLATE(A126, ""bn"", ""en"")"),"125")</f>
        <v>125</v>
      </c>
      <c r="K126" s="16" t="s">
        <v>1042</v>
      </c>
      <c r="L126" s="16" t="s">
        <v>1043</v>
      </c>
      <c r="M126" s="16" t="s">
        <v>1044</v>
      </c>
      <c r="N126" s="16" t="s">
        <v>1045</v>
      </c>
      <c r="O126" s="16" t="s">
        <v>1046</v>
      </c>
      <c r="P126" s="16" t="s">
        <v>1044</v>
      </c>
      <c r="Q126" s="7" t="s">
        <v>81</v>
      </c>
    </row>
    <row r="127">
      <c r="A127" s="19"/>
      <c r="B127" s="19"/>
      <c r="C127" s="19"/>
      <c r="D127" s="19"/>
      <c r="E127" s="19"/>
      <c r="F127" s="19"/>
      <c r="G127" s="19"/>
      <c r="H127" s="19"/>
      <c r="M127" s="18"/>
    </row>
    <row r="128">
      <c r="A128" s="19"/>
      <c r="B128" s="19"/>
      <c r="C128" s="19"/>
      <c r="D128" s="19"/>
      <c r="E128" s="19"/>
      <c r="F128" s="19"/>
      <c r="G128" s="19"/>
      <c r="H128" s="19"/>
      <c r="M128" s="18"/>
    </row>
    <row r="129">
      <c r="A129" s="19"/>
      <c r="B129" s="19"/>
      <c r="C129" s="19"/>
      <c r="D129" s="19"/>
      <c r="E129" s="19"/>
      <c r="F129" s="19"/>
      <c r="G129" s="19"/>
      <c r="H129" s="19"/>
      <c r="M129" s="18"/>
    </row>
    <row r="130">
      <c r="A130" s="19"/>
      <c r="B130" s="19"/>
      <c r="C130" s="19"/>
      <c r="D130" s="19"/>
      <c r="E130" s="19"/>
      <c r="F130" s="19"/>
      <c r="G130" s="19"/>
      <c r="H130" s="19"/>
      <c r="M130" s="18"/>
    </row>
    <row r="131">
      <c r="A131" s="19"/>
      <c r="B131" s="19"/>
      <c r="C131" s="19"/>
      <c r="D131" s="19"/>
      <c r="E131" s="19"/>
      <c r="F131" s="19"/>
      <c r="G131" s="19"/>
      <c r="H131" s="19"/>
    </row>
    <row r="132">
      <c r="A132" s="19"/>
      <c r="B132" s="19"/>
      <c r="C132" s="19"/>
      <c r="D132" s="19"/>
      <c r="E132" s="19"/>
      <c r="F132" s="19"/>
      <c r="G132" s="19"/>
      <c r="H132" s="19"/>
    </row>
    <row r="133">
      <c r="A133" s="19"/>
      <c r="B133" s="19"/>
      <c r="C133" s="19"/>
      <c r="D133" s="19"/>
      <c r="E133" s="19"/>
      <c r="F133" s="19"/>
      <c r="G133" s="19"/>
      <c r="H133" s="19"/>
    </row>
    <row r="134">
      <c r="A134" s="19"/>
      <c r="B134" s="19"/>
      <c r="C134" s="19"/>
      <c r="D134" s="19"/>
      <c r="E134" s="19"/>
      <c r="F134" s="19"/>
      <c r="G134" s="19"/>
      <c r="H134" s="19"/>
      <c r="M134" s="18"/>
    </row>
    <row r="135">
      <c r="A135" s="19"/>
      <c r="B135" s="19"/>
      <c r="C135" s="19"/>
      <c r="D135" s="19"/>
      <c r="E135" s="19"/>
      <c r="F135" s="19"/>
      <c r="G135" s="19"/>
      <c r="H135" s="19"/>
      <c r="M135" s="20"/>
    </row>
    <row r="136">
      <c r="A136" s="19"/>
      <c r="B136" s="19"/>
      <c r="C136" s="19"/>
      <c r="D136" s="19"/>
      <c r="E136" s="19"/>
      <c r="F136" s="19"/>
      <c r="G136" s="19"/>
      <c r="H136" s="19"/>
      <c r="M136" s="18"/>
      <c r="N136" s="18"/>
      <c r="O136" s="18"/>
      <c r="P136" s="18"/>
      <c r="Q136" s="18"/>
      <c r="R136" s="18"/>
      <c r="S136" s="18"/>
    </row>
    <row r="137">
      <c r="A137" s="19"/>
      <c r="B137" s="19"/>
      <c r="C137" s="19"/>
      <c r="D137" s="19"/>
      <c r="E137" s="19"/>
      <c r="F137" s="19"/>
      <c r="G137" s="19"/>
      <c r="H137" s="19"/>
      <c r="M137" s="18"/>
    </row>
    <row r="138">
      <c r="A138" s="19"/>
      <c r="B138" s="19"/>
      <c r="C138" s="19"/>
      <c r="D138" s="19"/>
      <c r="E138" s="19"/>
      <c r="F138" s="19"/>
      <c r="G138" s="19"/>
      <c r="H138" s="19"/>
      <c r="M138" s="18"/>
    </row>
    <row r="139">
      <c r="A139" s="19"/>
      <c r="B139" s="19"/>
      <c r="C139" s="19"/>
      <c r="D139" s="19"/>
      <c r="E139" s="19"/>
      <c r="F139" s="19"/>
      <c r="G139" s="19"/>
      <c r="H139" s="19"/>
      <c r="M139" s="18"/>
    </row>
    <row r="140">
      <c r="A140" s="19"/>
      <c r="B140" s="19"/>
      <c r="C140" s="19"/>
      <c r="D140" s="19"/>
      <c r="E140" s="19"/>
      <c r="F140" s="19"/>
      <c r="G140" s="19"/>
      <c r="H140" s="19"/>
      <c r="M140" s="18"/>
    </row>
    <row r="141">
      <c r="A141" s="19"/>
      <c r="B141" s="19"/>
      <c r="C141" s="19"/>
      <c r="D141" s="19"/>
      <c r="E141" s="19"/>
      <c r="F141" s="19"/>
      <c r="G141" s="19"/>
      <c r="H141" s="19"/>
      <c r="M141" s="18"/>
    </row>
    <row r="142">
      <c r="A142" s="19"/>
      <c r="B142" s="19"/>
      <c r="C142" s="19"/>
      <c r="D142" s="19"/>
      <c r="E142" s="19"/>
      <c r="F142" s="19"/>
      <c r="G142" s="19"/>
      <c r="H142" s="19"/>
      <c r="M142" s="18"/>
    </row>
    <row r="143">
      <c r="A143" s="19"/>
      <c r="B143" s="19"/>
      <c r="C143" s="19"/>
      <c r="D143" s="19"/>
      <c r="E143" s="19"/>
      <c r="F143" s="19"/>
      <c r="G143" s="19"/>
      <c r="H143" s="19"/>
      <c r="M143" s="18"/>
    </row>
    <row r="144">
      <c r="A144" s="19"/>
      <c r="B144" s="19"/>
      <c r="C144" s="19"/>
      <c r="D144" s="19"/>
      <c r="E144" s="19"/>
      <c r="F144" s="19"/>
      <c r="G144" s="19"/>
      <c r="H144" s="19"/>
      <c r="M144" s="18"/>
    </row>
    <row r="145">
      <c r="A145" s="19"/>
      <c r="B145" s="19"/>
      <c r="C145" s="19"/>
      <c r="D145" s="19"/>
      <c r="E145" s="19"/>
      <c r="F145" s="19"/>
      <c r="G145" s="19"/>
      <c r="H145" s="19"/>
      <c r="M145" s="18"/>
    </row>
    <row r="146">
      <c r="A146" s="19"/>
      <c r="B146" s="19"/>
      <c r="C146" s="19"/>
      <c r="D146" s="19"/>
      <c r="E146" s="19"/>
      <c r="F146" s="19"/>
      <c r="G146" s="19"/>
      <c r="H146" s="19"/>
      <c r="M146" s="18"/>
    </row>
    <row r="147">
      <c r="A147" s="19"/>
      <c r="B147" s="19"/>
      <c r="C147" s="19"/>
      <c r="D147" s="19"/>
      <c r="E147" s="19"/>
      <c r="F147" s="19"/>
      <c r="G147" s="19"/>
      <c r="H147" s="19"/>
      <c r="M147" s="18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  <row r="959">
      <c r="A959" s="19"/>
      <c r="B959" s="19"/>
      <c r="C959" s="19"/>
      <c r="D959" s="19"/>
      <c r="E959" s="19"/>
      <c r="F959" s="19"/>
      <c r="G959" s="19"/>
      <c r="H959" s="19"/>
    </row>
    <row r="960">
      <c r="A960" s="19"/>
      <c r="B960" s="19"/>
      <c r="C960" s="19"/>
      <c r="D960" s="19"/>
      <c r="E960" s="19"/>
      <c r="F960" s="19"/>
      <c r="G960" s="19"/>
      <c r="H960" s="19"/>
    </row>
    <row r="961">
      <c r="A961" s="19"/>
      <c r="B961" s="19"/>
      <c r="C961" s="19"/>
      <c r="D961" s="19"/>
      <c r="E961" s="19"/>
      <c r="F961" s="19"/>
      <c r="G961" s="19"/>
      <c r="H961" s="19"/>
    </row>
    <row r="962">
      <c r="A962" s="19"/>
      <c r="B962" s="19"/>
      <c r="C962" s="19"/>
      <c r="D962" s="19"/>
      <c r="E962" s="19"/>
      <c r="F962" s="19"/>
      <c r="G962" s="19"/>
      <c r="H962" s="19"/>
    </row>
    <row r="963">
      <c r="A963" s="19"/>
      <c r="B963" s="19"/>
      <c r="C963" s="19"/>
      <c r="D963" s="19"/>
      <c r="E963" s="19"/>
      <c r="F963" s="19"/>
      <c r="G963" s="19"/>
      <c r="H963" s="19"/>
    </row>
    <row r="964">
      <c r="A964" s="19"/>
      <c r="B964" s="19"/>
      <c r="C964" s="19"/>
      <c r="D964" s="19"/>
      <c r="E964" s="19"/>
      <c r="F964" s="19"/>
      <c r="G964" s="19"/>
      <c r="H964" s="19"/>
    </row>
    <row r="965">
      <c r="A965" s="19"/>
      <c r="B965" s="19"/>
      <c r="C965" s="19"/>
      <c r="D965" s="19"/>
      <c r="E965" s="19"/>
      <c r="F965" s="19"/>
      <c r="G965" s="19"/>
      <c r="H965" s="19"/>
    </row>
    <row r="966">
      <c r="A966" s="19"/>
      <c r="B966" s="19"/>
      <c r="C966" s="19"/>
      <c r="D966" s="19"/>
      <c r="E966" s="19"/>
      <c r="F966" s="19"/>
      <c r="G966" s="19"/>
      <c r="H966" s="19"/>
    </row>
    <row r="967">
      <c r="A967" s="19"/>
      <c r="B967" s="19"/>
      <c r="C967" s="19"/>
      <c r="D967" s="19"/>
      <c r="E967" s="19"/>
      <c r="F967" s="19"/>
      <c r="G967" s="19"/>
      <c r="H967" s="19"/>
    </row>
    <row r="968">
      <c r="A968" s="19"/>
      <c r="B968" s="19"/>
      <c r="C968" s="19"/>
      <c r="D968" s="19"/>
      <c r="E968" s="19"/>
      <c r="F968" s="19"/>
      <c r="G968" s="19"/>
      <c r="H968" s="19"/>
    </row>
    <row r="969">
      <c r="A969" s="19"/>
      <c r="B969" s="19"/>
      <c r="C969" s="19"/>
      <c r="D969" s="19"/>
      <c r="E969" s="19"/>
      <c r="F969" s="19"/>
      <c r="G969" s="19"/>
      <c r="H969" s="19"/>
    </row>
    <row r="970">
      <c r="A970" s="19"/>
      <c r="B970" s="19"/>
      <c r="C970" s="19"/>
      <c r="D970" s="19"/>
      <c r="E970" s="19"/>
      <c r="F970" s="19"/>
      <c r="G970" s="19"/>
      <c r="H970" s="19"/>
    </row>
    <row r="971">
      <c r="A971" s="19"/>
      <c r="B971" s="19"/>
      <c r="C971" s="19"/>
      <c r="D971" s="19"/>
      <c r="E971" s="19"/>
      <c r="F971" s="19"/>
      <c r="G971" s="19"/>
      <c r="H971" s="19"/>
    </row>
    <row r="972">
      <c r="A972" s="19"/>
      <c r="B972" s="19"/>
      <c r="C972" s="19"/>
      <c r="D972" s="19"/>
      <c r="E972" s="19"/>
      <c r="F972" s="19"/>
      <c r="G972" s="19"/>
      <c r="H972" s="19"/>
    </row>
    <row r="973">
      <c r="A973" s="19"/>
      <c r="B973" s="19"/>
      <c r="C973" s="19"/>
      <c r="D973" s="19"/>
      <c r="E973" s="19"/>
      <c r="F973" s="19"/>
      <c r="G973" s="19"/>
      <c r="H973" s="19"/>
    </row>
    <row r="974">
      <c r="A974" s="19"/>
      <c r="B974" s="19"/>
      <c r="C974" s="19"/>
      <c r="D974" s="19"/>
      <c r="E974" s="19"/>
      <c r="F974" s="19"/>
      <c r="G974" s="19"/>
      <c r="H974" s="19"/>
    </row>
    <row r="975">
      <c r="A975" s="19"/>
      <c r="B975" s="19"/>
      <c r="C975" s="19"/>
      <c r="D975" s="19"/>
      <c r="E975" s="19"/>
      <c r="F975" s="19"/>
      <c r="G975" s="19"/>
      <c r="H975" s="19"/>
    </row>
    <row r="976">
      <c r="A976" s="19"/>
      <c r="B976" s="19"/>
      <c r="C976" s="19"/>
      <c r="D976" s="19"/>
      <c r="E976" s="19"/>
      <c r="F976" s="19"/>
      <c r="G976" s="19"/>
      <c r="H976" s="19"/>
    </row>
    <row r="977">
      <c r="A977" s="19"/>
      <c r="B977" s="19"/>
      <c r="C977" s="19"/>
      <c r="D977" s="19"/>
      <c r="E977" s="19"/>
      <c r="F977" s="19"/>
      <c r="G977" s="19"/>
      <c r="H977" s="19"/>
    </row>
    <row r="978">
      <c r="A978" s="19"/>
      <c r="B978" s="19"/>
      <c r="C978" s="19"/>
      <c r="D978" s="19"/>
      <c r="E978" s="19"/>
      <c r="F978" s="19"/>
      <c r="G978" s="19"/>
      <c r="H978" s="19"/>
    </row>
    <row r="979">
      <c r="A979" s="19"/>
      <c r="B979" s="19"/>
      <c r="C979" s="19"/>
      <c r="D979" s="19"/>
      <c r="E979" s="19"/>
      <c r="F979" s="19"/>
      <c r="G979" s="19"/>
      <c r="H979" s="19"/>
    </row>
    <row r="980">
      <c r="A980" s="19"/>
      <c r="B980" s="19"/>
      <c r="C980" s="19"/>
      <c r="D980" s="19"/>
      <c r="E980" s="19"/>
      <c r="F980" s="19"/>
      <c r="G980" s="19"/>
      <c r="H980" s="19"/>
    </row>
    <row r="981">
      <c r="A981" s="19"/>
      <c r="B981" s="19"/>
      <c r="C981" s="19"/>
      <c r="D981" s="19"/>
      <c r="E981" s="19"/>
      <c r="F981" s="19"/>
      <c r="G981" s="19"/>
      <c r="H981" s="19"/>
    </row>
    <row r="982">
      <c r="A982" s="19"/>
      <c r="B982" s="19"/>
      <c r="C982" s="19"/>
      <c r="D982" s="19"/>
      <c r="E982" s="19"/>
      <c r="F982" s="19"/>
      <c r="G982" s="19"/>
      <c r="H982" s="19"/>
    </row>
    <row r="983">
      <c r="A983" s="19"/>
      <c r="B983" s="19"/>
      <c r="C983" s="19"/>
      <c r="D983" s="19"/>
      <c r="E983" s="19"/>
      <c r="F983" s="19"/>
      <c r="G983" s="19"/>
      <c r="H983" s="19"/>
    </row>
    <row r="984">
      <c r="A984" s="19"/>
      <c r="B984" s="19"/>
      <c r="C984" s="19"/>
      <c r="D984" s="19"/>
      <c r="E984" s="19"/>
      <c r="F984" s="19"/>
      <c r="G984" s="19"/>
      <c r="H984" s="19"/>
    </row>
    <row r="985">
      <c r="A985" s="19"/>
      <c r="B985" s="19"/>
      <c r="C985" s="19"/>
      <c r="D985" s="19"/>
      <c r="E985" s="19"/>
      <c r="F985" s="19"/>
      <c r="G985" s="19"/>
      <c r="H985" s="19"/>
    </row>
    <row r="986">
      <c r="A986" s="19"/>
      <c r="B986" s="19"/>
      <c r="C986" s="19"/>
      <c r="D986" s="19"/>
      <c r="E986" s="19"/>
      <c r="F986" s="19"/>
      <c r="G986" s="19"/>
      <c r="H986" s="19"/>
    </row>
    <row r="987">
      <c r="A987" s="19"/>
      <c r="B987" s="19"/>
      <c r="C987" s="19"/>
      <c r="D987" s="19"/>
      <c r="E987" s="19"/>
      <c r="F987" s="19"/>
      <c r="G987" s="19"/>
      <c r="H987" s="19"/>
    </row>
    <row r="988">
      <c r="A988" s="19"/>
      <c r="B988" s="19"/>
      <c r="C988" s="19"/>
      <c r="D988" s="19"/>
      <c r="E988" s="19"/>
      <c r="F988" s="19"/>
      <c r="G988" s="19"/>
      <c r="H988" s="19"/>
    </row>
    <row r="989">
      <c r="A989" s="19"/>
      <c r="B989" s="19"/>
      <c r="C989" s="19"/>
      <c r="D989" s="19"/>
      <c r="E989" s="19"/>
      <c r="F989" s="19"/>
      <c r="G989" s="19"/>
      <c r="H989" s="19"/>
    </row>
    <row r="990">
      <c r="A990" s="19"/>
      <c r="B990" s="19"/>
      <c r="C990" s="19"/>
      <c r="D990" s="19"/>
      <c r="E990" s="19"/>
      <c r="F990" s="19"/>
      <c r="G990" s="19"/>
      <c r="H990" s="19"/>
    </row>
    <row r="991">
      <c r="A991" s="19"/>
      <c r="B991" s="19"/>
      <c r="C991" s="19"/>
      <c r="D991" s="19"/>
      <c r="E991" s="19"/>
      <c r="F991" s="19"/>
      <c r="G991" s="19"/>
      <c r="H991" s="19"/>
    </row>
    <row r="992">
      <c r="A992" s="19"/>
      <c r="B992" s="19"/>
      <c r="C992" s="19"/>
      <c r="D992" s="19"/>
      <c r="E992" s="19"/>
      <c r="F992" s="19"/>
      <c r="G992" s="19"/>
      <c r="H992" s="19"/>
    </row>
    <row r="993">
      <c r="A993" s="19"/>
      <c r="B993" s="19"/>
      <c r="C993" s="19"/>
      <c r="D993" s="19"/>
      <c r="E993" s="19"/>
      <c r="F993" s="19"/>
      <c r="G993" s="19"/>
      <c r="H993" s="19"/>
    </row>
    <row r="994">
      <c r="A994" s="19"/>
      <c r="B994" s="19"/>
      <c r="C994" s="19"/>
      <c r="D994" s="19"/>
      <c r="E994" s="19"/>
      <c r="F994" s="19"/>
      <c r="G994" s="19"/>
      <c r="H994" s="19"/>
    </row>
    <row r="995">
      <c r="A995" s="19"/>
      <c r="B995" s="19"/>
      <c r="C995" s="19"/>
      <c r="D995" s="19"/>
      <c r="E995" s="19"/>
      <c r="F995" s="19"/>
      <c r="G995" s="19"/>
      <c r="H995" s="19"/>
    </row>
    <row r="996">
      <c r="A996" s="19"/>
      <c r="B996" s="19"/>
      <c r="C996" s="19"/>
      <c r="D996" s="19"/>
      <c r="E996" s="19"/>
      <c r="F996" s="19"/>
      <c r="G996" s="19"/>
      <c r="H996" s="19"/>
    </row>
    <row r="997">
      <c r="A997" s="19"/>
      <c r="B997" s="19"/>
      <c r="C997" s="19"/>
      <c r="D997" s="19"/>
      <c r="E997" s="19"/>
      <c r="F997" s="19"/>
      <c r="G997" s="19"/>
      <c r="H997" s="19"/>
    </row>
    <row r="998">
      <c r="A998" s="19"/>
      <c r="B998" s="19"/>
      <c r="C998" s="19"/>
      <c r="D998" s="19"/>
      <c r="E998" s="19"/>
      <c r="F998" s="19"/>
      <c r="G998" s="19"/>
      <c r="H998" s="19"/>
    </row>
    <row r="999">
      <c r="A999" s="19"/>
      <c r="B999" s="19"/>
      <c r="C999" s="19"/>
      <c r="D999" s="19"/>
      <c r="E999" s="19"/>
      <c r="F999" s="19"/>
      <c r="G999" s="19"/>
      <c r="H999" s="19"/>
    </row>
    <row r="1000">
      <c r="A1000" s="19"/>
      <c r="B1000" s="19"/>
      <c r="C1000" s="19"/>
      <c r="D1000" s="19"/>
      <c r="E1000" s="19"/>
      <c r="F1000" s="19"/>
      <c r="G1000" s="19"/>
      <c r="H1000" s="19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6.88"/>
    <col customWidth="1" min="4" max="4" width="13.5"/>
    <col customWidth="1" min="5" max="5" width="17.63"/>
    <col customWidth="1" min="6" max="6" width="13.88"/>
    <col customWidth="1" min="7" max="7" width="16.88"/>
    <col customWidth="1" min="10" max="10" width="14.38"/>
    <col customWidth="1" min="11" max="11" width="37.63"/>
    <col customWidth="1" min="12" max="12" width="17.63"/>
    <col customWidth="1" min="13" max="13" width="15.75"/>
    <col customWidth="1" min="14" max="14" width="20.0"/>
    <col customWidth="1" min="15" max="15" width="17.5"/>
    <col customWidth="1" min="16" max="1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1.0</v>
      </c>
      <c r="B2" s="4" t="s">
        <v>636</v>
      </c>
      <c r="C2" s="4" t="s">
        <v>128</v>
      </c>
      <c r="D2" s="4" t="s">
        <v>129</v>
      </c>
      <c r="E2" s="4" t="s">
        <v>637</v>
      </c>
      <c r="F2" s="4" t="s">
        <v>638</v>
      </c>
      <c r="G2" s="4" t="s">
        <v>129</v>
      </c>
      <c r="H2" s="4" t="s">
        <v>21</v>
      </c>
      <c r="J2" s="5" t="str">
        <f>IFERROR(__xludf.DUMMYFUNCTION("GOOGLETRANSLATE(A2, ""bn"", ""en"")"),"1")</f>
        <v>1</v>
      </c>
      <c r="K2" s="5" t="str">
        <f>IFERROR(__xludf.DUMMYFUNCTION("GOOGLETRANSLATE(B2, ""bn"", ""en"")"),"What is the strategy used by the participants in the stick game?")</f>
        <v>What is the strategy used by the participants in the stick game?</v>
      </c>
      <c r="L2" s="5" t="str">
        <f>IFERROR(__xludf.DUMMYFUNCTION("GOOGLETRANSLATE(C2, ""bn"", ""en"")"),"caught")</f>
        <v>caught</v>
      </c>
      <c r="M2" s="5" t="str">
        <f>IFERROR(__xludf.DUMMYFUNCTION("GOOGLETRANSLATE(D2, ""bn"", ""en"")"),"injury")</f>
        <v>injury</v>
      </c>
      <c r="N2" s="5" t="str">
        <f>IFERROR(__xludf.DUMMYFUNCTION("GOOGLETRANSLATE(E2, ""bn"", ""en"")"),"Robbery")</f>
        <v>Robbery</v>
      </c>
      <c r="O2" s="5" t="str">
        <f>IFERROR(__xludf.DUMMYFUNCTION("GOOGLETRANSLATE(F2, ""bn"", ""en"")"),"Blocking")</f>
        <v>Blocking</v>
      </c>
      <c r="P2" s="5" t="str">
        <f>IFERROR(__xludf.DUMMYFUNCTION("GOOGLETRANSLATE(G2, ""bn"", ""en"")"),"injury")</f>
        <v>injury</v>
      </c>
      <c r="Q2" s="5" t="str">
        <f>IFERROR(__xludf.DUMMYFUNCTION("GOOGLETRANSLATE(H2, ""bn"", ""en"")"),"pic1")</f>
        <v>pic1</v>
      </c>
    </row>
    <row r="3">
      <c r="A3" s="3">
        <v>2.0</v>
      </c>
      <c r="B3" s="4" t="s">
        <v>549</v>
      </c>
      <c r="C3" s="4" t="s">
        <v>552</v>
      </c>
      <c r="D3" s="4" t="s">
        <v>639</v>
      </c>
      <c r="E3" s="4" t="s">
        <v>640</v>
      </c>
      <c r="F3" s="4" t="s">
        <v>583</v>
      </c>
      <c r="G3" s="4" t="s">
        <v>552</v>
      </c>
      <c r="H3" s="4" t="s">
        <v>21</v>
      </c>
      <c r="J3" s="5" t="str">
        <f>IFERROR(__xludf.DUMMYFUNCTION("GOOGLETRANSLATE(A3, ""bn"", ""en"")"),"2")</f>
        <v>2</v>
      </c>
      <c r="K3" s="5" t="str">
        <f>IFERROR(__xludf.DUMMYFUNCTION("GOOGLETRANSLATE(B3, ""bn"", ""en"")"),"What is the role of the audience in the film?")</f>
        <v>What is the role of the audience in the film?</v>
      </c>
      <c r="L3" s="5" t="str">
        <f>IFERROR(__xludf.DUMMYFUNCTION("GOOGLETRANSLATE(C3, ""bn"", ""en"")"),"Observer")</f>
        <v>Observer</v>
      </c>
      <c r="M3" s="5" t="str">
        <f>IFERROR(__xludf.DUMMYFUNCTION("GOOGLETRANSLATE(D3, ""bn"", ""en"")"),"Participant")</f>
        <v>Participant</v>
      </c>
      <c r="N3" s="5" t="str">
        <f>IFERROR(__xludf.DUMMYFUNCTION("GOOGLETRANSLATE(E3, ""bn"", ""en"")"),"the host")</f>
        <v>the host</v>
      </c>
      <c r="O3" s="5" t="str">
        <f>IFERROR(__xludf.DUMMYFUNCTION("GOOGLETRANSLATE(F3, ""bn"", ""en"")"),"the player")</f>
        <v>the player</v>
      </c>
      <c r="P3" s="5" t="str">
        <f>IFERROR(__xludf.DUMMYFUNCTION("GOOGLETRANSLATE(G3, ""bn"", ""en"")"),"Observer")</f>
        <v>Observer</v>
      </c>
      <c r="Q3" s="5" t="str">
        <f>IFERROR(__xludf.DUMMYFUNCTION("GOOGLETRANSLATE(H3, ""bn"", ""en"")"),"pic1")</f>
        <v>pic1</v>
      </c>
    </row>
    <row r="4">
      <c r="A4" s="3">
        <v>3.0</v>
      </c>
      <c r="B4" s="4" t="s">
        <v>1047</v>
      </c>
      <c r="C4" s="4" t="s">
        <v>1048</v>
      </c>
      <c r="D4" s="4" t="s">
        <v>1049</v>
      </c>
      <c r="E4" s="4" t="s">
        <v>1050</v>
      </c>
      <c r="F4" s="4" t="s">
        <v>1051</v>
      </c>
      <c r="G4" s="4" t="s">
        <v>1048</v>
      </c>
      <c r="H4" s="4" t="s">
        <v>32</v>
      </c>
      <c r="J4" s="5" t="str">
        <f>IFERROR(__xludf.DUMMYFUNCTION("GOOGLETRANSLATE(A4, ""bn"", ""en"")"),"3")</f>
        <v>3</v>
      </c>
      <c r="K4" s="5" t="str">
        <f>IFERROR(__xludf.DUMMYFUNCTION("GOOGLETRANSLATE(B4, ""bn"", ""en"")"),"What is the strategy in a boat racing competition?")</f>
        <v>What is the strategy in a boat racing competition?</v>
      </c>
      <c r="L4" s="5" t="str">
        <f>IFERROR(__xludf.DUMMYFUNCTION("GOOGLETRANSLATE(C4, ""bn"", ""en"")"),"Simultaneous pruning")</f>
        <v>Simultaneous pruning</v>
      </c>
      <c r="M4" s="5" t="str">
        <f>IFERROR(__xludf.DUMMYFUNCTION("GOOGLETRANSLATE(D4, ""bn"", ""en"")"),"Interrupt")</f>
        <v>Interrupt</v>
      </c>
      <c r="N4" s="5" t="str">
        <f>IFERROR(__xludf.DUMMYFUNCTION("GOOGLETRANSLATE(E4, ""bn"", ""en"")"),"counter attack")</f>
        <v>counter attack</v>
      </c>
      <c r="O4" s="5" t="str">
        <f>IFERROR(__xludf.DUMMYFUNCTION("GOOGLETRANSLATE(F4, ""bn"", ""en"")"),"sailing")</f>
        <v>sailing</v>
      </c>
      <c r="P4" s="5" t="str">
        <f>IFERROR(__xludf.DUMMYFUNCTION("GOOGLETRANSLATE(G4, ""bn"", ""en"")"),"Simultaneous pruning")</f>
        <v>Simultaneous pruning</v>
      </c>
      <c r="Q4" s="5" t="str">
        <f>IFERROR(__xludf.DUMMYFUNCTION("GOOGLETRANSLATE(H4, ""bn"", ""en"")"),"pic2")</f>
        <v>pic2</v>
      </c>
    </row>
    <row r="5">
      <c r="A5" s="3">
        <v>4.0</v>
      </c>
      <c r="B5" s="4" t="s">
        <v>1052</v>
      </c>
      <c r="C5" s="4" t="s">
        <v>1053</v>
      </c>
      <c r="D5" s="4" t="s">
        <v>1054</v>
      </c>
      <c r="E5" s="4" t="s">
        <v>1055</v>
      </c>
      <c r="F5" s="4" t="s">
        <v>1056</v>
      </c>
      <c r="G5" s="4" t="s">
        <v>1055</v>
      </c>
      <c r="H5" s="4" t="s">
        <v>32</v>
      </c>
      <c r="J5" s="5" t="str">
        <f>IFERROR(__xludf.DUMMYFUNCTION("GOOGLETRANSLATE(A5, ""bn"", ""en"")"),"4")</f>
        <v>4</v>
      </c>
      <c r="K5" s="5" t="str">
        <f>IFERROR(__xludf.DUMMYFUNCTION("GOOGLETRANSLATE(B5, ""bn"", ""en"")"),"How are the boats decorated in the picture?")</f>
        <v>How are the boats decorated in the picture?</v>
      </c>
      <c r="L5" s="5" t="str">
        <f>IFERROR(__xludf.DUMMYFUNCTION("GOOGLETRANSLATE(C5, ""bn"", ""en"")"),"Pal")</f>
        <v>Pal</v>
      </c>
      <c r="M5" s="5" t="str">
        <f>IFERROR(__xludf.DUMMYFUNCTION("GOOGLETRANSLATE(D5, ""bn"", ""en"")"),"Colors")</f>
        <v>Colors</v>
      </c>
      <c r="N5" s="5" t="str">
        <f>IFERROR(__xludf.DUMMYFUNCTION("GOOGLETRANSLATE(E5, ""bn"", ""en"")"),"the flag")</f>
        <v>the flag</v>
      </c>
      <c r="O5" s="5" t="str">
        <f>IFERROR(__xludf.DUMMYFUNCTION("GOOGLETRANSLATE(F5, ""bn"", ""en"")"),"the umbrella")</f>
        <v>the umbrella</v>
      </c>
      <c r="P5" s="5" t="str">
        <f>IFERROR(__xludf.DUMMYFUNCTION("GOOGLETRANSLATE(G5, ""bn"", ""en"")"),"the flag")</f>
        <v>the flag</v>
      </c>
      <c r="Q5" s="5" t="str">
        <f>IFERROR(__xludf.DUMMYFUNCTION("GOOGLETRANSLATE(H5, ""bn"", ""en"")"),"pic2")</f>
        <v>pic2</v>
      </c>
    </row>
    <row r="6">
      <c r="A6" s="3">
        <v>5.0</v>
      </c>
      <c r="B6" s="4" t="s">
        <v>1057</v>
      </c>
      <c r="C6" s="4" t="s">
        <v>1058</v>
      </c>
      <c r="D6" s="4" t="s">
        <v>179</v>
      </c>
      <c r="E6" s="4" t="s">
        <v>143</v>
      </c>
      <c r="F6" s="4" t="s">
        <v>156</v>
      </c>
      <c r="G6" s="4" t="s">
        <v>1058</v>
      </c>
      <c r="H6" s="4" t="s">
        <v>39</v>
      </c>
      <c r="J6" s="5" t="str">
        <f>IFERROR(__xludf.DUMMYFUNCTION("GOOGLETRANSLATE(A6, ""bn"", ""en"")"),"5")</f>
        <v>5</v>
      </c>
      <c r="K6" s="5" t="str">
        <f>IFERROR(__xludf.DUMMYFUNCTION("GOOGLETRANSLATE(B6, ""bn"", ""en"")"),"What do the participants in the boat race depend on?")</f>
        <v>What do the participants in the boat race depend on?</v>
      </c>
      <c r="L6" s="5" t="str">
        <f>IFERROR(__xludf.DUMMYFUNCTION("GOOGLETRANSLATE(C6, ""bn"", ""en"")"),"combination")</f>
        <v>combination</v>
      </c>
      <c r="M6" s="5" t="str">
        <f>IFERROR(__xludf.DUMMYFUNCTION("GOOGLETRANSLATE(D6, ""bn"", ""en"")"),"Personal skills")</f>
        <v>Personal skills</v>
      </c>
      <c r="N6" s="5" t="str">
        <f>IFERROR(__xludf.DUMMYFUNCTION("GOOGLETRANSLATE(E6, ""bn"", ""en"")"),"Power")</f>
        <v>Power</v>
      </c>
      <c r="O6" s="5" t="str">
        <f>IFERROR(__xludf.DUMMYFUNCTION("GOOGLETRANSLATE(F6, ""bn"", ""en"")"),"Speed")</f>
        <v>Speed</v>
      </c>
      <c r="P6" s="5" t="str">
        <f>IFERROR(__xludf.DUMMYFUNCTION("GOOGLETRANSLATE(G6, ""bn"", ""en"")"),"combination")</f>
        <v>combination</v>
      </c>
      <c r="Q6" s="5" t="str">
        <f>IFERROR(__xludf.DUMMYFUNCTION("GOOGLETRANSLATE(H6, ""bn"", ""en"")"),"pic3")</f>
        <v>pic3</v>
      </c>
    </row>
    <row r="7">
      <c r="A7" s="3">
        <v>6.0</v>
      </c>
      <c r="B7" s="4" t="s">
        <v>1059</v>
      </c>
      <c r="C7" s="4" t="s">
        <v>1060</v>
      </c>
      <c r="D7" s="4" t="s">
        <v>561</v>
      </c>
      <c r="E7" s="4" t="s">
        <v>1061</v>
      </c>
      <c r="F7" s="4" t="s">
        <v>1062</v>
      </c>
      <c r="G7" s="4" t="s">
        <v>1060</v>
      </c>
      <c r="H7" s="4" t="s">
        <v>39</v>
      </c>
      <c r="J7" s="5" t="str">
        <f>IFERROR(__xludf.DUMMYFUNCTION("GOOGLETRANSLATE(A7, ""bn"", ""en"")"),"6")</f>
        <v>6</v>
      </c>
      <c r="K7" s="5" t="str">
        <f>IFERROR(__xludf.DUMMYFUNCTION("GOOGLETRANSLATE(B7, ""bn"", ""en"")"),"How is the competition environment in the film?")</f>
        <v>How is the competition environment in the film?</v>
      </c>
      <c r="L7" s="5" t="str">
        <f>IFERROR(__xludf.DUMMYFUNCTION("GOOGLETRANSLATE(C7, ""bn"", ""en"")"),"enthusiastic")</f>
        <v>enthusiastic</v>
      </c>
      <c r="M7" s="5" t="str">
        <f>IFERROR(__xludf.DUMMYFUNCTION("GOOGLETRANSLATE(D7, ""bn"", ""en"")"),"calm down")</f>
        <v>calm down</v>
      </c>
      <c r="N7" s="5" t="str">
        <f>IFERROR(__xludf.DUMMYFUNCTION("GOOGLETRANSLATE(E7, ""bn"", ""en"")"),"Boring")</f>
        <v>Boring</v>
      </c>
      <c r="O7" s="5" t="str">
        <f>IFERROR(__xludf.DUMMYFUNCTION("GOOGLETRANSLATE(F7, ""bn"", ""en"")"),"General")</f>
        <v>General</v>
      </c>
      <c r="P7" s="5" t="str">
        <f>IFERROR(__xludf.DUMMYFUNCTION("GOOGLETRANSLATE(G7, ""bn"", ""en"")"),"enthusiastic")</f>
        <v>enthusiastic</v>
      </c>
      <c r="Q7" s="5" t="str">
        <f>IFERROR(__xludf.DUMMYFUNCTION("GOOGLETRANSLATE(H7, ""bn"", ""en"")"),"pic3")</f>
        <v>pic3</v>
      </c>
    </row>
    <row r="8">
      <c r="A8" s="3">
        <v>7.0</v>
      </c>
      <c r="B8" s="4" t="s">
        <v>1047</v>
      </c>
      <c r="C8" s="4" t="s">
        <v>1058</v>
      </c>
      <c r="D8" s="4" t="s">
        <v>156</v>
      </c>
      <c r="E8" s="4" t="s">
        <v>1050</v>
      </c>
      <c r="F8" s="4" t="s">
        <v>143</v>
      </c>
      <c r="G8" s="4" t="s">
        <v>1058</v>
      </c>
      <c r="H8" s="4" t="s">
        <v>46</v>
      </c>
      <c r="J8" s="5" t="str">
        <f>IFERROR(__xludf.DUMMYFUNCTION("GOOGLETRANSLATE(A8, ""bn"", ""en"")"),"7")</f>
        <v>7</v>
      </c>
      <c r="K8" s="5" t="str">
        <f>IFERROR(__xludf.DUMMYFUNCTION("GOOGLETRANSLATE(B8, ""bn"", ""en"")"),"What is the strategy in a boat racing competition?")</f>
        <v>What is the strategy in a boat racing competition?</v>
      </c>
      <c r="L8" s="5" t="str">
        <f>IFERROR(__xludf.DUMMYFUNCTION("GOOGLETRANSLATE(C8, ""bn"", ""en"")"),"combination")</f>
        <v>combination</v>
      </c>
      <c r="M8" s="5" t="str">
        <f>IFERROR(__xludf.DUMMYFUNCTION("GOOGLETRANSLATE(D8, ""bn"", ""en"")"),"Speed")</f>
        <v>Speed</v>
      </c>
      <c r="N8" s="5" t="str">
        <f>IFERROR(__xludf.DUMMYFUNCTION("GOOGLETRANSLATE(E8, ""bn"", ""en"")"),"counter attack")</f>
        <v>counter attack</v>
      </c>
      <c r="O8" s="5" t="str">
        <f>IFERROR(__xludf.DUMMYFUNCTION("GOOGLETRANSLATE(F8, ""bn"", ""en"")"),"Power")</f>
        <v>Power</v>
      </c>
      <c r="P8" s="5" t="str">
        <f>IFERROR(__xludf.DUMMYFUNCTION("GOOGLETRANSLATE(G8, ""bn"", ""en"")"),"combination")</f>
        <v>combination</v>
      </c>
      <c r="Q8" s="5" t="str">
        <f>IFERROR(__xludf.DUMMYFUNCTION("GOOGLETRANSLATE(H8, ""bn"", ""en"")"),"pic4")</f>
        <v>pic4</v>
      </c>
    </row>
    <row r="9">
      <c r="A9" s="3">
        <v>8.0</v>
      </c>
      <c r="B9" s="4" t="s">
        <v>1059</v>
      </c>
      <c r="C9" s="4" t="s">
        <v>560</v>
      </c>
      <c r="D9" s="4" t="s">
        <v>1063</v>
      </c>
      <c r="E9" s="4" t="s">
        <v>1064</v>
      </c>
      <c r="F9" s="4" t="s">
        <v>1065</v>
      </c>
      <c r="G9" s="4" t="s">
        <v>1064</v>
      </c>
      <c r="H9" s="4" t="s">
        <v>46</v>
      </c>
      <c r="J9" s="5" t="str">
        <f>IFERROR(__xludf.DUMMYFUNCTION("GOOGLETRANSLATE(A9, ""bn"", ""en"")"),"8")</f>
        <v>8</v>
      </c>
      <c r="K9" s="5" t="str">
        <f>IFERROR(__xludf.DUMMYFUNCTION("GOOGLETRANSLATE(B9, ""bn"", ""en"")"),"How is the competition environment in the film?")</f>
        <v>How is the competition environment in the film?</v>
      </c>
      <c r="L9" s="5" t="str">
        <f>IFERROR(__xludf.DUMMYFUNCTION("GOOGLETRANSLATE(C9, ""bn"", ""en"")"),"anxious")</f>
        <v>anxious</v>
      </c>
      <c r="M9" s="5" t="str">
        <f>IFERROR(__xludf.DUMMYFUNCTION("GOOGLETRANSLATE(D9, ""bn"", ""en"")"),"Silent")</f>
        <v>Silent</v>
      </c>
      <c r="N9" s="5" t="str">
        <f>IFERROR(__xludf.DUMMYFUNCTION("GOOGLETRANSLATE(E9, ""bn"", ""en"")"),"Excited")</f>
        <v>Excited</v>
      </c>
      <c r="O9" s="5" t="str">
        <f>IFERROR(__xludf.DUMMYFUNCTION("GOOGLETRANSLATE(F9, ""bn"", ""en"")"),"normal")</f>
        <v>normal</v>
      </c>
      <c r="P9" s="5" t="str">
        <f>IFERROR(__xludf.DUMMYFUNCTION("GOOGLETRANSLATE(G9, ""bn"", ""en"")"),"Excited")</f>
        <v>Excited</v>
      </c>
      <c r="Q9" s="5" t="str">
        <f>IFERROR(__xludf.DUMMYFUNCTION("GOOGLETRANSLATE(H9, ""bn"", ""en"")"),"pic4")</f>
        <v>pic4</v>
      </c>
    </row>
    <row r="10">
      <c r="A10" s="3">
        <v>9.0</v>
      </c>
      <c r="B10" s="4" t="s">
        <v>1066</v>
      </c>
      <c r="C10" s="4" t="s">
        <v>1067</v>
      </c>
      <c r="D10" s="4" t="s">
        <v>1068</v>
      </c>
      <c r="E10" s="4" t="s">
        <v>1050</v>
      </c>
      <c r="F10" s="4" t="s">
        <v>638</v>
      </c>
      <c r="G10" s="4" t="s">
        <v>1067</v>
      </c>
      <c r="H10" s="4" t="s">
        <v>57</v>
      </c>
      <c r="J10" s="5" t="str">
        <f>IFERROR(__xludf.DUMMYFUNCTION("GOOGLETRANSLATE(A10, ""bn"", ""en"")"),"9")</f>
        <v>9</v>
      </c>
      <c r="K10" s="5" t="str">
        <f>IFERROR(__xludf.DUMMYFUNCTION("GOOGLETRANSLATE(B10, ""bn"", ""en"")"),"What method are the participants using in the boat racing competition?")</f>
        <v>What method are the participants using in the boat racing competition?</v>
      </c>
      <c r="L10" s="5" t="str">
        <f>IFERROR(__xludf.DUMMYFUNCTION("GOOGLETRANSLATE(C10, ""bn"", ""en"")"),"Synchronized rowing")</f>
        <v>Synchronized rowing</v>
      </c>
      <c r="M10" s="5" t="str">
        <f>IFERROR(__xludf.DUMMYFUNCTION("GOOGLETRANSLATE(D10, ""bn"", ""en"")"),"Personal stroke")</f>
        <v>Personal stroke</v>
      </c>
      <c r="N10" s="5" t="str">
        <f>IFERROR(__xludf.DUMMYFUNCTION("GOOGLETRANSLATE(E10, ""bn"", ""en"")"),"counter attack")</f>
        <v>counter attack</v>
      </c>
      <c r="O10" s="5" t="str">
        <f>IFERROR(__xludf.DUMMYFUNCTION("GOOGLETRANSLATE(F10, ""bn"", ""en"")"),"Blocking")</f>
        <v>Blocking</v>
      </c>
      <c r="P10" s="5" t="str">
        <f>IFERROR(__xludf.DUMMYFUNCTION("GOOGLETRANSLATE(G10, ""bn"", ""en"")"),"Synchronized rowing")</f>
        <v>Synchronized rowing</v>
      </c>
      <c r="Q10" s="5" t="str">
        <f>IFERROR(__xludf.DUMMYFUNCTION("GOOGLETRANSLATE(H10, ""bn"", ""en"")"),"pic5")</f>
        <v>pic5</v>
      </c>
    </row>
    <row r="11">
      <c r="A11" s="3">
        <v>10.0</v>
      </c>
      <c r="B11" s="4" t="s">
        <v>1069</v>
      </c>
      <c r="C11" s="4" t="s">
        <v>1054</v>
      </c>
      <c r="D11" s="4" t="s">
        <v>1055</v>
      </c>
      <c r="E11" s="4" t="s">
        <v>1053</v>
      </c>
      <c r="F11" s="4" t="s">
        <v>1070</v>
      </c>
      <c r="G11" s="4" t="s">
        <v>1055</v>
      </c>
      <c r="H11" s="4" t="s">
        <v>57</v>
      </c>
      <c r="J11" s="5" t="str">
        <f>IFERROR(__xludf.DUMMYFUNCTION("GOOGLETRANSLATE(A11, ""bn"", ""en"")"),"10")</f>
        <v>10</v>
      </c>
      <c r="K11" s="5" t="str">
        <f>IFERROR(__xludf.DUMMYFUNCTION("GOOGLETRANSLATE(B11, ""bn"", ""en"")"),"How are the boats arranged in the picture?")</f>
        <v>How are the boats arranged in the picture?</v>
      </c>
      <c r="L11" s="5" t="str">
        <f>IFERROR(__xludf.DUMMYFUNCTION("GOOGLETRANSLATE(C11, ""bn"", ""en"")"),"Colors")</f>
        <v>Colors</v>
      </c>
      <c r="M11" s="5" t="str">
        <f>IFERROR(__xludf.DUMMYFUNCTION("GOOGLETRANSLATE(D11, ""bn"", ""en"")"),"the flag")</f>
        <v>the flag</v>
      </c>
      <c r="N11" s="5" t="str">
        <f>IFERROR(__xludf.DUMMYFUNCTION("GOOGLETRANSLATE(E11, ""bn"", ""en"")"),"Pal")</f>
        <v>Pal</v>
      </c>
      <c r="O11" s="5" t="str">
        <f>IFERROR(__xludf.DUMMYFUNCTION("GOOGLETRANSLATE(F11, ""bn"", ""en"")"),"Drum")</f>
        <v>Drum</v>
      </c>
      <c r="P11" s="5" t="str">
        <f>IFERROR(__xludf.DUMMYFUNCTION("GOOGLETRANSLATE(G11, ""bn"", ""en"")"),"the flag")</f>
        <v>the flag</v>
      </c>
      <c r="Q11" s="5" t="str">
        <f>IFERROR(__xludf.DUMMYFUNCTION("GOOGLETRANSLATE(H11, ""bn"", ""en"")"),"pic5")</f>
        <v>pic5</v>
      </c>
    </row>
    <row r="12">
      <c r="A12" s="3">
        <v>11.0</v>
      </c>
      <c r="B12" s="4" t="s">
        <v>1071</v>
      </c>
      <c r="C12" s="4" t="s">
        <v>1072</v>
      </c>
      <c r="D12" s="4" t="s">
        <v>1073</v>
      </c>
      <c r="E12" s="4" t="s">
        <v>1074</v>
      </c>
      <c r="F12" s="4" t="s">
        <v>1075</v>
      </c>
      <c r="G12" s="4" t="s">
        <v>1072</v>
      </c>
      <c r="H12" s="4" t="s">
        <v>68</v>
      </c>
      <c r="J12" s="5" t="str">
        <f>IFERROR(__xludf.DUMMYFUNCTION("GOOGLETRANSLATE(A12, ""bn"", ""en"")"),"11")</f>
        <v>11</v>
      </c>
      <c r="K12" s="5" t="str">
        <f>IFERROR(__xludf.DUMMYFUNCTION("GOOGLETRANSLATE(B12, ""bn"", ""en"")"),"What is one of the features of the boat race?")</f>
        <v>What is one of the features of the boat race?</v>
      </c>
      <c r="L12" s="5" t="str">
        <f>IFERROR(__xludf.DUMMYFUNCTION("GOOGLETRANSLATE(C12, ""bn"", ""en"")"),"Combined rowing")</f>
        <v>Combined rowing</v>
      </c>
      <c r="M12" s="5" t="str">
        <f>IFERROR(__xludf.DUMMYFUNCTION("GOOGLETRANSLATE(D12, ""bn"", ""en"")"),"Use of flocks")</f>
        <v>Use of flocks</v>
      </c>
      <c r="N12" s="5" t="str">
        <f>IFERROR(__xludf.DUMMYFUNCTION("GOOGLETRANSLATE(E12, ""bn"", ""en"")"),"Synchronized spreading")</f>
        <v>Synchronized spreading</v>
      </c>
      <c r="O12" s="5" t="str">
        <f>IFERROR(__xludf.DUMMYFUNCTION("GOOGLETRANSLATE(F12, ""bn"", ""en"")"),"Playing the drums")</f>
        <v>Playing the drums</v>
      </c>
      <c r="P12" s="5" t="str">
        <f>IFERROR(__xludf.DUMMYFUNCTION("GOOGLETRANSLATE(G12, ""bn"", ""en"")"),"Combined rowing")</f>
        <v>Combined rowing</v>
      </c>
      <c r="Q12" s="5" t="str">
        <f>IFERROR(__xludf.DUMMYFUNCTION("GOOGLETRANSLATE(H12, ""bn"", ""en"")"),"pic6")</f>
        <v>pic6</v>
      </c>
    </row>
    <row r="13">
      <c r="A13" s="3">
        <v>12.0</v>
      </c>
      <c r="B13" s="4" t="s">
        <v>1076</v>
      </c>
      <c r="C13" s="4" t="s">
        <v>1077</v>
      </c>
      <c r="D13" s="4" t="s">
        <v>1078</v>
      </c>
      <c r="E13" s="4" t="s">
        <v>686</v>
      </c>
      <c r="F13" s="4" t="s">
        <v>1079</v>
      </c>
      <c r="G13" s="4" t="s">
        <v>1077</v>
      </c>
      <c r="H13" s="4" t="s">
        <v>68</v>
      </c>
      <c r="J13" s="5" t="str">
        <f>IFERROR(__xludf.DUMMYFUNCTION("GOOGLETRANSLATE(A13, ""bn"", ""en"")"),"12")</f>
        <v>12</v>
      </c>
      <c r="K13" s="5" t="str">
        <f>IFERROR(__xludf.DUMMYFUNCTION("GOOGLETRANSLATE(B13, ""bn"", ""en"")"),"How has the audience reacted to the film?")</f>
        <v>How has the audience reacted to the film?</v>
      </c>
      <c r="L13" s="5" t="str">
        <f>IFERROR(__xludf.DUMMYFUNCTION("GOOGLETRANSLATE(C13, ""bn"", ""en"")"),"Stimulus")</f>
        <v>Stimulus</v>
      </c>
      <c r="M13" s="5" t="str">
        <f>IFERROR(__xludf.DUMMYFUNCTION("GOOGLETRANSLATE(D13, ""bn"", ""en"")"),"without hesitation")</f>
        <v>without hesitation</v>
      </c>
      <c r="N13" s="5" t="str">
        <f>IFERROR(__xludf.DUMMYFUNCTION("GOOGLETRANSLATE(E13, ""bn"", ""en"")"),"Annoyance")</f>
        <v>Annoyance</v>
      </c>
      <c r="O13" s="5" t="str">
        <f>IFERROR(__xludf.DUMMYFUNCTION("GOOGLETRANSLATE(F13, ""bn"", ""en"")"),"Silence")</f>
        <v>Silence</v>
      </c>
      <c r="P13" s="5" t="str">
        <f>IFERROR(__xludf.DUMMYFUNCTION("GOOGLETRANSLATE(G13, ""bn"", ""en"")"),"Stimulus")</f>
        <v>Stimulus</v>
      </c>
      <c r="Q13" s="5" t="str">
        <f>IFERROR(__xludf.DUMMYFUNCTION("GOOGLETRANSLATE(H13, ""bn"", ""en"")"),"pic6")</f>
        <v>pic6</v>
      </c>
    </row>
    <row r="14">
      <c r="A14" s="3">
        <v>13.0</v>
      </c>
      <c r="B14" s="4" t="s">
        <v>1080</v>
      </c>
      <c r="C14" s="4" t="s">
        <v>1081</v>
      </c>
      <c r="D14" s="4" t="s">
        <v>1050</v>
      </c>
      <c r="E14" s="4" t="s">
        <v>179</v>
      </c>
      <c r="F14" s="4" t="s">
        <v>1082</v>
      </c>
      <c r="G14" s="4" t="s">
        <v>1081</v>
      </c>
      <c r="H14" s="4" t="s">
        <v>68</v>
      </c>
      <c r="J14" s="5" t="str">
        <f>IFERROR(__xludf.DUMMYFUNCTION("GOOGLETRANSLATE(A14, ""bn"", ""en"")"),"13")</f>
        <v>13</v>
      </c>
      <c r="K14" s="5" t="str">
        <f>IFERROR(__xludf.DUMMYFUNCTION("GOOGLETRANSLATE(B14, ""bn"", ""en"")"),"How is the energy used by the participants in the boat race?")</f>
        <v>How is the energy used by the participants in the boat race?</v>
      </c>
      <c r="L14" s="5" t="str">
        <f>IFERROR(__xludf.DUMMYFUNCTION("GOOGLETRANSLATE(C14, ""bn"", ""en"")"),"with coordination")</f>
        <v>with coordination</v>
      </c>
      <c r="M14" s="5" t="str">
        <f>IFERROR(__xludf.DUMMYFUNCTION("GOOGLETRANSLATE(D14, ""bn"", ""en"")"),"counter attack")</f>
        <v>counter attack</v>
      </c>
      <c r="N14" s="5" t="str">
        <f>IFERROR(__xludf.DUMMYFUNCTION("GOOGLETRANSLATE(E14, ""bn"", ""en"")"),"Personal skills")</f>
        <v>Personal skills</v>
      </c>
      <c r="O14" s="5" t="str">
        <f>IFERROR(__xludf.DUMMYFUNCTION("GOOGLETRANSLATE(F14, ""bn"", ""en"")"),"Application of flocks")</f>
        <v>Application of flocks</v>
      </c>
      <c r="P14" s="5" t="str">
        <f>IFERROR(__xludf.DUMMYFUNCTION("GOOGLETRANSLATE(G14, ""bn"", ""en"")"),"with coordination")</f>
        <v>with coordination</v>
      </c>
      <c r="Q14" s="5" t="str">
        <f>IFERROR(__xludf.DUMMYFUNCTION("GOOGLETRANSLATE(H14, ""bn"", ""en"")"),"pic6")</f>
        <v>pic6</v>
      </c>
    </row>
    <row r="15">
      <c r="A15" s="3">
        <v>14.0</v>
      </c>
      <c r="B15" s="4" t="s">
        <v>1083</v>
      </c>
      <c r="C15" s="4" t="s">
        <v>1084</v>
      </c>
      <c r="D15" s="4" t="s">
        <v>1085</v>
      </c>
      <c r="E15" s="4" t="s">
        <v>1086</v>
      </c>
      <c r="F15" s="4" t="s">
        <v>1087</v>
      </c>
      <c r="G15" s="4" t="s">
        <v>1085</v>
      </c>
      <c r="H15" s="4" t="s">
        <v>72</v>
      </c>
      <c r="J15" s="5" t="str">
        <f>IFERROR(__xludf.DUMMYFUNCTION("GOOGLETRANSLATE(A15, ""bn"", ""en"")"),"14")</f>
        <v>14</v>
      </c>
      <c r="K15" s="5" t="str">
        <f>IFERROR(__xludf.DUMMYFUNCTION("GOOGLETRANSLATE(B15, ""bn"", ""en"")"),"Which of the boats shown in the picture is ahead?")</f>
        <v>Which of the boats shown in the picture is ahead?</v>
      </c>
      <c r="L15" s="5" t="str">
        <f>IFERROR(__xludf.DUMMYFUNCTION("GOOGLETRANSLATE(C15, ""bn"", ""en"")"),"Green boat")</f>
        <v>Green boat</v>
      </c>
      <c r="M15" s="5" t="str">
        <f>IFERROR(__xludf.DUMMYFUNCTION("GOOGLETRANSLATE(D15, ""bn"", ""en"")"),"red boat")</f>
        <v>red boat</v>
      </c>
      <c r="N15" s="5" t="str">
        <f>IFERROR(__xludf.DUMMYFUNCTION("GOOGLETRANSLATE(E15, ""bn"", ""en"")"),"blue boat")</f>
        <v>blue boat</v>
      </c>
      <c r="O15" s="5" t="str">
        <f>IFERROR(__xludf.DUMMYFUNCTION("GOOGLETRANSLATE(F15, ""bn"", ""en"")"),"Yellow boat")</f>
        <v>Yellow boat</v>
      </c>
      <c r="P15" s="5" t="str">
        <f>IFERROR(__xludf.DUMMYFUNCTION("GOOGLETRANSLATE(G15, ""bn"", ""en"")"),"red boat")</f>
        <v>red boat</v>
      </c>
      <c r="Q15" s="5" t="str">
        <f>IFERROR(__xludf.DUMMYFUNCTION("GOOGLETRANSLATE(H15, ""bn"", ""en"")"),"pic7")</f>
        <v>pic7</v>
      </c>
    </row>
    <row r="16">
      <c r="A16" s="3">
        <v>15.0</v>
      </c>
      <c r="B16" s="4" t="s">
        <v>1088</v>
      </c>
      <c r="C16" s="4" t="s">
        <v>1089</v>
      </c>
      <c r="D16" s="4" t="s">
        <v>1085</v>
      </c>
      <c r="E16" s="4" t="s">
        <v>1084</v>
      </c>
      <c r="F16" s="4" t="s">
        <v>1086</v>
      </c>
      <c r="G16" s="4" t="s">
        <v>1085</v>
      </c>
      <c r="H16" s="4" t="s">
        <v>72</v>
      </c>
      <c r="J16" s="5" t="str">
        <f>IFERROR(__xludf.DUMMYFUNCTION("GOOGLETRANSLATE(A16, ""bn"", ""en"")"),"15")</f>
        <v>15</v>
      </c>
      <c r="K16" s="5" t="str">
        <f>IFERROR(__xludf.DUMMYFUNCTION("GOOGLETRANSLATE(B16, ""bn"", ""en"")"),"Which of the teams is ahead in the boat race?")</f>
        <v>Which of the teams is ahead in the boat race?</v>
      </c>
      <c r="L16" s="5" t="str">
        <f>IFERROR(__xludf.DUMMYFUNCTION("GOOGLETRANSLATE(C16, ""bn"", ""en"")"),"Flag boat")</f>
        <v>Flag boat</v>
      </c>
      <c r="M16" s="5" t="str">
        <f>IFERROR(__xludf.DUMMYFUNCTION("GOOGLETRANSLATE(D16, ""bn"", ""en"")"),"red boat")</f>
        <v>red boat</v>
      </c>
      <c r="N16" s="5" t="str">
        <f>IFERROR(__xludf.DUMMYFUNCTION("GOOGLETRANSLATE(E16, ""bn"", ""en"")"),"Green boat")</f>
        <v>Green boat</v>
      </c>
      <c r="O16" s="5" t="str">
        <f>IFERROR(__xludf.DUMMYFUNCTION("GOOGLETRANSLATE(F16, ""bn"", ""en"")"),"blue boat")</f>
        <v>blue boat</v>
      </c>
      <c r="P16" s="5" t="str">
        <f>IFERROR(__xludf.DUMMYFUNCTION("GOOGLETRANSLATE(G16, ""bn"", ""en"")"),"red boat")</f>
        <v>red boat</v>
      </c>
      <c r="Q16" s="5" t="str">
        <f>IFERROR(__xludf.DUMMYFUNCTION("GOOGLETRANSLATE(H16, ""bn"", ""en"")"),"pic7")</f>
        <v>pic7</v>
      </c>
    </row>
    <row r="17">
      <c r="A17" s="3">
        <v>16.0</v>
      </c>
      <c r="B17" s="4" t="s">
        <v>1090</v>
      </c>
      <c r="C17" s="4" t="s">
        <v>1072</v>
      </c>
      <c r="D17" s="4" t="s">
        <v>1091</v>
      </c>
      <c r="E17" s="4" t="s">
        <v>1092</v>
      </c>
      <c r="F17" s="4" t="s">
        <v>1093</v>
      </c>
      <c r="G17" s="4" t="s">
        <v>1072</v>
      </c>
      <c r="H17" s="4" t="s">
        <v>81</v>
      </c>
      <c r="J17" s="5" t="str">
        <f>IFERROR(__xludf.DUMMYFUNCTION("GOOGLETRANSLATE(A17, ""bn"", ""en"")"),"16")</f>
        <v>16</v>
      </c>
      <c r="K17" s="5" t="str">
        <f>IFERROR(__xludf.DUMMYFUNCTION("GOOGLETRANSLATE(B17, ""bn"", ""en"")"),"Which element in the picture expresses the intensity of the competition?")</f>
        <v>Which element in the picture expresses the intensity of the competition?</v>
      </c>
      <c r="L17" s="5" t="str">
        <f>IFERROR(__xludf.DUMMYFUNCTION("GOOGLETRANSLATE(C17, ""bn"", ""en"")"),"Combined rowing")</f>
        <v>Combined rowing</v>
      </c>
      <c r="M17" s="5" t="str">
        <f>IFERROR(__xludf.DUMMYFUNCTION("GOOGLETRANSLATE(D17, ""bn"", ""en"")"),"fast speed")</f>
        <v>fast speed</v>
      </c>
      <c r="N17" s="5" t="str">
        <f>IFERROR(__xludf.DUMMYFUNCTION("GOOGLETRANSLATE(E17, ""bn"", ""en"")"),"Enthusiastic audience")</f>
        <v>Enthusiastic audience</v>
      </c>
      <c r="O17" s="5" t="str">
        <f>IFERROR(__xludf.DUMMYFUNCTION("GOOGLETRANSLATE(F17, ""bn"", ""en"")"),"Boat design")</f>
        <v>Boat design</v>
      </c>
      <c r="P17" s="5" t="str">
        <f>IFERROR(__xludf.DUMMYFUNCTION("GOOGLETRANSLATE(G17, ""bn"", ""en"")"),"Combined rowing")</f>
        <v>Combined rowing</v>
      </c>
      <c r="Q17" s="5" t="str">
        <f>IFERROR(__xludf.DUMMYFUNCTION("GOOGLETRANSLATE(H17, ""bn"", ""en"")"),"pic8")</f>
        <v>pic8</v>
      </c>
    </row>
    <row r="18">
      <c r="A18" s="3">
        <v>17.0</v>
      </c>
      <c r="B18" s="4" t="s">
        <v>1094</v>
      </c>
      <c r="C18" s="4" t="s">
        <v>1089</v>
      </c>
      <c r="D18" s="4" t="s">
        <v>1095</v>
      </c>
      <c r="E18" s="4" t="s">
        <v>1096</v>
      </c>
      <c r="F18" s="4" t="s">
        <v>1097</v>
      </c>
      <c r="G18" s="4" t="s">
        <v>1095</v>
      </c>
      <c r="H18" s="4" t="s">
        <v>81</v>
      </c>
      <c r="J18" s="5" t="str">
        <f>IFERROR(__xludf.DUMMYFUNCTION("GOOGLETRANSLATE(A18, ""bn"", ""en"")"),"17")</f>
        <v>17</v>
      </c>
      <c r="K18" s="5" t="str">
        <f>IFERROR(__xludf.DUMMYFUNCTION("GOOGLETRANSLATE(B18, ""bn"", ""en"")"),"What kind of boats are used by the participants in the boat race?")</f>
        <v>What kind of boats are used by the participants in the boat race?</v>
      </c>
      <c r="L18" s="5" t="str">
        <f>IFERROR(__xludf.DUMMYFUNCTION("GOOGLETRANSLATE(C18, ""bn"", ""en"")"),"Flag boat")</f>
        <v>Flag boat</v>
      </c>
      <c r="M18" s="5" t="str">
        <f>IFERROR(__xludf.DUMMYFUNCTION("GOOGLETRANSLATE(D18, ""bn"", ""en"")"),"Conventional boat")</f>
        <v>Conventional boat</v>
      </c>
      <c r="N18" s="5" t="str">
        <f>IFERROR(__xludf.DUMMYFUNCTION("GOOGLETRANSLATE(E18, ""bn"", ""en"")"),"Motor boat")</f>
        <v>Motor boat</v>
      </c>
      <c r="O18" s="5" t="str">
        <f>IFERROR(__xludf.DUMMYFUNCTION("GOOGLETRANSLATE(F18, ""bn"", ""en"")"),"sailing boat")</f>
        <v>sailing boat</v>
      </c>
      <c r="P18" s="5" t="str">
        <f>IFERROR(__xludf.DUMMYFUNCTION("GOOGLETRANSLATE(G18, ""bn"", ""en"")"),"Conventional boat")</f>
        <v>Conventional boat</v>
      </c>
      <c r="Q18" s="5" t="str">
        <f>IFERROR(__xludf.DUMMYFUNCTION("GOOGLETRANSLATE(H18, ""bn"", ""en"")"),"pic8")</f>
        <v>pic8</v>
      </c>
    </row>
    <row r="19">
      <c r="A19" s="3">
        <v>18.0</v>
      </c>
      <c r="B19" s="4" t="s">
        <v>1098</v>
      </c>
      <c r="C19" s="4" t="s">
        <v>1060</v>
      </c>
      <c r="D19" s="4" t="s">
        <v>1099</v>
      </c>
      <c r="E19" s="4" t="s">
        <v>1100</v>
      </c>
      <c r="F19" s="4" t="s">
        <v>1063</v>
      </c>
      <c r="G19" s="4" t="s">
        <v>1060</v>
      </c>
      <c r="H19" s="4" t="s">
        <v>88</v>
      </c>
      <c r="J19" s="5" t="str">
        <f>IFERROR(__xludf.DUMMYFUNCTION("GOOGLETRANSLATE(A19, ""bn"", ""en"")"),"18")</f>
        <v>18</v>
      </c>
      <c r="K19" s="5" t="str">
        <f>IFERROR(__xludf.DUMMYFUNCTION("GOOGLETRANSLATE(B19, ""bn"", ""en"")"),"How is the audience depicted in the film?")</f>
        <v>How is the audience depicted in the film?</v>
      </c>
      <c r="L19" s="5" t="str">
        <f>IFERROR(__xludf.DUMMYFUNCTION("GOOGLETRANSLATE(C19, ""bn"", ""en"")"),"enthusiastic")</f>
        <v>enthusiastic</v>
      </c>
      <c r="M19" s="5" t="str">
        <f>IFERROR(__xludf.DUMMYFUNCTION("GOOGLETRANSLATE(D19, ""bn"", ""en"")"),"Silent")</f>
        <v>Silent</v>
      </c>
      <c r="N19" s="5" t="str">
        <f>IFERROR(__xludf.DUMMYFUNCTION("GOOGLETRANSLATE(E19, ""bn"", ""en"")"),"bored")</f>
        <v>bored</v>
      </c>
      <c r="O19" s="5" t="str">
        <f>IFERROR(__xludf.DUMMYFUNCTION("GOOGLETRANSLATE(F19, ""bn"", ""en"")"),"Silent")</f>
        <v>Silent</v>
      </c>
      <c r="P19" s="5" t="str">
        <f>IFERROR(__xludf.DUMMYFUNCTION("GOOGLETRANSLATE(G19, ""bn"", ""en"")"),"enthusiastic")</f>
        <v>enthusiastic</v>
      </c>
      <c r="Q19" s="5" t="str">
        <f>IFERROR(__xludf.DUMMYFUNCTION("GOOGLETRANSLATE(H19, ""bn"", ""en"")"),"pic9")</f>
        <v>pic9</v>
      </c>
    </row>
    <row r="20">
      <c r="A20" s="3">
        <v>19.0</v>
      </c>
      <c r="B20" s="4" t="s">
        <v>1101</v>
      </c>
      <c r="C20" s="4" t="s">
        <v>1102</v>
      </c>
      <c r="D20" s="4" t="s">
        <v>1103</v>
      </c>
      <c r="E20" s="4" t="s">
        <v>1104</v>
      </c>
      <c r="F20" s="4" t="s">
        <v>1105</v>
      </c>
      <c r="G20" s="4" t="s">
        <v>1103</v>
      </c>
      <c r="H20" s="4" t="s">
        <v>88</v>
      </c>
      <c r="J20" s="5" t="str">
        <f>IFERROR(__xludf.DUMMYFUNCTION("GOOGLETRANSLATE(A20, ""bn"", ""en"")"),"19")</f>
        <v>19</v>
      </c>
      <c r="K20" s="5" t="str">
        <f>IFERROR(__xludf.DUMMYFUNCTION("GOOGLETRANSLATE(B20, ""bn"", ""en"")"),"What elements in boat racing increase the spirit of competition?")</f>
        <v>What elements in boat racing increase the spirit of competition?</v>
      </c>
      <c r="L20" s="5" t="str">
        <f>IFERROR(__xludf.DUMMYFUNCTION("GOOGLETRANSLATE(C20, ""bn"", ""en"")"),"colorful boat")</f>
        <v>colorful boat</v>
      </c>
      <c r="M20" s="5" t="str">
        <f>IFERROR(__xludf.DUMMYFUNCTION("GOOGLETRANSLATE(D20, ""bn"", ""en"")"),"Audience cheers")</f>
        <v>Audience cheers</v>
      </c>
      <c r="N20" s="5" t="str">
        <f>IFERROR(__xludf.DUMMYFUNCTION("GOOGLETRANSLATE(E20, ""bn"", ""en"")"),"swimming")</f>
        <v>swimming</v>
      </c>
      <c r="O20" s="5" t="str">
        <f>IFERROR(__xludf.DUMMYFUNCTION("GOOGLETRANSLATE(F20, ""bn"", ""en"")"),"bell ringing")</f>
        <v>bell ringing</v>
      </c>
      <c r="P20" s="5" t="str">
        <f>IFERROR(__xludf.DUMMYFUNCTION("GOOGLETRANSLATE(G20, ""bn"", ""en"")"),"Audience cheers")</f>
        <v>Audience cheers</v>
      </c>
      <c r="Q20" s="5" t="str">
        <f>IFERROR(__xludf.DUMMYFUNCTION("GOOGLETRANSLATE(H20, ""bn"", ""en"")"),"pic9")</f>
        <v>pic9</v>
      </c>
    </row>
    <row r="21">
      <c r="A21" s="3">
        <v>20.0</v>
      </c>
      <c r="B21" s="4" t="s">
        <v>1069</v>
      </c>
      <c r="C21" s="4" t="s">
        <v>1106</v>
      </c>
      <c r="D21" s="4" t="s">
        <v>1107</v>
      </c>
      <c r="E21" s="4" t="s">
        <v>1108</v>
      </c>
      <c r="F21" s="4" t="s">
        <v>1053</v>
      </c>
      <c r="G21" s="4" t="s">
        <v>1106</v>
      </c>
      <c r="H21" s="4" t="s">
        <v>98</v>
      </c>
      <c r="J21" s="5" t="str">
        <f>IFERROR(__xludf.DUMMYFUNCTION("GOOGLETRANSLATE(A21, ""bn"", ""en"")"),"20")</f>
        <v>20</v>
      </c>
      <c r="K21" s="5" t="str">
        <f>IFERROR(__xludf.DUMMYFUNCTION("GOOGLETRANSLATE(B21, ""bn"", ""en"")"),"How are the boats arranged in the picture?")</f>
        <v>How are the boats arranged in the picture?</v>
      </c>
      <c r="L21" s="5" t="str">
        <f>IFERROR(__xludf.DUMMYFUNCTION("GOOGLETRANSLATE(C21, ""bn"", ""en"")"),"colorful flag")</f>
        <v>colorful flag</v>
      </c>
      <c r="M21" s="5" t="str">
        <f>IFERROR(__xludf.DUMMYFUNCTION("GOOGLETRANSLATE(D21, ""bn"", ""en"")"),"colorful clothes")</f>
        <v>colorful clothes</v>
      </c>
      <c r="N21" s="5" t="str">
        <f>IFERROR(__xludf.DUMMYFUNCTION("GOOGLETRANSLATE(E21, ""bn"", ""en"")"),"the light")</f>
        <v>the light</v>
      </c>
      <c r="O21" s="5" t="str">
        <f>IFERROR(__xludf.DUMMYFUNCTION("GOOGLETRANSLATE(F21, ""bn"", ""en"")"),"Pal")</f>
        <v>Pal</v>
      </c>
      <c r="P21" s="5" t="str">
        <f>IFERROR(__xludf.DUMMYFUNCTION("GOOGLETRANSLATE(G21, ""bn"", ""en"")"),"colorful flag")</f>
        <v>colorful flag</v>
      </c>
      <c r="Q21" s="5" t="str">
        <f>IFERROR(__xludf.DUMMYFUNCTION("GOOGLETRANSLATE(H21, ""bn"", ""en"")"),"pic10")</f>
        <v>pic10</v>
      </c>
    </row>
    <row r="22">
      <c r="A22" s="3">
        <v>21.0</v>
      </c>
      <c r="B22" s="4" t="s">
        <v>1109</v>
      </c>
      <c r="C22" s="4" t="s">
        <v>1110</v>
      </c>
      <c r="D22" s="4" t="s">
        <v>1072</v>
      </c>
      <c r="E22" s="4" t="s">
        <v>1111</v>
      </c>
      <c r="F22" s="4" t="s">
        <v>547</v>
      </c>
      <c r="G22" s="4" t="s">
        <v>1072</v>
      </c>
      <c r="H22" s="4" t="s">
        <v>98</v>
      </c>
      <c r="J22" s="5" t="str">
        <f>IFERROR(__xludf.DUMMYFUNCTION("GOOGLETRANSLATE(A22, ""bn"", ""en"")"),"21")</f>
        <v>21</v>
      </c>
      <c r="K22" s="5" t="str">
        <f>IFERROR(__xludf.DUMMYFUNCTION("GOOGLETRANSLATE(B22, ""bn"", ""en"")"),"What kind of coordination do the participants in the boat race show?")</f>
        <v>What kind of coordination do the participants in the boat race show?</v>
      </c>
      <c r="L22" s="5" t="str">
        <f>IFERROR(__xludf.DUMMYFUNCTION("GOOGLETRANSLATE(C22, ""bn"", ""en"")"),"Stretching")</f>
        <v>Stretching</v>
      </c>
      <c r="M22" s="5" t="str">
        <f>IFERROR(__xludf.DUMMYFUNCTION("GOOGLETRANSLATE(D22, ""bn"", ""en"")"),"Combined rowing")</f>
        <v>Combined rowing</v>
      </c>
      <c r="N22" s="5" t="str">
        <f>IFERROR(__xludf.DUMMYFUNCTION("GOOGLETRANSLATE(E22, ""bn"", ""en"")"),"Sailing")</f>
        <v>Sailing</v>
      </c>
      <c r="O22" s="5" t="str">
        <f>IFERROR(__xludf.DUMMYFUNCTION("GOOGLETRANSLATE(F22, ""bn"", ""en"")"),"Show of strength")</f>
        <v>Show of strength</v>
      </c>
      <c r="P22" s="5" t="str">
        <f>IFERROR(__xludf.DUMMYFUNCTION("GOOGLETRANSLATE(G22, ""bn"", ""en"")"),"Combined rowing")</f>
        <v>Combined rowing</v>
      </c>
      <c r="Q22" s="5" t="str">
        <f>IFERROR(__xludf.DUMMYFUNCTION("GOOGLETRANSLATE(H22, ""bn"", ""en"")"),"pic10")</f>
        <v>pic10</v>
      </c>
    </row>
    <row r="23">
      <c r="A23" s="3">
        <v>22.0</v>
      </c>
      <c r="B23" s="4" t="s">
        <v>1112</v>
      </c>
      <c r="C23" s="4" t="s">
        <v>1064</v>
      </c>
      <c r="D23" s="4" t="s">
        <v>1099</v>
      </c>
      <c r="E23" s="4" t="s">
        <v>1100</v>
      </c>
      <c r="F23" s="4" t="s">
        <v>1065</v>
      </c>
      <c r="G23" s="4" t="s">
        <v>1064</v>
      </c>
      <c r="H23" s="4" t="s">
        <v>109</v>
      </c>
      <c r="J23" s="5" t="str">
        <f>IFERROR(__xludf.DUMMYFUNCTION("GOOGLETRANSLATE(A23, ""bn"", ""en"")"),"22")</f>
        <v>22</v>
      </c>
      <c r="K23" s="5" t="str">
        <f>IFERROR(__xludf.DUMMYFUNCTION("GOOGLETRANSLATE(B23, ""bn"", ""en"")"),"How has the audience's reaction been expressed in the film?")</f>
        <v>How has the audience's reaction been expressed in the film?</v>
      </c>
      <c r="L23" s="5" t="str">
        <f>IFERROR(__xludf.DUMMYFUNCTION("GOOGLETRANSLATE(C23, ""bn"", ""en"")"),"Excited")</f>
        <v>Excited</v>
      </c>
      <c r="M23" s="5" t="str">
        <f>IFERROR(__xludf.DUMMYFUNCTION("GOOGLETRANSLATE(D23, ""bn"", ""en"")"),"Silent")</f>
        <v>Silent</v>
      </c>
      <c r="N23" s="5" t="str">
        <f>IFERROR(__xludf.DUMMYFUNCTION("GOOGLETRANSLATE(E23, ""bn"", ""en"")"),"bored")</f>
        <v>bored</v>
      </c>
      <c r="O23" s="5" t="str">
        <f>IFERROR(__xludf.DUMMYFUNCTION("GOOGLETRANSLATE(F23, ""bn"", ""en"")"),"normal")</f>
        <v>normal</v>
      </c>
      <c r="P23" s="5" t="str">
        <f>IFERROR(__xludf.DUMMYFUNCTION("GOOGLETRANSLATE(G23, ""bn"", ""en"")"),"Excited")</f>
        <v>Excited</v>
      </c>
      <c r="Q23" s="5" t="str">
        <f>IFERROR(__xludf.DUMMYFUNCTION("GOOGLETRANSLATE(H23, ""bn"", ""en"")"),"pic11")</f>
        <v>pic11</v>
      </c>
    </row>
    <row r="24">
      <c r="A24" s="3">
        <v>23.0</v>
      </c>
      <c r="B24" s="4" t="s">
        <v>1113</v>
      </c>
      <c r="C24" s="4" t="s">
        <v>1072</v>
      </c>
      <c r="D24" s="4" t="s">
        <v>1073</v>
      </c>
      <c r="E24" s="4" t="s">
        <v>547</v>
      </c>
      <c r="F24" s="4" t="s">
        <v>1111</v>
      </c>
      <c r="G24" s="4" t="s">
        <v>1072</v>
      </c>
      <c r="H24" s="4" t="s">
        <v>109</v>
      </c>
      <c r="J24" s="5" t="str">
        <f>IFERROR(__xludf.DUMMYFUNCTION("GOOGLETRANSLATE(A24, ""bn"", ""en"")"),"23")</f>
        <v>23</v>
      </c>
      <c r="K24" s="5" t="str">
        <f>IFERROR(__xludf.DUMMYFUNCTION("GOOGLETRANSLATE(B24, ""bn"", ""en"")"),"What kind of tricks are the participants in the boat race showing?")</f>
        <v>What kind of tricks are the participants in the boat race showing?</v>
      </c>
      <c r="L24" s="5" t="str">
        <f>IFERROR(__xludf.DUMMYFUNCTION("GOOGLETRANSLATE(C24, ""bn"", ""en"")"),"Combined rowing")</f>
        <v>Combined rowing</v>
      </c>
      <c r="M24" s="5" t="str">
        <f>IFERROR(__xludf.DUMMYFUNCTION("GOOGLETRANSLATE(D24, ""bn"", ""en"")"),"Use of flocks")</f>
        <v>Use of flocks</v>
      </c>
      <c r="N24" s="5" t="str">
        <f>IFERROR(__xludf.DUMMYFUNCTION("GOOGLETRANSLATE(E24, ""bn"", ""en"")"),"Show of strength")</f>
        <v>Show of strength</v>
      </c>
      <c r="O24" s="5" t="str">
        <f>IFERROR(__xludf.DUMMYFUNCTION("GOOGLETRANSLATE(F24, ""bn"", ""en"")"),"Sailing")</f>
        <v>Sailing</v>
      </c>
      <c r="P24" s="5" t="str">
        <f>IFERROR(__xludf.DUMMYFUNCTION("GOOGLETRANSLATE(G24, ""bn"", ""en"")"),"Combined rowing")</f>
        <v>Combined rowing</v>
      </c>
      <c r="Q24" s="5" t="str">
        <f>IFERROR(__xludf.DUMMYFUNCTION("GOOGLETRANSLATE(H24, ""bn"", ""en"")"),"pic11")</f>
        <v>pic11</v>
      </c>
    </row>
    <row r="25">
      <c r="A25" s="3">
        <v>24.0</v>
      </c>
      <c r="B25" s="4" t="s">
        <v>1114</v>
      </c>
      <c r="C25" s="4" t="s">
        <v>1077</v>
      </c>
      <c r="D25" s="4" t="s">
        <v>1079</v>
      </c>
      <c r="E25" s="4" t="s">
        <v>686</v>
      </c>
      <c r="F25" s="4" t="s">
        <v>1078</v>
      </c>
      <c r="G25" s="4" t="s">
        <v>1077</v>
      </c>
      <c r="H25" s="4" t="s">
        <v>120</v>
      </c>
      <c r="J25" s="5" t="str">
        <f>IFERROR(__xludf.DUMMYFUNCTION("GOOGLETRANSLATE(A25, ""bn"", ""en"")"),"24")</f>
        <v>24</v>
      </c>
      <c r="K25" s="5" t="str">
        <f>IFERROR(__xludf.DUMMYFUNCTION("GOOGLETRANSLATE(B25, ""bn"", ""en"")"),"How is the spirit of competition expressed in the film?")</f>
        <v>How is the spirit of competition expressed in the film?</v>
      </c>
      <c r="L25" s="5" t="str">
        <f>IFERROR(__xludf.DUMMYFUNCTION("GOOGLETRANSLATE(C25, ""bn"", ""en"")"),"Stimulus")</f>
        <v>Stimulus</v>
      </c>
      <c r="M25" s="5" t="str">
        <f>IFERROR(__xludf.DUMMYFUNCTION("GOOGLETRANSLATE(D25, ""bn"", ""en"")"),"Silence")</f>
        <v>Silence</v>
      </c>
      <c r="N25" s="5" t="str">
        <f>IFERROR(__xludf.DUMMYFUNCTION("GOOGLETRANSLATE(E25, ""bn"", ""en"")"),"Annoyance")</f>
        <v>Annoyance</v>
      </c>
      <c r="O25" s="5" t="str">
        <f>IFERROR(__xludf.DUMMYFUNCTION("GOOGLETRANSLATE(F25, ""bn"", ""en"")"),"without hesitation")</f>
        <v>without hesitation</v>
      </c>
      <c r="P25" s="5" t="str">
        <f>IFERROR(__xludf.DUMMYFUNCTION("GOOGLETRANSLATE(G25, ""bn"", ""en"")"),"Stimulus")</f>
        <v>Stimulus</v>
      </c>
      <c r="Q25" s="5" t="str">
        <f>IFERROR(__xludf.DUMMYFUNCTION("GOOGLETRANSLATE(H25, ""bn"", ""en"")"),"pic12")</f>
        <v>pic12</v>
      </c>
    </row>
    <row r="26">
      <c r="A26" s="3">
        <v>25.0</v>
      </c>
      <c r="B26" s="4" t="s">
        <v>1115</v>
      </c>
      <c r="C26" s="4" t="s">
        <v>1116</v>
      </c>
      <c r="D26" s="4" t="s">
        <v>1117</v>
      </c>
      <c r="E26" s="4" t="s">
        <v>1118</v>
      </c>
      <c r="F26" s="4" t="s">
        <v>1119</v>
      </c>
      <c r="G26" s="4" t="s">
        <v>1116</v>
      </c>
      <c r="H26" s="4" t="s">
        <v>120</v>
      </c>
      <c r="J26" s="5" t="str">
        <f>IFERROR(__xludf.DUMMYFUNCTION("GOOGLETRANSLATE(A26, ""bn"", ""en"")"),"25")</f>
        <v>25</v>
      </c>
      <c r="K26" s="5" t="str">
        <f>IFERROR(__xludf.DUMMYFUNCTION("GOOGLETRANSLATE(B26, ""bn"", ""en"")"),"How is the coordination between the contestants in the film?")</f>
        <v>How is the coordination between the contestants in the film?</v>
      </c>
      <c r="L26" s="5" t="str">
        <f>IFERROR(__xludf.DUMMYFUNCTION("GOOGLETRANSLATE(C26, ""bn"", ""en"")"),"high")</f>
        <v>high</v>
      </c>
      <c r="M26" s="5" t="str">
        <f>IFERROR(__xludf.DUMMYFUNCTION("GOOGLETRANSLATE(D26, ""bn"", ""en"")"),"Low")</f>
        <v>Low</v>
      </c>
      <c r="N26" s="5" t="str">
        <f>IFERROR(__xludf.DUMMYFUNCTION("GOOGLETRANSLATE(E26, ""bn"", ""en"")"),"Medium")</f>
        <v>Medium</v>
      </c>
      <c r="O26" s="5" t="str">
        <f>IFERROR(__xludf.DUMMYFUNCTION("GOOGLETRANSLATE(F26, ""bn"", ""en"")"),"Variable")</f>
        <v>Variable</v>
      </c>
      <c r="P26" s="5" t="str">
        <f>IFERROR(__xludf.DUMMYFUNCTION("GOOGLETRANSLATE(G26, ""bn"", ""en"")"),"high")</f>
        <v>high</v>
      </c>
      <c r="Q26" s="5" t="str">
        <f>IFERROR(__xludf.DUMMYFUNCTION("GOOGLETRANSLATE(H26, ""bn"", ""en"")"),"pic12")</f>
        <v>pic12</v>
      </c>
    </row>
    <row r="27">
      <c r="A27" s="3">
        <v>26.0</v>
      </c>
      <c r="B27" s="4" t="s">
        <v>1120</v>
      </c>
      <c r="C27" s="4" t="s">
        <v>1103</v>
      </c>
      <c r="D27" s="4" t="s">
        <v>1121</v>
      </c>
      <c r="E27" s="4" t="s">
        <v>1073</v>
      </c>
      <c r="F27" s="4" t="s">
        <v>689</v>
      </c>
      <c r="G27" s="4" t="s">
        <v>1103</v>
      </c>
      <c r="H27" s="4" t="s">
        <v>131</v>
      </c>
      <c r="J27" s="5" t="str">
        <f>IFERROR(__xludf.DUMMYFUNCTION("GOOGLETRANSLATE(A27, ""bn"", ""en"")"),"26")</f>
        <v>26</v>
      </c>
      <c r="K27" s="5" t="str">
        <f>IFERROR(__xludf.DUMMYFUNCTION("GOOGLETRANSLATE(B27, ""bn"", ""en"")"),"What element of boat racing is more fun than racing?")</f>
        <v>What element of boat racing is more fun than racing?</v>
      </c>
      <c r="L27" s="5" t="str">
        <f>IFERROR(__xludf.DUMMYFUNCTION("GOOGLETRANSLATE(C27, ""bn"", ""en"")"),"Audience cheers")</f>
        <v>Audience cheers</v>
      </c>
      <c r="M27" s="5" t="str">
        <f>IFERROR(__xludf.DUMMYFUNCTION("GOOGLETRANSLATE(D27, ""bn"", ""en"")"),"Boat design")</f>
        <v>Boat design</v>
      </c>
      <c r="N27" s="5" t="str">
        <f>IFERROR(__xludf.DUMMYFUNCTION("GOOGLETRANSLATE(E27, ""bn"", ""en"")"),"Use of flocks")</f>
        <v>Use of flocks</v>
      </c>
      <c r="O27" s="5" t="str">
        <f>IFERROR(__xludf.DUMMYFUNCTION("GOOGLETRANSLATE(F27, ""bn"", ""en"")"),"observation")</f>
        <v>observation</v>
      </c>
      <c r="P27" s="5" t="str">
        <f>IFERROR(__xludf.DUMMYFUNCTION("GOOGLETRANSLATE(G27, ""bn"", ""en"")"),"Audience cheers")</f>
        <v>Audience cheers</v>
      </c>
      <c r="Q27" s="5" t="str">
        <f>IFERROR(__xludf.DUMMYFUNCTION("GOOGLETRANSLATE(H27, ""bn"", ""en"")"),"pic13")</f>
        <v>pic13</v>
      </c>
    </row>
    <row r="28">
      <c r="A28" s="3">
        <v>27.0</v>
      </c>
      <c r="B28" s="4" t="s">
        <v>1122</v>
      </c>
      <c r="C28" s="4" t="s">
        <v>1058</v>
      </c>
      <c r="D28" s="4" t="s">
        <v>156</v>
      </c>
      <c r="E28" s="4" t="s">
        <v>143</v>
      </c>
      <c r="F28" s="4" t="s">
        <v>1123</v>
      </c>
      <c r="G28" s="4" t="s">
        <v>1058</v>
      </c>
      <c r="H28" s="4" t="s">
        <v>131</v>
      </c>
      <c r="J28" s="5" t="str">
        <f>IFERROR(__xludf.DUMMYFUNCTION("GOOGLETRANSLATE(A28, ""bn"", ""en"")"),"27")</f>
        <v>27</v>
      </c>
      <c r="K28" s="5" t="str">
        <f>IFERROR(__xludf.DUMMYFUNCTION("GOOGLETRANSLATE(B28, ""bn"", ""en"")"),"Which aspect is more important in a boat racing competition?")</f>
        <v>Which aspect is more important in a boat racing competition?</v>
      </c>
      <c r="L28" s="5" t="str">
        <f>IFERROR(__xludf.DUMMYFUNCTION("GOOGLETRANSLATE(C28, ""bn"", ""en"")"),"combination")</f>
        <v>combination</v>
      </c>
      <c r="M28" s="5" t="str">
        <f>IFERROR(__xludf.DUMMYFUNCTION("GOOGLETRANSLATE(D28, ""bn"", ""en"")"),"Speed")</f>
        <v>Speed</v>
      </c>
      <c r="N28" s="5" t="str">
        <f>IFERROR(__xludf.DUMMYFUNCTION("GOOGLETRANSLATE(E28, ""bn"", ""en"")"),"Power")</f>
        <v>Power</v>
      </c>
      <c r="O28" s="5" t="str">
        <f>IFERROR(__xludf.DUMMYFUNCTION("GOOGLETRANSLATE(F28, ""bn"", ""en"")"),"Endurance")</f>
        <v>Endurance</v>
      </c>
      <c r="P28" s="5" t="str">
        <f>IFERROR(__xludf.DUMMYFUNCTION("GOOGLETRANSLATE(G28, ""bn"", ""en"")"),"combination")</f>
        <v>combination</v>
      </c>
      <c r="Q28" s="5" t="str">
        <f>IFERROR(__xludf.DUMMYFUNCTION("GOOGLETRANSLATE(H28, ""bn"", ""en"")"),"pic13")</f>
        <v>pic13</v>
      </c>
    </row>
    <row r="29">
      <c r="A29" s="3">
        <v>28.0</v>
      </c>
      <c r="B29" s="4" t="s">
        <v>1124</v>
      </c>
      <c r="C29" s="4" t="s">
        <v>1116</v>
      </c>
      <c r="D29" s="4" t="s">
        <v>1117</v>
      </c>
      <c r="E29" s="4" t="s">
        <v>1118</v>
      </c>
      <c r="F29" s="4" t="s">
        <v>1119</v>
      </c>
      <c r="G29" s="4" t="s">
        <v>1116</v>
      </c>
      <c r="H29" s="4" t="s">
        <v>141</v>
      </c>
      <c r="J29" s="5" t="str">
        <f>IFERROR(__xludf.DUMMYFUNCTION("GOOGLETRANSLATE(A29, ""bn"", ""en"")"),"28")</f>
        <v>28</v>
      </c>
      <c r="K29" s="5" t="str">
        <f>IFERROR(__xludf.DUMMYFUNCTION("GOOGLETRANSLATE(B29, ""bn"", ""en"")"),"How are the participants in the film paying attention?")</f>
        <v>How are the participants in the film paying attention?</v>
      </c>
      <c r="L29" s="5" t="str">
        <f>IFERROR(__xludf.DUMMYFUNCTION("GOOGLETRANSLATE(C29, ""bn"", ""en"")"),"high")</f>
        <v>high</v>
      </c>
      <c r="M29" s="5" t="str">
        <f>IFERROR(__xludf.DUMMYFUNCTION("GOOGLETRANSLATE(D29, ""bn"", ""en"")"),"Low")</f>
        <v>Low</v>
      </c>
      <c r="N29" s="5" t="str">
        <f>IFERROR(__xludf.DUMMYFUNCTION("GOOGLETRANSLATE(E29, ""bn"", ""en"")"),"Medium")</f>
        <v>Medium</v>
      </c>
      <c r="O29" s="5" t="str">
        <f>IFERROR(__xludf.DUMMYFUNCTION("GOOGLETRANSLATE(F29, ""bn"", ""en"")"),"Variable")</f>
        <v>Variable</v>
      </c>
      <c r="P29" s="5" t="str">
        <f>IFERROR(__xludf.DUMMYFUNCTION("GOOGLETRANSLATE(G29, ""bn"", ""en"")"),"high")</f>
        <v>high</v>
      </c>
      <c r="Q29" s="5" t="str">
        <f>IFERROR(__xludf.DUMMYFUNCTION("GOOGLETRANSLATE(H29, ""bn"", ""en"")"),"pic14")</f>
        <v>pic14</v>
      </c>
    </row>
    <row r="30">
      <c r="A30" s="3">
        <v>29.0</v>
      </c>
      <c r="B30" s="4" t="s">
        <v>1125</v>
      </c>
      <c r="C30" s="4" t="s">
        <v>1058</v>
      </c>
      <c r="D30" s="4" t="s">
        <v>143</v>
      </c>
      <c r="E30" s="4" t="s">
        <v>156</v>
      </c>
      <c r="F30" s="4" t="s">
        <v>1126</v>
      </c>
      <c r="G30" s="4" t="s">
        <v>1058</v>
      </c>
      <c r="H30" s="4" t="s">
        <v>141</v>
      </c>
      <c r="J30" s="5" t="str">
        <f>IFERROR(__xludf.DUMMYFUNCTION("GOOGLETRANSLATE(A30, ""bn"", ""en"")"),"29")</f>
        <v>29</v>
      </c>
      <c r="K30" s="5" t="str">
        <f>IFERROR(__xludf.DUMMYFUNCTION("GOOGLETRANSLATE(B30, ""bn"", ""en"")"),"What element in boat racing is most important to the success of the race?")</f>
        <v>What element in boat racing is most important to the success of the race?</v>
      </c>
      <c r="L30" s="5" t="str">
        <f>IFERROR(__xludf.DUMMYFUNCTION("GOOGLETRANSLATE(C30, ""bn"", ""en"")"),"combination")</f>
        <v>combination</v>
      </c>
      <c r="M30" s="5" t="str">
        <f>IFERROR(__xludf.DUMMYFUNCTION("GOOGLETRANSLATE(D30, ""bn"", ""en"")"),"Power")</f>
        <v>Power</v>
      </c>
      <c r="N30" s="5" t="str">
        <f>IFERROR(__xludf.DUMMYFUNCTION("GOOGLETRANSLATE(E30, ""bn"", ""en"")"),"Speed")</f>
        <v>Speed</v>
      </c>
      <c r="O30" s="5" t="str">
        <f>IFERROR(__xludf.DUMMYFUNCTION("GOOGLETRANSLATE(F30, ""bn"", ""en"")"),"eyesight")</f>
        <v>eyesight</v>
      </c>
      <c r="P30" s="5" t="str">
        <f>IFERROR(__xludf.DUMMYFUNCTION("GOOGLETRANSLATE(G30, ""bn"", ""en"")"),"combination")</f>
        <v>combination</v>
      </c>
      <c r="Q30" s="5" t="str">
        <f>IFERROR(__xludf.DUMMYFUNCTION("GOOGLETRANSLATE(H30, ""bn"", ""en"")"),"pic14")</f>
        <v>pic14</v>
      </c>
    </row>
    <row r="31">
      <c r="A31" s="3">
        <v>30.0</v>
      </c>
      <c r="B31" s="4" t="s">
        <v>1127</v>
      </c>
      <c r="C31" s="4" t="s">
        <v>1077</v>
      </c>
      <c r="D31" s="4" t="s">
        <v>561</v>
      </c>
      <c r="E31" s="4" t="s">
        <v>579</v>
      </c>
      <c r="F31" s="4" t="s">
        <v>1128</v>
      </c>
      <c r="G31" s="4" t="s">
        <v>1077</v>
      </c>
      <c r="H31" s="4" t="s">
        <v>608</v>
      </c>
      <c r="J31" s="5" t="str">
        <f>IFERROR(__xludf.DUMMYFUNCTION("GOOGLETRANSLATE(A31, ""bn"", ""en"")"),"30")</f>
        <v>30</v>
      </c>
      <c r="K31" s="5" t="str">
        <f>IFERROR(__xludf.DUMMYFUNCTION("GOOGLETRANSLATE(B31, ""bn"", ""en"")"),"How are the contestants in the film preparing for the competition?")</f>
        <v>How are the contestants in the film preparing for the competition?</v>
      </c>
      <c r="L31" s="5" t="str">
        <f>IFERROR(__xludf.DUMMYFUNCTION("GOOGLETRANSLATE(C31, ""bn"", ""en"")"),"Stimulus")</f>
        <v>Stimulus</v>
      </c>
      <c r="M31" s="5" t="str">
        <f>IFERROR(__xludf.DUMMYFUNCTION("GOOGLETRANSLATE(D31, ""bn"", ""en"")"),"calm down")</f>
        <v>calm down</v>
      </c>
      <c r="N31" s="5" t="str">
        <f>IFERROR(__xludf.DUMMYFUNCTION("GOOGLETRANSLATE(E31, ""bn"", ""en"")"),"careless")</f>
        <v>careless</v>
      </c>
      <c r="O31" s="5" t="str">
        <f>IFERROR(__xludf.DUMMYFUNCTION("GOOGLETRANSLATE(F31, ""bn"", ""en"")"),"busy")</f>
        <v>busy</v>
      </c>
      <c r="P31" s="5" t="str">
        <f>IFERROR(__xludf.DUMMYFUNCTION("GOOGLETRANSLATE(G31, ""bn"", ""en"")"),"Stimulus")</f>
        <v>Stimulus</v>
      </c>
      <c r="Q31" s="5" t="str">
        <f>IFERROR(__xludf.DUMMYFUNCTION("GOOGLETRANSLATE(H31, ""bn"", ""en"")"),"pic15")</f>
        <v>pic15</v>
      </c>
    </row>
    <row r="32">
      <c r="A32" s="3">
        <v>31.0</v>
      </c>
      <c r="B32" s="4" t="s">
        <v>1129</v>
      </c>
      <c r="C32" s="4" t="s">
        <v>1072</v>
      </c>
      <c r="D32" s="4" t="s">
        <v>1073</v>
      </c>
      <c r="E32" s="4" t="s">
        <v>547</v>
      </c>
      <c r="F32" s="4" t="s">
        <v>1111</v>
      </c>
      <c r="G32" s="4" t="s">
        <v>1072</v>
      </c>
      <c r="H32" s="4" t="s">
        <v>608</v>
      </c>
      <c r="J32" s="5" t="str">
        <f>IFERROR(__xludf.DUMMYFUNCTION("GOOGLETRANSLATE(A32, ""bn"", ""en"")"),"31")</f>
        <v>31</v>
      </c>
      <c r="K32" s="5" t="str">
        <f>IFERROR(__xludf.DUMMYFUNCTION("GOOGLETRANSLATE(B32, ""bn"", ""en"")"),"What kind of tactics are used by the participants in the boat race?")</f>
        <v>What kind of tactics are used by the participants in the boat race?</v>
      </c>
      <c r="L32" s="5" t="str">
        <f>IFERROR(__xludf.DUMMYFUNCTION("GOOGLETRANSLATE(C32, ""bn"", ""en"")"),"Combined rowing")</f>
        <v>Combined rowing</v>
      </c>
      <c r="M32" s="5" t="str">
        <f>IFERROR(__xludf.DUMMYFUNCTION("GOOGLETRANSLATE(D32, ""bn"", ""en"")"),"Use of flocks")</f>
        <v>Use of flocks</v>
      </c>
      <c r="N32" s="5" t="str">
        <f>IFERROR(__xludf.DUMMYFUNCTION("GOOGLETRANSLATE(E32, ""bn"", ""en"")"),"Show of strength")</f>
        <v>Show of strength</v>
      </c>
      <c r="O32" s="5" t="str">
        <f>IFERROR(__xludf.DUMMYFUNCTION("GOOGLETRANSLATE(F32, ""bn"", ""en"")"),"Sailing")</f>
        <v>Sailing</v>
      </c>
      <c r="P32" s="5" t="str">
        <f>IFERROR(__xludf.DUMMYFUNCTION("GOOGLETRANSLATE(G32, ""bn"", ""en"")"),"Combined rowing")</f>
        <v>Combined rowing</v>
      </c>
      <c r="Q32" s="5" t="str">
        <f>IFERROR(__xludf.DUMMYFUNCTION("GOOGLETRANSLATE(H32, ""bn"", ""en"")"),"pic15")</f>
        <v>pic15</v>
      </c>
    </row>
    <row r="33">
      <c r="A33" s="3">
        <v>32.0</v>
      </c>
      <c r="B33" s="4" t="s">
        <v>1076</v>
      </c>
      <c r="C33" s="4" t="s">
        <v>1077</v>
      </c>
      <c r="D33" s="4" t="s">
        <v>1079</v>
      </c>
      <c r="E33" s="4" t="s">
        <v>686</v>
      </c>
      <c r="F33" s="4" t="s">
        <v>1078</v>
      </c>
      <c r="G33" s="4" t="s">
        <v>1077</v>
      </c>
      <c r="H33" s="4" t="s">
        <v>149</v>
      </c>
      <c r="J33" s="5" t="str">
        <f>IFERROR(__xludf.DUMMYFUNCTION("GOOGLETRANSLATE(A33, ""bn"", ""en"")"),"32")</f>
        <v>32</v>
      </c>
      <c r="K33" s="5" t="str">
        <f>IFERROR(__xludf.DUMMYFUNCTION("GOOGLETRANSLATE(B33, ""bn"", ""en"")"),"How has the audience reacted to the film?")</f>
        <v>How has the audience reacted to the film?</v>
      </c>
      <c r="L33" s="5" t="str">
        <f>IFERROR(__xludf.DUMMYFUNCTION("GOOGLETRANSLATE(C33, ""bn"", ""en"")"),"Stimulus")</f>
        <v>Stimulus</v>
      </c>
      <c r="M33" s="5" t="str">
        <f>IFERROR(__xludf.DUMMYFUNCTION("GOOGLETRANSLATE(D33, ""bn"", ""en"")"),"Silence")</f>
        <v>Silence</v>
      </c>
      <c r="N33" s="5" t="str">
        <f>IFERROR(__xludf.DUMMYFUNCTION("GOOGLETRANSLATE(E33, ""bn"", ""en"")"),"Annoyance")</f>
        <v>Annoyance</v>
      </c>
      <c r="O33" s="5" t="str">
        <f>IFERROR(__xludf.DUMMYFUNCTION("GOOGLETRANSLATE(F33, ""bn"", ""en"")"),"without hesitation")</f>
        <v>without hesitation</v>
      </c>
      <c r="P33" s="5" t="str">
        <f>IFERROR(__xludf.DUMMYFUNCTION("GOOGLETRANSLATE(G33, ""bn"", ""en"")"),"Stimulus")</f>
        <v>Stimulus</v>
      </c>
      <c r="Q33" s="5" t="str">
        <f>IFERROR(__xludf.DUMMYFUNCTION("GOOGLETRANSLATE(H33, ""bn"", ""en"")"),"pic16")</f>
        <v>pic16</v>
      </c>
    </row>
    <row r="34">
      <c r="A34" s="3">
        <v>33.0</v>
      </c>
      <c r="B34" s="4" t="s">
        <v>1130</v>
      </c>
      <c r="C34" s="4" t="s">
        <v>1131</v>
      </c>
      <c r="D34" s="4" t="s">
        <v>1096</v>
      </c>
      <c r="E34" s="4" t="s">
        <v>1097</v>
      </c>
      <c r="F34" s="4" t="s">
        <v>1132</v>
      </c>
      <c r="G34" s="4" t="s">
        <v>1131</v>
      </c>
      <c r="H34" s="4" t="s">
        <v>149</v>
      </c>
      <c r="J34" s="5" t="str">
        <f>IFERROR(__xludf.DUMMYFUNCTION("GOOGLETRANSLATE(A34, ""bn"", ""en"")"),"33")</f>
        <v>33</v>
      </c>
      <c r="K34" s="5" t="str">
        <f>IFERROR(__xludf.DUMMYFUNCTION("GOOGLETRANSLATE(B34, ""bn"", ""en"")"),"What kind of boat are the participants in the boat race using?")</f>
        <v>What kind of boat are the participants in the boat race using?</v>
      </c>
      <c r="L34" s="5" t="str">
        <f>IFERROR(__xludf.DUMMYFUNCTION("GOOGLETRANSLATE(C34, ""bn"", ""en"")"),"Rowing boat")</f>
        <v>Rowing boat</v>
      </c>
      <c r="M34" s="5" t="str">
        <f>IFERROR(__xludf.DUMMYFUNCTION("GOOGLETRANSLATE(D34, ""bn"", ""en"")"),"Motor boat")</f>
        <v>Motor boat</v>
      </c>
      <c r="N34" s="5" t="str">
        <f>IFERROR(__xludf.DUMMYFUNCTION("GOOGLETRANSLATE(E34, ""bn"", ""en"")"),"sailing boat")</f>
        <v>sailing boat</v>
      </c>
      <c r="O34" s="5" t="str">
        <f>IFERROR(__xludf.DUMMYFUNCTION("GOOGLETRANSLATE(F34, ""bn"", ""en"")"),"canoe boat")</f>
        <v>canoe boat</v>
      </c>
      <c r="P34" s="5" t="str">
        <f>IFERROR(__xludf.DUMMYFUNCTION("GOOGLETRANSLATE(G34, ""bn"", ""en"")"),"Rowing boat")</f>
        <v>Rowing boat</v>
      </c>
      <c r="Q34" s="5" t="str">
        <f>IFERROR(__xludf.DUMMYFUNCTION("GOOGLETRANSLATE(H34, ""bn"", ""en"")"),"pic16")</f>
        <v>pic16</v>
      </c>
    </row>
    <row r="35">
      <c r="A35" s="3">
        <v>34.0</v>
      </c>
      <c r="B35" s="4" t="s">
        <v>1059</v>
      </c>
      <c r="C35" s="4" t="s">
        <v>1077</v>
      </c>
      <c r="D35" s="4" t="s">
        <v>1099</v>
      </c>
      <c r="E35" s="4" t="s">
        <v>1065</v>
      </c>
      <c r="F35" s="4" t="s">
        <v>1061</v>
      </c>
      <c r="G35" s="4" t="s">
        <v>1077</v>
      </c>
      <c r="H35" s="4" t="s">
        <v>158</v>
      </c>
      <c r="J35" s="5" t="str">
        <f>IFERROR(__xludf.DUMMYFUNCTION("GOOGLETRANSLATE(A35, ""bn"", ""en"")"),"34")</f>
        <v>34</v>
      </c>
      <c r="K35" s="5" t="str">
        <f>IFERROR(__xludf.DUMMYFUNCTION("GOOGLETRANSLATE(B35, ""bn"", ""en"")"),"How is the competition environment in the film?")</f>
        <v>How is the competition environment in the film?</v>
      </c>
      <c r="L35" s="5" t="str">
        <f>IFERROR(__xludf.DUMMYFUNCTION("GOOGLETRANSLATE(C35, ""bn"", ""en"")"),"Stimulus")</f>
        <v>Stimulus</v>
      </c>
      <c r="M35" s="5" t="str">
        <f>IFERROR(__xludf.DUMMYFUNCTION("GOOGLETRANSLATE(D35, ""bn"", ""en"")"),"Silent")</f>
        <v>Silent</v>
      </c>
      <c r="N35" s="5" t="str">
        <f>IFERROR(__xludf.DUMMYFUNCTION("GOOGLETRANSLATE(E35, ""bn"", ""en"")"),"normal")</f>
        <v>normal</v>
      </c>
      <c r="O35" s="5" t="str">
        <f>IFERROR(__xludf.DUMMYFUNCTION("GOOGLETRANSLATE(F35, ""bn"", ""en"")"),"Boring")</f>
        <v>Boring</v>
      </c>
      <c r="P35" s="5" t="str">
        <f>IFERROR(__xludf.DUMMYFUNCTION("GOOGLETRANSLATE(G35, ""bn"", ""en"")"),"Stimulus")</f>
        <v>Stimulus</v>
      </c>
      <c r="Q35" s="5" t="str">
        <f>IFERROR(__xludf.DUMMYFUNCTION("GOOGLETRANSLATE(H35, ""bn"", ""en"")"),"pic17")</f>
        <v>pic17</v>
      </c>
    </row>
    <row r="36">
      <c r="A36" s="3">
        <v>35.0</v>
      </c>
      <c r="B36" s="4" t="s">
        <v>1133</v>
      </c>
      <c r="C36" s="4" t="s">
        <v>1102</v>
      </c>
      <c r="D36" s="4" t="s">
        <v>1091</v>
      </c>
      <c r="E36" s="4" t="s">
        <v>1103</v>
      </c>
      <c r="F36" s="4" t="s">
        <v>1093</v>
      </c>
      <c r="G36" s="4" t="s">
        <v>1093</v>
      </c>
      <c r="H36" s="4" t="s">
        <v>158</v>
      </c>
      <c r="J36" s="5" t="str">
        <f>IFERROR(__xludf.DUMMYFUNCTION("GOOGLETRANSLATE(A36, ""bn"", ""en"")"),"35")</f>
        <v>35</v>
      </c>
      <c r="K36" s="5" t="str">
        <f>IFERROR(__xludf.DUMMYFUNCTION("GOOGLETRANSLATE(B36, ""bn"", ""en"")"),"Which element in the boat race enhances the beauty of the race?")</f>
        <v>Which element in the boat race enhances the beauty of the race?</v>
      </c>
      <c r="L36" s="5" t="str">
        <f>IFERROR(__xludf.DUMMYFUNCTION("GOOGLETRANSLATE(C36, ""bn"", ""en"")"),"colorful boat")</f>
        <v>colorful boat</v>
      </c>
      <c r="M36" s="5" t="str">
        <f>IFERROR(__xludf.DUMMYFUNCTION("GOOGLETRANSLATE(D36, ""bn"", ""en"")"),"fast speed")</f>
        <v>fast speed</v>
      </c>
      <c r="N36" s="5" t="str">
        <f>IFERROR(__xludf.DUMMYFUNCTION("GOOGLETRANSLATE(E36, ""bn"", ""en"")"),"Audience cheers")</f>
        <v>Audience cheers</v>
      </c>
      <c r="O36" s="5" t="str">
        <f>IFERROR(__xludf.DUMMYFUNCTION("GOOGLETRANSLATE(F36, ""bn"", ""en"")"),"Boat design")</f>
        <v>Boat design</v>
      </c>
      <c r="P36" s="5" t="str">
        <f>IFERROR(__xludf.DUMMYFUNCTION("GOOGLETRANSLATE(G36, ""bn"", ""en"")"),"Boat design")</f>
        <v>Boat design</v>
      </c>
      <c r="Q36" s="5" t="str">
        <f>IFERROR(__xludf.DUMMYFUNCTION("GOOGLETRANSLATE(H36, ""bn"", ""en"")"),"pic17")</f>
        <v>pic17</v>
      </c>
    </row>
    <row r="37">
      <c r="A37" s="3">
        <v>36.0</v>
      </c>
      <c r="B37" s="4" t="s">
        <v>1134</v>
      </c>
      <c r="C37" s="4" t="s">
        <v>1077</v>
      </c>
      <c r="D37" s="4" t="s">
        <v>1099</v>
      </c>
      <c r="E37" s="4" t="s">
        <v>1078</v>
      </c>
      <c r="F37" s="4" t="s">
        <v>1135</v>
      </c>
      <c r="G37" s="4" t="s">
        <v>1077</v>
      </c>
      <c r="H37" s="4" t="s">
        <v>166</v>
      </c>
      <c r="J37" s="5" t="str">
        <f>IFERROR(__xludf.DUMMYFUNCTION("GOOGLETRANSLATE(A37, ""bn"", ""en"")"),"36")</f>
        <v>36</v>
      </c>
      <c r="K37" s="5" t="str">
        <f>IFERROR(__xludf.DUMMYFUNCTION("GOOGLETRANSLATE(B37, ""bn"", ""en"")"),"How is the spirit of competition in the film?")</f>
        <v>How is the spirit of competition in the film?</v>
      </c>
      <c r="L37" s="5" t="str">
        <f>IFERROR(__xludf.DUMMYFUNCTION("GOOGLETRANSLATE(C37, ""bn"", ""en"")"),"Stimulus")</f>
        <v>Stimulus</v>
      </c>
      <c r="M37" s="5" t="str">
        <f>IFERROR(__xludf.DUMMYFUNCTION("GOOGLETRANSLATE(D37, ""bn"", ""en"")"),"Silent")</f>
        <v>Silent</v>
      </c>
      <c r="N37" s="5" t="str">
        <f>IFERROR(__xludf.DUMMYFUNCTION("GOOGLETRANSLATE(E37, ""bn"", ""en"")"),"without hesitation")</f>
        <v>without hesitation</v>
      </c>
      <c r="O37" s="5" t="str">
        <f>IFERROR(__xludf.DUMMYFUNCTION("GOOGLETRANSLATE(F37, ""bn"", ""en"")"),"cheerful")</f>
        <v>cheerful</v>
      </c>
      <c r="P37" s="5" t="str">
        <f>IFERROR(__xludf.DUMMYFUNCTION("GOOGLETRANSLATE(G37, ""bn"", ""en"")"),"Stimulus")</f>
        <v>Stimulus</v>
      </c>
      <c r="Q37" s="5" t="str">
        <f>IFERROR(__xludf.DUMMYFUNCTION("GOOGLETRANSLATE(H37, ""bn"", ""en"")"),"pic18")</f>
        <v>pic18</v>
      </c>
    </row>
    <row r="38">
      <c r="A38" s="3">
        <v>37.0</v>
      </c>
      <c r="B38" s="4" t="s">
        <v>1136</v>
      </c>
      <c r="C38" s="4" t="s">
        <v>1137</v>
      </c>
      <c r="D38" s="4" t="s">
        <v>1068</v>
      </c>
      <c r="E38" s="4" t="s">
        <v>547</v>
      </c>
      <c r="F38" s="4" t="s">
        <v>1091</v>
      </c>
      <c r="G38" s="4" t="s">
        <v>1137</v>
      </c>
      <c r="H38" s="4" t="s">
        <v>166</v>
      </c>
      <c r="J38" s="5" t="str">
        <f>IFERROR(__xludf.DUMMYFUNCTION("GOOGLETRANSLATE(A38, ""bn"", ""en"")"),"37")</f>
        <v>37</v>
      </c>
      <c r="K38" s="5" t="str">
        <f>IFERROR(__xludf.DUMMYFUNCTION("GOOGLETRANSLATE(B38, ""bn"", ""en"")"),"What method of rowing is being done in the boat race?")</f>
        <v>What method of rowing is being done in the boat race?</v>
      </c>
      <c r="L38" s="5" t="str">
        <f>IFERROR(__xludf.DUMMYFUNCTION("GOOGLETRANSLATE(C38, ""bn"", ""en"")"),"Simultaneous rowing")</f>
        <v>Simultaneous rowing</v>
      </c>
      <c r="M38" s="5" t="str">
        <f>IFERROR(__xludf.DUMMYFUNCTION("GOOGLETRANSLATE(D38, ""bn"", ""en"")"),"Personal stroke")</f>
        <v>Personal stroke</v>
      </c>
      <c r="N38" s="5" t="str">
        <f>IFERROR(__xludf.DUMMYFUNCTION("GOOGLETRANSLATE(E38, ""bn"", ""en"")"),"Show of strength")</f>
        <v>Show of strength</v>
      </c>
      <c r="O38" s="5" t="str">
        <f>IFERROR(__xludf.DUMMYFUNCTION("GOOGLETRANSLATE(F38, ""bn"", ""en"")"),"fast speed")</f>
        <v>fast speed</v>
      </c>
      <c r="P38" s="5" t="str">
        <f>IFERROR(__xludf.DUMMYFUNCTION("GOOGLETRANSLATE(G38, ""bn"", ""en"")"),"Simultaneous rowing")</f>
        <v>Simultaneous rowing</v>
      </c>
      <c r="Q38" s="5" t="str">
        <f>IFERROR(__xludf.DUMMYFUNCTION("GOOGLETRANSLATE(H38, ""bn"", ""en"")"),"pic18")</f>
        <v>pic18</v>
      </c>
    </row>
    <row r="39">
      <c r="A39" s="3">
        <v>38.0</v>
      </c>
      <c r="B39" s="4" t="s">
        <v>1138</v>
      </c>
      <c r="C39" s="4" t="s">
        <v>1139</v>
      </c>
      <c r="D39" s="4" t="s">
        <v>579</v>
      </c>
      <c r="E39" s="4" t="s">
        <v>1140</v>
      </c>
      <c r="F39" s="4" t="s">
        <v>1078</v>
      </c>
      <c r="G39" s="4" t="s">
        <v>1139</v>
      </c>
      <c r="H39" s="4" t="s">
        <v>174</v>
      </c>
      <c r="J39" s="5" t="str">
        <f>IFERROR(__xludf.DUMMYFUNCTION("GOOGLETRANSLATE(A39, ""bn"", ""en"")"),"38")</f>
        <v>38</v>
      </c>
      <c r="K39" s="5" t="str">
        <f>IFERROR(__xludf.DUMMYFUNCTION("GOOGLETRANSLATE(B39, ""bn"", ""en"")"),"What is the expression of the participants while driving the boat in the picture?")</f>
        <v>What is the expression of the participants while driving the boat in the picture?</v>
      </c>
      <c r="L39" s="5" t="str">
        <f>IFERROR(__xludf.DUMMYFUNCTION("GOOGLETRANSLATE(C39, ""bn"", ""en"")"),"Serious")</f>
        <v>Serious</v>
      </c>
      <c r="M39" s="5" t="str">
        <f>IFERROR(__xludf.DUMMYFUNCTION("GOOGLETRANSLATE(D39, ""bn"", ""en"")"),"careless")</f>
        <v>careless</v>
      </c>
      <c r="N39" s="5" t="str">
        <f>IFERROR(__xludf.DUMMYFUNCTION("GOOGLETRANSLATE(E39, ""bn"", ""en"")"),"Stimulated")</f>
        <v>Stimulated</v>
      </c>
      <c r="O39" s="5" t="str">
        <f>IFERROR(__xludf.DUMMYFUNCTION("GOOGLETRANSLATE(F39, ""bn"", ""en"")"),"without hesitation")</f>
        <v>without hesitation</v>
      </c>
      <c r="P39" s="5" t="str">
        <f>IFERROR(__xludf.DUMMYFUNCTION("GOOGLETRANSLATE(G39, ""bn"", ""en"")"),"Serious")</f>
        <v>Serious</v>
      </c>
      <c r="Q39" s="5" t="str">
        <f>IFERROR(__xludf.DUMMYFUNCTION("GOOGLETRANSLATE(H39, ""bn"", ""en"")"),"pic19")</f>
        <v>pic19</v>
      </c>
    </row>
    <row r="40">
      <c r="A40" s="3">
        <v>39.0</v>
      </c>
      <c r="B40" s="4" t="s">
        <v>1141</v>
      </c>
      <c r="C40" s="4" t="s">
        <v>1106</v>
      </c>
      <c r="D40" s="4" t="s">
        <v>1091</v>
      </c>
      <c r="E40" s="4" t="s">
        <v>1103</v>
      </c>
      <c r="F40" s="4" t="s">
        <v>1093</v>
      </c>
      <c r="G40" s="4" t="s">
        <v>1106</v>
      </c>
      <c r="H40" s="4" t="s">
        <v>174</v>
      </c>
      <c r="J40" s="5" t="str">
        <f>IFERROR(__xludf.DUMMYFUNCTION("GOOGLETRANSLATE(A40, ""bn"", ""en"")"),"39")</f>
        <v>39</v>
      </c>
      <c r="K40" s="5" t="str">
        <f>IFERROR(__xludf.DUMMYFUNCTION("GOOGLETRANSLATE(B40, ""bn"", ""en"")"),"What element in a boat race increases the competitive spirit?")</f>
        <v>What element in a boat race increases the competitive spirit?</v>
      </c>
      <c r="L40" s="5" t="str">
        <f>IFERROR(__xludf.DUMMYFUNCTION("GOOGLETRANSLATE(C40, ""bn"", ""en"")"),"colorful flag")</f>
        <v>colorful flag</v>
      </c>
      <c r="M40" s="5" t="str">
        <f>IFERROR(__xludf.DUMMYFUNCTION("GOOGLETRANSLATE(D40, ""bn"", ""en"")"),"fast speed")</f>
        <v>fast speed</v>
      </c>
      <c r="N40" s="5" t="str">
        <f>IFERROR(__xludf.DUMMYFUNCTION("GOOGLETRANSLATE(E40, ""bn"", ""en"")"),"Audience cheers")</f>
        <v>Audience cheers</v>
      </c>
      <c r="O40" s="5" t="str">
        <f>IFERROR(__xludf.DUMMYFUNCTION("GOOGLETRANSLATE(F40, ""bn"", ""en"")"),"Boat design")</f>
        <v>Boat design</v>
      </c>
      <c r="P40" s="5" t="str">
        <f>IFERROR(__xludf.DUMMYFUNCTION("GOOGLETRANSLATE(G40, ""bn"", ""en"")"),"colorful flag")</f>
        <v>colorful flag</v>
      </c>
      <c r="Q40" s="5" t="str">
        <f>IFERROR(__xludf.DUMMYFUNCTION("GOOGLETRANSLATE(H40, ""bn"", ""en"")"),"pic19")</f>
        <v>pic19</v>
      </c>
    </row>
    <row r="41">
      <c r="A41" s="3">
        <v>40.0</v>
      </c>
      <c r="B41" s="4" t="s">
        <v>1142</v>
      </c>
      <c r="C41" s="4" t="s">
        <v>1058</v>
      </c>
      <c r="D41" s="4" t="s">
        <v>1079</v>
      </c>
      <c r="E41" s="4" t="s">
        <v>686</v>
      </c>
      <c r="F41" s="4" t="s">
        <v>143</v>
      </c>
      <c r="G41" s="4" t="s">
        <v>1058</v>
      </c>
      <c r="H41" s="4" t="s">
        <v>175</v>
      </c>
      <c r="J41" s="5" t="str">
        <f>IFERROR(__xludf.DUMMYFUNCTION("GOOGLETRANSLATE(A41, ""bn"", ""en"")"),"40")</f>
        <v>40</v>
      </c>
      <c r="K41" s="5" t="str">
        <f>IFERROR(__xludf.DUMMYFUNCTION("GOOGLETRANSLATE(B41, ""bn"", ""en"")"),"What kind of discipline is being displayed among the contestants in the film?")</f>
        <v>What kind of discipline is being displayed among the contestants in the film?</v>
      </c>
      <c r="L41" s="5" t="str">
        <f>IFERROR(__xludf.DUMMYFUNCTION("GOOGLETRANSLATE(C41, ""bn"", ""en"")"),"combination")</f>
        <v>combination</v>
      </c>
      <c r="M41" s="5" t="str">
        <f>IFERROR(__xludf.DUMMYFUNCTION("GOOGLETRANSLATE(D41, ""bn"", ""en"")"),"Silence")</f>
        <v>Silence</v>
      </c>
      <c r="N41" s="5" t="str">
        <f>IFERROR(__xludf.DUMMYFUNCTION("GOOGLETRANSLATE(E41, ""bn"", ""en"")"),"Annoyance")</f>
        <v>Annoyance</v>
      </c>
      <c r="O41" s="5" t="str">
        <f>IFERROR(__xludf.DUMMYFUNCTION("GOOGLETRANSLATE(F41, ""bn"", ""en"")"),"Power")</f>
        <v>Power</v>
      </c>
      <c r="P41" s="5" t="str">
        <f>IFERROR(__xludf.DUMMYFUNCTION("GOOGLETRANSLATE(G41, ""bn"", ""en"")"),"combination")</f>
        <v>combination</v>
      </c>
      <c r="Q41" s="5" t="str">
        <f>IFERROR(__xludf.DUMMYFUNCTION("GOOGLETRANSLATE(H41, ""bn"", ""en"")"),"pic20")</f>
        <v>pic20</v>
      </c>
    </row>
    <row r="42">
      <c r="A42" s="3">
        <v>41.0</v>
      </c>
      <c r="B42" s="4" t="s">
        <v>1143</v>
      </c>
      <c r="C42" s="4" t="s">
        <v>1144</v>
      </c>
      <c r="D42" s="4" t="s">
        <v>1145</v>
      </c>
      <c r="E42" s="4" t="s">
        <v>143</v>
      </c>
      <c r="F42" s="4" t="s">
        <v>1123</v>
      </c>
      <c r="G42" s="4" t="s">
        <v>1144</v>
      </c>
      <c r="H42" s="4" t="s">
        <v>175</v>
      </c>
      <c r="J42" s="5" t="str">
        <f>IFERROR(__xludf.DUMMYFUNCTION("GOOGLETRANSLATE(A42, ""bn"", ""en"")"),"41")</f>
        <v>41</v>
      </c>
      <c r="K42" s="5" t="str">
        <f>IFERROR(__xludf.DUMMYFUNCTION("GOOGLETRANSLATE(B42, ""bn"", ""en"")"),"Which quality is revealed in the participants in the boat race?")</f>
        <v>Which quality is revealed in the participants in the boat race?</v>
      </c>
      <c r="L42" s="5" t="str">
        <f>IFERROR(__xludf.DUMMYFUNCTION("GOOGLETRANSLATE(C42, ""bn"", ""en"")"),"Teamwork")</f>
        <v>Teamwork</v>
      </c>
      <c r="M42" s="5" t="str">
        <f>IFERROR(__xludf.DUMMYFUNCTION("GOOGLETRANSLATE(D42, ""bn"", ""en"")"),"Individual skills")</f>
        <v>Individual skills</v>
      </c>
      <c r="N42" s="5" t="str">
        <f>IFERROR(__xludf.DUMMYFUNCTION("GOOGLETRANSLATE(E42, ""bn"", ""en"")"),"Power")</f>
        <v>Power</v>
      </c>
      <c r="O42" s="5" t="str">
        <f>IFERROR(__xludf.DUMMYFUNCTION("GOOGLETRANSLATE(F42, ""bn"", ""en"")"),"Endurance")</f>
        <v>Endurance</v>
      </c>
      <c r="P42" s="5" t="str">
        <f>IFERROR(__xludf.DUMMYFUNCTION("GOOGLETRANSLATE(G42, ""bn"", ""en"")"),"Teamwork")</f>
        <v>Teamwork</v>
      </c>
      <c r="Q42" s="5" t="str">
        <f>IFERROR(__xludf.DUMMYFUNCTION("GOOGLETRANSLATE(H42, ""bn"", ""en"")"),"pic20")</f>
        <v>pic20</v>
      </c>
    </row>
    <row r="43">
      <c r="A43" s="3">
        <v>42.0</v>
      </c>
      <c r="B43" s="4" t="s">
        <v>1146</v>
      </c>
      <c r="C43" s="4" t="s">
        <v>1147</v>
      </c>
      <c r="D43" s="4" t="s">
        <v>1079</v>
      </c>
      <c r="E43" s="4" t="s">
        <v>686</v>
      </c>
      <c r="F43" s="4" t="s">
        <v>535</v>
      </c>
      <c r="G43" s="4" t="s">
        <v>1147</v>
      </c>
      <c r="H43" s="4" t="s">
        <v>631</v>
      </c>
      <c r="J43" s="5" t="str">
        <f>IFERROR(__xludf.DUMMYFUNCTION("GOOGLETRANSLATE(A43, ""bn"", ""en"")"),"42")</f>
        <v>42</v>
      </c>
      <c r="K43" s="5" t="str">
        <f>IFERROR(__xludf.DUMMYFUNCTION("GOOGLETRANSLATE(B43, ""bn"", ""en"")"),"What kind of attitude is shown among the contestants in the film?")</f>
        <v>What kind of attitude is shown among the contestants in the film?</v>
      </c>
      <c r="L43" s="5" t="str">
        <f>IFERROR(__xludf.DUMMYFUNCTION("GOOGLETRANSLATE(C43, ""bn"", ""en"")"),"enthusiasm")</f>
        <v>enthusiasm</v>
      </c>
      <c r="M43" s="5" t="str">
        <f>IFERROR(__xludf.DUMMYFUNCTION("GOOGLETRANSLATE(D43, ""bn"", ""en"")"),"Silence")</f>
        <v>Silence</v>
      </c>
      <c r="N43" s="5" t="str">
        <f>IFERROR(__xludf.DUMMYFUNCTION("GOOGLETRANSLATE(E43, ""bn"", ""en"")"),"Annoyance")</f>
        <v>Annoyance</v>
      </c>
      <c r="O43" s="5" t="str">
        <f>IFERROR(__xludf.DUMMYFUNCTION("GOOGLETRANSLATE(F43, ""bn"", ""en"")"),"indifference")</f>
        <v>indifference</v>
      </c>
      <c r="P43" s="5" t="str">
        <f>IFERROR(__xludf.DUMMYFUNCTION("GOOGLETRANSLATE(G43, ""bn"", ""en"")"),"enthusiasm")</f>
        <v>enthusiasm</v>
      </c>
      <c r="Q43" s="5" t="str">
        <f>IFERROR(__xludf.DUMMYFUNCTION("GOOGLETRANSLATE(H43, ""bn"", ""en"")"),"pic21")</f>
        <v>pic21</v>
      </c>
    </row>
    <row r="44">
      <c r="A44" s="3">
        <v>43.0</v>
      </c>
      <c r="B44" s="4" t="s">
        <v>1148</v>
      </c>
      <c r="C44" s="4" t="s">
        <v>1137</v>
      </c>
      <c r="D44" s="4" t="s">
        <v>547</v>
      </c>
      <c r="E44" s="4" t="s">
        <v>1068</v>
      </c>
      <c r="F44" s="4" t="s">
        <v>1091</v>
      </c>
      <c r="G44" s="4" t="s">
        <v>1137</v>
      </c>
      <c r="H44" s="4" t="s">
        <v>178</v>
      </c>
      <c r="J44" s="5" t="str">
        <f>IFERROR(__xludf.DUMMYFUNCTION("GOOGLETRANSLATE(A44, ""bn"", ""en"")"),"43")</f>
        <v>43</v>
      </c>
      <c r="K44" s="5" t="str">
        <f>IFERROR(__xludf.DUMMYFUNCTION("GOOGLETRANSLATE(B44, ""bn"", ""en"")"),"How are the participants in the boat race controlling their speed?")</f>
        <v>How are the participants in the boat race controlling their speed?</v>
      </c>
      <c r="L44" s="5" t="str">
        <f>IFERROR(__xludf.DUMMYFUNCTION("GOOGLETRANSLATE(C44, ""bn"", ""en"")"),"Simultaneous rowing")</f>
        <v>Simultaneous rowing</v>
      </c>
      <c r="M44" s="5" t="str">
        <f>IFERROR(__xludf.DUMMYFUNCTION("GOOGLETRANSLATE(D44, ""bn"", ""en"")"),"Show of strength")</f>
        <v>Show of strength</v>
      </c>
      <c r="N44" s="5" t="str">
        <f>IFERROR(__xludf.DUMMYFUNCTION("GOOGLETRANSLATE(E44, ""bn"", ""en"")"),"Personal stroke")</f>
        <v>Personal stroke</v>
      </c>
      <c r="O44" s="5" t="str">
        <f>IFERROR(__xludf.DUMMYFUNCTION("GOOGLETRANSLATE(F44, ""bn"", ""en"")"),"fast speed")</f>
        <v>fast speed</v>
      </c>
      <c r="P44" s="5" t="str">
        <f>IFERROR(__xludf.DUMMYFUNCTION("GOOGLETRANSLATE(G44, ""bn"", ""en"")"),"Simultaneous rowing")</f>
        <v>Simultaneous rowing</v>
      </c>
      <c r="Q44" s="5" t="str">
        <f>IFERROR(__xludf.DUMMYFUNCTION("GOOGLETRANSLATE(H44, ""bn"", ""en"")"),"pic22")</f>
        <v>pic22</v>
      </c>
    </row>
    <row r="45">
      <c r="A45" s="3">
        <v>44.0</v>
      </c>
      <c r="B45" s="4" t="s">
        <v>1149</v>
      </c>
      <c r="C45" s="4" t="s">
        <v>1077</v>
      </c>
      <c r="D45" s="4" t="s">
        <v>1099</v>
      </c>
      <c r="E45" s="4" t="s">
        <v>1079</v>
      </c>
      <c r="F45" s="4" t="s">
        <v>1065</v>
      </c>
      <c r="G45" s="4" t="s">
        <v>1077</v>
      </c>
      <c r="H45" s="4" t="s">
        <v>178</v>
      </c>
      <c r="J45" s="5" t="str">
        <f>IFERROR(__xludf.DUMMYFUNCTION("GOOGLETRANSLATE(A45, ""bn"", ""en"")"),"44")</f>
        <v>44</v>
      </c>
      <c r="K45" s="5" t="str">
        <f>IFERROR(__xludf.DUMMYFUNCTION("GOOGLETRANSLATE(B45, ""bn"", ""en"")"),"How is the competition scene depicted in the film?")</f>
        <v>How is the competition scene depicted in the film?</v>
      </c>
      <c r="L45" s="5" t="str">
        <f>IFERROR(__xludf.DUMMYFUNCTION("GOOGLETRANSLATE(C45, ""bn"", ""en"")"),"Stimulus")</f>
        <v>Stimulus</v>
      </c>
      <c r="M45" s="5" t="str">
        <f>IFERROR(__xludf.DUMMYFUNCTION("GOOGLETRANSLATE(D45, ""bn"", ""en"")"),"Silent")</f>
        <v>Silent</v>
      </c>
      <c r="N45" s="5" t="str">
        <f>IFERROR(__xludf.DUMMYFUNCTION("GOOGLETRANSLATE(E45, ""bn"", ""en"")"),"Silence")</f>
        <v>Silence</v>
      </c>
      <c r="O45" s="5" t="str">
        <f>IFERROR(__xludf.DUMMYFUNCTION("GOOGLETRANSLATE(F45, ""bn"", ""en"")"),"normal")</f>
        <v>normal</v>
      </c>
      <c r="P45" s="5" t="str">
        <f>IFERROR(__xludf.DUMMYFUNCTION("GOOGLETRANSLATE(G45, ""bn"", ""en"")"),"Stimulus")</f>
        <v>Stimulus</v>
      </c>
      <c r="Q45" s="5" t="str">
        <f>IFERROR(__xludf.DUMMYFUNCTION("GOOGLETRANSLATE(H45, ""bn"", ""en"")"),"pic22")</f>
        <v>pic22</v>
      </c>
    </row>
    <row r="46">
      <c r="A46" s="3">
        <v>45.0</v>
      </c>
      <c r="B46" s="4" t="s">
        <v>1150</v>
      </c>
      <c r="C46" s="4" t="s">
        <v>1137</v>
      </c>
      <c r="D46" s="4" t="s">
        <v>1151</v>
      </c>
      <c r="E46" s="4" t="s">
        <v>1091</v>
      </c>
      <c r="F46" s="4" t="s">
        <v>1049</v>
      </c>
      <c r="G46" s="4" t="s">
        <v>1137</v>
      </c>
      <c r="H46" s="4" t="s">
        <v>184</v>
      </c>
      <c r="J46" s="5" t="str">
        <f>IFERROR(__xludf.DUMMYFUNCTION("GOOGLETRANSLATE(A46, ""bn"", ""en"")"),"45")</f>
        <v>45</v>
      </c>
      <c r="K46" s="5" t="str">
        <f>IFERROR(__xludf.DUMMYFUNCTION("GOOGLETRANSLATE(B46, ""bn"", ""en"")"),"How are participants in the boat race managing their energy?")</f>
        <v>How are participants in the boat race managing their energy?</v>
      </c>
      <c r="L46" s="5" t="str">
        <f>IFERROR(__xludf.DUMMYFUNCTION("GOOGLETRANSLATE(C46, ""bn"", ""en"")"),"Simultaneous rowing")</f>
        <v>Simultaneous rowing</v>
      </c>
      <c r="M46" s="5" t="str">
        <f>IFERROR(__xludf.DUMMYFUNCTION("GOOGLETRANSLATE(D46, ""bn"", ""en"")"),"Personal power")</f>
        <v>Personal power</v>
      </c>
      <c r="N46" s="5" t="str">
        <f>IFERROR(__xludf.DUMMYFUNCTION("GOOGLETRANSLATE(E46, ""bn"", ""en"")"),"fast speed")</f>
        <v>fast speed</v>
      </c>
      <c r="O46" s="5" t="str">
        <f>IFERROR(__xludf.DUMMYFUNCTION("GOOGLETRANSLATE(F46, ""bn"", ""en"")"),"Interrupt")</f>
        <v>Interrupt</v>
      </c>
      <c r="P46" s="5" t="str">
        <f>IFERROR(__xludf.DUMMYFUNCTION("GOOGLETRANSLATE(G46, ""bn"", ""en"")"),"Simultaneous rowing")</f>
        <v>Simultaneous rowing</v>
      </c>
      <c r="Q46" s="5" t="str">
        <f>IFERROR(__xludf.DUMMYFUNCTION("GOOGLETRANSLATE(H46, ""bn"", ""en"")"),"pic23")</f>
        <v>pic23</v>
      </c>
    </row>
    <row r="47">
      <c r="A47" s="3">
        <v>46.0</v>
      </c>
      <c r="B47" s="4" t="s">
        <v>1152</v>
      </c>
      <c r="C47" s="4" t="s">
        <v>1153</v>
      </c>
      <c r="D47" s="4" t="s">
        <v>1051</v>
      </c>
      <c r="E47" s="4" t="s">
        <v>1075</v>
      </c>
      <c r="F47" s="4" t="s">
        <v>1154</v>
      </c>
      <c r="G47" s="4" t="s">
        <v>1153</v>
      </c>
      <c r="H47" s="4" t="s">
        <v>184</v>
      </c>
      <c r="J47" s="5" t="str">
        <f>IFERROR(__xludf.DUMMYFUNCTION("GOOGLETRANSLATE(A47, ""bn"", ""en"")"),"46")</f>
        <v>46</v>
      </c>
      <c r="K47" s="5" t="str">
        <f>IFERROR(__xludf.DUMMYFUNCTION("GOOGLETRANSLATE(B47, ""bn"", ""en"")"),"What is the strategy of the participants in the film?")</f>
        <v>What is the strategy of the participants in the film?</v>
      </c>
      <c r="L47" s="5" t="str">
        <f>IFERROR(__xludf.DUMMYFUNCTION("GOOGLETRANSLATE(C47, ""bn"", ""en"")"),"Coordinated Rowing")</f>
        <v>Coordinated Rowing</v>
      </c>
      <c r="M47" s="5" t="str">
        <f>IFERROR(__xludf.DUMMYFUNCTION("GOOGLETRANSLATE(D47, ""bn"", ""en"")"),"sailing")</f>
        <v>sailing</v>
      </c>
      <c r="N47" s="5" t="str">
        <f>IFERROR(__xludf.DUMMYFUNCTION("GOOGLETRANSLATE(E47, ""bn"", ""en"")"),"Playing the drums")</f>
        <v>Playing the drums</v>
      </c>
      <c r="O47" s="5" t="str">
        <f>IFERROR(__xludf.DUMMYFUNCTION("GOOGLETRANSLATE(F47, ""bn"", ""en"")"),"Scream")</f>
        <v>Scream</v>
      </c>
      <c r="P47" s="5" t="str">
        <f>IFERROR(__xludf.DUMMYFUNCTION("GOOGLETRANSLATE(G47, ""bn"", ""en"")"),"Coordinated Rowing")</f>
        <v>Coordinated Rowing</v>
      </c>
      <c r="Q47" s="5" t="str">
        <f>IFERROR(__xludf.DUMMYFUNCTION("GOOGLETRANSLATE(H47, ""bn"", ""en"")"),"pic23")</f>
        <v>pic23</v>
      </c>
    </row>
    <row r="48">
      <c r="A48" s="3">
        <v>47.0</v>
      </c>
      <c r="B48" s="4" t="s">
        <v>1155</v>
      </c>
      <c r="C48" s="4" t="s">
        <v>1058</v>
      </c>
      <c r="D48" s="4" t="s">
        <v>156</v>
      </c>
      <c r="E48" s="4" t="s">
        <v>1156</v>
      </c>
      <c r="F48" s="4" t="s">
        <v>1157</v>
      </c>
      <c r="G48" s="4" t="s">
        <v>1058</v>
      </c>
      <c r="H48" s="4" t="s">
        <v>191</v>
      </c>
      <c r="J48" s="5" t="str">
        <f>IFERROR(__xludf.DUMMYFUNCTION("GOOGLETRANSLATE(A48, ""bn"", ""en"")"),"47")</f>
        <v>47</v>
      </c>
      <c r="K48" s="5" t="str">
        <f>IFERROR(__xludf.DUMMYFUNCTION("GOOGLETRANSLATE(B48, ""bn"", ""en"")"),"What determines the race schedule in boat races?")</f>
        <v>What determines the race schedule in boat races?</v>
      </c>
      <c r="L48" s="5" t="str">
        <f>IFERROR(__xludf.DUMMYFUNCTION("GOOGLETRANSLATE(C48, ""bn"", ""en"")"),"combination")</f>
        <v>combination</v>
      </c>
      <c r="M48" s="5" t="str">
        <f>IFERROR(__xludf.DUMMYFUNCTION("GOOGLETRANSLATE(D48, ""bn"", ""en"")"),"Speed")</f>
        <v>Speed</v>
      </c>
      <c r="N48" s="5" t="str">
        <f>IFERROR(__xludf.DUMMYFUNCTION("GOOGLETRANSLATE(E48, ""bn"", ""en"")"),"High-pitched singing")</f>
        <v>High-pitched singing</v>
      </c>
      <c r="O48" s="5" t="str">
        <f>IFERROR(__xludf.DUMMYFUNCTION("GOOGLETRANSLATE(F48, ""bn"", ""en"")"),"The audience screamed")</f>
        <v>The audience screamed</v>
      </c>
      <c r="P48" s="5" t="str">
        <f>IFERROR(__xludf.DUMMYFUNCTION("GOOGLETRANSLATE(G48, ""bn"", ""en"")"),"combination")</f>
        <v>combination</v>
      </c>
      <c r="Q48" s="5" t="str">
        <f>IFERROR(__xludf.DUMMYFUNCTION("GOOGLETRANSLATE(H48, ""bn"", ""en"")"),"pic24")</f>
        <v>pic24</v>
      </c>
    </row>
    <row r="49">
      <c r="A49" s="3">
        <v>48.0</v>
      </c>
      <c r="B49" s="4" t="s">
        <v>1158</v>
      </c>
      <c r="C49" s="4" t="s">
        <v>1159</v>
      </c>
      <c r="D49" s="4" t="s">
        <v>1137</v>
      </c>
      <c r="E49" s="4" t="s">
        <v>1091</v>
      </c>
      <c r="F49" s="4" t="s">
        <v>1160</v>
      </c>
      <c r="G49" s="4" t="s">
        <v>1137</v>
      </c>
      <c r="H49" s="4" t="s">
        <v>191</v>
      </c>
      <c r="J49" s="5" t="str">
        <f>IFERROR(__xludf.DUMMYFUNCTION("GOOGLETRANSLATE(A49, ""bn"", ""en"")"),"48")</f>
        <v>48</v>
      </c>
      <c r="K49" s="5" t="str">
        <f>IFERROR(__xludf.DUMMYFUNCTION("GOOGLETRANSLATE(B49, ""bn"", ""en"")"),"How is the enthusiasm of the contestants displayed in the film?")</f>
        <v>How is the enthusiasm of the contestants displayed in the film?</v>
      </c>
      <c r="L49" s="5" t="str">
        <f>IFERROR(__xludf.DUMMYFUNCTION("GOOGLETRANSLATE(C49, ""bn"", ""en"")"),"Vigorous rowing")</f>
        <v>Vigorous rowing</v>
      </c>
      <c r="M49" s="5" t="str">
        <f>IFERROR(__xludf.DUMMYFUNCTION("GOOGLETRANSLATE(D49, ""bn"", ""en"")"),"Simultaneous rowing")</f>
        <v>Simultaneous rowing</v>
      </c>
      <c r="N49" s="5" t="str">
        <f>IFERROR(__xludf.DUMMYFUNCTION("GOOGLETRANSLATE(E49, ""bn"", ""en"")"),"fast speed")</f>
        <v>fast speed</v>
      </c>
      <c r="O49" s="5" t="str">
        <f>IFERROR(__xludf.DUMMYFUNCTION("GOOGLETRANSLATE(F49, ""bn"", ""en"")"),"Show of strength")</f>
        <v>Show of strength</v>
      </c>
      <c r="P49" s="5" t="str">
        <f>IFERROR(__xludf.DUMMYFUNCTION("GOOGLETRANSLATE(G49, ""bn"", ""en"")"),"Simultaneous rowing")</f>
        <v>Simultaneous rowing</v>
      </c>
      <c r="Q49" s="5" t="str">
        <f>IFERROR(__xludf.DUMMYFUNCTION("GOOGLETRANSLATE(H49, ""bn"", ""en"")"),"pic24")</f>
        <v>pic24</v>
      </c>
    </row>
    <row r="50">
      <c r="A50" s="3">
        <v>49.0</v>
      </c>
      <c r="B50" s="4" t="s">
        <v>1125</v>
      </c>
      <c r="C50" s="4" t="s">
        <v>1058</v>
      </c>
      <c r="D50" s="4" t="s">
        <v>143</v>
      </c>
      <c r="E50" s="4" t="s">
        <v>156</v>
      </c>
      <c r="F50" s="4" t="s">
        <v>1126</v>
      </c>
      <c r="G50" s="4" t="s">
        <v>1058</v>
      </c>
      <c r="H50" s="4" t="s">
        <v>198</v>
      </c>
      <c r="J50" s="5" t="str">
        <f>IFERROR(__xludf.DUMMYFUNCTION("GOOGLETRANSLATE(A50, ""bn"", ""en"")"),"49")</f>
        <v>49</v>
      </c>
      <c r="K50" s="5" t="str">
        <f>IFERROR(__xludf.DUMMYFUNCTION("GOOGLETRANSLATE(B50, ""bn"", ""en"")"),"What element in boat racing is most important to the success of the race?")</f>
        <v>What element in boat racing is most important to the success of the race?</v>
      </c>
      <c r="L50" s="5" t="str">
        <f>IFERROR(__xludf.DUMMYFUNCTION("GOOGLETRANSLATE(C50, ""bn"", ""en"")"),"combination")</f>
        <v>combination</v>
      </c>
      <c r="M50" s="5" t="str">
        <f>IFERROR(__xludf.DUMMYFUNCTION("GOOGLETRANSLATE(D50, ""bn"", ""en"")"),"Power")</f>
        <v>Power</v>
      </c>
      <c r="N50" s="5" t="str">
        <f>IFERROR(__xludf.DUMMYFUNCTION("GOOGLETRANSLATE(E50, ""bn"", ""en"")"),"Speed")</f>
        <v>Speed</v>
      </c>
      <c r="O50" s="5" t="str">
        <f>IFERROR(__xludf.DUMMYFUNCTION("GOOGLETRANSLATE(F50, ""bn"", ""en"")"),"eyesight")</f>
        <v>eyesight</v>
      </c>
      <c r="P50" s="5" t="str">
        <f>IFERROR(__xludf.DUMMYFUNCTION("GOOGLETRANSLATE(G50, ""bn"", ""en"")"),"combination")</f>
        <v>combination</v>
      </c>
      <c r="Q50" s="5" t="str">
        <f>IFERROR(__xludf.DUMMYFUNCTION("GOOGLETRANSLATE(H50, ""bn"", ""en"")"),"pic25")</f>
        <v>pic25</v>
      </c>
    </row>
    <row r="51">
      <c r="A51" s="3">
        <v>50.0</v>
      </c>
      <c r="B51" s="4" t="s">
        <v>1127</v>
      </c>
      <c r="C51" s="4" t="s">
        <v>1077</v>
      </c>
      <c r="D51" s="4" t="s">
        <v>561</v>
      </c>
      <c r="E51" s="4" t="s">
        <v>579</v>
      </c>
      <c r="F51" s="4" t="s">
        <v>1128</v>
      </c>
      <c r="G51" s="4" t="s">
        <v>1077</v>
      </c>
      <c r="H51" s="4" t="s">
        <v>198</v>
      </c>
      <c r="J51" s="5" t="str">
        <f>IFERROR(__xludf.DUMMYFUNCTION("GOOGLETRANSLATE(A51, ""bn"", ""en"")"),"50")</f>
        <v>50</v>
      </c>
      <c r="K51" s="5" t="str">
        <f>IFERROR(__xludf.DUMMYFUNCTION("GOOGLETRANSLATE(B51, ""bn"", ""en"")"),"How are the contestants in the film preparing for the competition?")</f>
        <v>How are the contestants in the film preparing for the competition?</v>
      </c>
      <c r="L51" s="5" t="str">
        <f>IFERROR(__xludf.DUMMYFUNCTION("GOOGLETRANSLATE(C51, ""bn"", ""en"")"),"Stimulus")</f>
        <v>Stimulus</v>
      </c>
      <c r="M51" s="5" t="str">
        <f>IFERROR(__xludf.DUMMYFUNCTION("GOOGLETRANSLATE(D51, ""bn"", ""en"")"),"calm down")</f>
        <v>calm down</v>
      </c>
      <c r="N51" s="5" t="str">
        <f>IFERROR(__xludf.DUMMYFUNCTION("GOOGLETRANSLATE(E51, ""bn"", ""en"")"),"careless")</f>
        <v>careless</v>
      </c>
      <c r="O51" s="5" t="str">
        <f>IFERROR(__xludf.DUMMYFUNCTION("GOOGLETRANSLATE(F51, ""bn"", ""en"")"),"busy")</f>
        <v>busy</v>
      </c>
      <c r="P51" s="5" t="str">
        <f>IFERROR(__xludf.DUMMYFUNCTION("GOOGLETRANSLATE(G51, ""bn"", ""en"")"),"Stimulus")</f>
        <v>Stimulus</v>
      </c>
      <c r="Q51" s="5" t="str">
        <f>IFERROR(__xludf.DUMMYFUNCTION("GOOGLETRANSLATE(H51, ""bn"", ""en"")"),"pic25")</f>
        <v>pic25</v>
      </c>
    </row>
    <row r="52">
      <c r="A52" s="3">
        <v>51.0</v>
      </c>
      <c r="B52" s="4" t="str">
        <f>IFERROR(__xludf.DUMMYFUNCTION("GOOGLETRANSLATE(K52, ""en"", ""bn"")"),"চিত্রে নৌকার জন্য প্রাথমিক পদ্ধতিটি কী?")</f>
        <v>চিত্রে নৌকার জন্য প্রাথমিক পদ্ধতিটি কী?</v>
      </c>
      <c r="C52" s="4" t="str">
        <f>IFERROR(__xludf.DUMMYFUNCTION("GOOGLETRANSLATE(L52, ""en"", ""bn"")"),"প্যাডেল")</f>
        <v>প্যাডেল</v>
      </c>
      <c r="D52" s="4" t="str">
        <f>IFERROR(__xludf.DUMMYFUNCTION("GOOGLETRANSLATE(M52, ""en"", ""bn"")"),"পাল")</f>
        <v>পাল</v>
      </c>
      <c r="E52" s="4" t="str">
        <f>IFERROR(__xludf.DUMMYFUNCTION("GOOGLETRANSLATE(N52, ""en"", ""bn"")"),"ইঞ্জিন")</f>
        <v>ইঞ্জিন</v>
      </c>
      <c r="F52" s="4" t="str">
        <f>IFERROR(__xludf.DUMMYFUNCTION("GOOGLETRANSLATE(O52, ""en"", ""bn"")"),"দাঁড়")</f>
        <v>দাঁড়</v>
      </c>
      <c r="G52" s="4" t="str">
        <f>IFERROR(__xludf.DUMMYFUNCTION("GOOGLETRANSLATE(P52, ""en"", ""bn"")"),"দাঁড়")</f>
        <v>দাঁড়</v>
      </c>
      <c r="H52" s="4" t="str">
        <f>IFERROR(__xludf.DUMMYFUNCTION("GOOGLETRANSLATE(Q52, ""en"", ""bn"")"),"ছবি1")</f>
        <v>ছবি1</v>
      </c>
      <c r="J52" s="5" t="str">
        <f>IFERROR(__xludf.DUMMYFUNCTION("GOOGLETRANSLATE(A52, ""bn"", ""en"")"),"51")</f>
        <v>51</v>
      </c>
      <c r="K52" s="16" t="s">
        <v>1161</v>
      </c>
      <c r="L52" s="16" t="s">
        <v>1162</v>
      </c>
      <c r="M52" s="16" t="s">
        <v>1163</v>
      </c>
      <c r="N52" s="16" t="s">
        <v>1164</v>
      </c>
      <c r="O52" s="16" t="s">
        <v>1165</v>
      </c>
      <c r="P52" s="16" t="s">
        <v>1165</v>
      </c>
      <c r="Q52" s="7" t="s">
        <v>21</v>
      </c>
    </row>
    <row r="53">
      <c r="A53" s="3">
        <v>52.0</v>
      </c>
      <c r="B53" s="4" t="str">
        <f>IFERROR(__xludf.DUMMYFUNCTION("GOOGLETRANSLATE(K53, ""en"", ""bn"")"),"বাম দিকের নৌকায় আনুমানিক কত নৌকাচালক আছে?")</f>
        <v>বাম দিকের নৌকায় আনুমানিক কত নৌকাচালক আছে?</v>
      </c>
      <c r="C53" s="4" t="str">
        <f>IFERROR(__xludf.DUMMYFUNCTION("GOOGLETRANSLATE(L53, ""en"", ""bn"")"),"15-20")</f>
        <v>15-20</v>
      </c>
      <c r="D53" s="4" t="str">
        <f>IFERROR(__xludf.DUMMYFUNCTION("GOOGLETRANSLATE(M53, ""en"", ""bn"")"),"২৫-৩০")</f>
        <v>২৫-৩০</v>
      </c>
      <c r="E53" s="4" t="str">
        <f>IFERROR(__xludf.DUMMYFUNCTION("GOOGLETRANSLATE(N53, ""en"", ""bn"")"),"৫-১০")</f>
        <v>৫-১০</v>
      </c>
      <c r="F53" s="4" t="str">
        <f>IFERROR(__xludf.DUMMYFUNCTION("GOOGLETRANSLATE(O53, ""en"", ""bn"")"),"৩৫-৪০")</f>
        <v>৩৫-৪০</v>
      </c>
      <c r="G53" s="4" t="str">
        <f>IFERROR(__xludf.DUMMYFUNCTION("GOOGLETRANSLATE(P53, ""en"", ""bn"")"),"২৫-৩০")</f>
        <v>২৫-৩০</v>
      </c>
      <c r="H53" s="4" t="str">
        <f>IFERROR(__xludf.DUMMYFUNCTION("GOOGLETRANSLATE(Q53, ""en"", ""bn"")"),"ছবি1")</f>
        <v>ছবি1</v>
      </c>
      <c r="J53" s="5" t="str">
        <f>IFERROR(__xludf.DUMMYFUNCTION("GOOGLETRANSLATE(A53, ""bn"", ""en"")"),"52")</f>
        <v>52</v>
      </c>
      <c r="K53" s="16" t="s">
        <v>1166</v>
      </c>
      <c r="L53" s="16" t="s">
        <v>1167</v>
      </c>
      <c r="M53" s="16" t="s">
        <v>1168</v>
      </c>
      <c r="N53" s="21">
        <v>45787.0</v>
      </c>
      <c r="O53" s="16" t="s">
        <v>1169</v>
      </c>
      <c r="P53" s="16" t="s">
        <v>1168</v>
      </c>
      <c r="Q53" s="7" t="s">
        <v>21</v>
      </c>
    </row>
    <row r="54">
      <c r="A54" s="3">
        <v>53.0</v>
      </c>
      <c r="B54" s="4" t="str">
        <f>IFERROR(__xludf.DUMMYFUNCTION("GOOGLETRANSLATE(K54, ""en"", ""bn"")"),"নৌকায় দাঁড়িয়ে থাকা ব্যক্তিদের লম্বা লাঠির উদ্দেশ্য কী?")</f>
        <v>নৌকায় দাঁড়িয়ে থাকা ব্যক্তিদের লম্বা লাঠির উদ্দেশ্য কী?</v>
      </c>
      <c r="C54" s="4" t="str">
        <f>IFERROR(__xludf.DUMMYFUNCTION("GOOGLETRANSLATE(L54, ""en"", ""bn"")"),"নৌকা চালানোর জন্য")</f>
        <v>নৌকা চালানোর জন্য</v>
      </c>
      <c r="D54" s="4" t="str">
        <f>IFERROR(__xludf.DUMMYFUNCTION("GOOGLETRANSLATE(M54, ""en"", ""bn"")"),"অন্য নৌকাগুলিকে আঘাত করতে")</f>
        <v>অন্য নৌকাগুলিকে আঘাত করতে</v>
      </c>
      <c r="E54" s="4" t="str">
        <f>IFERROR(__xludf.DUMMYFUNCTION("GOOGLETRANSLATE(N54, ""en"", ""bn"")"),"রোয়ারদের গাইড এবং উত্সাহিত করা")</f>
        <v>রোয়ারদের গাইড এবং উত্সাহিত করা</v>
      </c>
      <c r="F54" s="4" t="str">
        <f>IFERROR(__xludf.DUMMYFUNCTION("GOOGLETRANSLATE(O54, ""en"", ""bn"")"),"অস্ত্র হিসেবে ব্যবহার করতে")</f>
        <v>অস্ত্র হিসেবে ব্যবহার করতে</v>
      </c>
      <c r="G54" s="4" t="str">
        <f>IFERROR(__xludf.DUMMYFUNCTION("GOOGLETRANSLATE(P54, ""en"", ""bn"")"),"রোয়ারদের গাইড এবং উত্সাহিত করা")</f>
        <v>রোয়ারদের গাইড এবং উত্সাহিত করা</v>
      </c>
      <c r="H54" s="4" t="str">
        <f>IFERROR(__xludf.DUMMYFUNCTION("GOOGLETRANSLATE(Q54, ""en"", ""bn"")"),"ছবি1")</f>
        <v>ছবি1</v>
      </c>
      <c r="J54" s="5" t="str">
        <f>IFERROR(__xludf.DUMMYFUNCTION("GOOGLETRANSLATE(A54, ""bn"", ""en"")"),"53")</f>
        <v>53</v>
      </c>
      <c r="K54" s="16" t="s">
        <v>1170</v>
      </c>
      <c r="L54" s="16" t="s">
        <v>1171</v>
      </c>
      <c r="M54" s="16" t="s">
        <v>1172</v>
      </c>
      <c r="N54" s="16" t="s">
        <v>1173</v>
      </c>
      <c r="O54" s="16" t="s">
        <v>1174</v>
      </c>
      <c r="P54" s="16" t="s">
        <v>1173</v>
      </c>
      <c r="Q54" s="7" t="s">
        <v>21</v>
      </c>
    </row>
    <row r="55">
      <c r="A55" s="3">
        <v>54.0</v>
      </c>
      <c r="B55" s="4" t="str">
        <f>IFERROR(__xludf.DUMMYFUNCTION("GOOGLETRANSLATE(K55, ""en"", ""bn"")"),"চিত্রের উপর ভিত্তি করে, নদীর সবচেয়ে সম্ভাবনাময় অবস্থা কী?")</f>
        <v>চিত্রের উপর ভিত্তি করে, নদীর সবচেয়ে সম্ভাবনাময় অবস্থা কী?</v>
      </c>
      <c r="C55" s="4" t="str">
        <f>IFERROR(__xludf.DUMMYFUNCTION("GOOGLETRANSLATE(L55, ""en"", ""bn"")"),"শান্ত এবং স্থির")</f>
        <v>শান্ত এবং স্থির</v>
      </c>
      <c r="D55" s="4" t="str">
        <f>IFERROR(__xludf.DUMMYFUNCTION("GOOGLETRANSLATE(M55, ""en"", ""bn"")"),"দ্রুত প্রবাহিত এবং অশান্ত")</f>
        <v>দ্রুত প্রবাহিত এবং অশান্ত</v>
      </c>
      <c r="E55" s="4" t="str">
        <f>IFERROR(__xludf.DUMMYFUNCTION("GOOGLETRANSLATE(N55, ""en"", ""bn"")"),"পূর্ণ এবং উচ্চ")</f>
        <v>পূর্ণ এবং উচ্চ</v>
      </c>
      <c r="F55" s="4" t="str">
        <f>IFERROR(__xludf.DUMMYFUNCTION("GOOGLETRANSLATE(O55, ""en"", ""bn"")"),"নিচু এবং শুষ্ক")</f>
        <v>নিচু এবং শুষ্ক</v>
      </c>
      <c r="G55" s="4" t="str">
        <f>IFERROR(__xludf.DUMMYFUNCTION("GOOGLETRANSLATE(P55, ""en"", ""bn"")"),"পূর্ণ এবং উচ্চ")</f>
        <v>পূর্ণ এবং উচ্চ</v>
      </c>
      <c r="H55" s="4" t="str">
        <f>IFERROR(__xludf.DUMMYFUNCTION("GOOGLETRANSLATE(Q55, ""en"", ""bn"")"),"ছবি1")</f>
        <v>ছবি1</v>
      </c>
      <c r="J55" s="5" t="str">
        <f>IFERROR(__xludf.DUMMYFUNCTION("GOOGLETRANSLATE(A55, ""bn"", ""en"")"),"54")</f>
        <v>54</v>
      </c>
      <c r="K55" s="16" t="s">
        <v>1175</v>
      </c>
      <c r="L55" s="16" t="s">
        <v>1176</v>
      </c>
      <c r="M55" s="16" t="s">
        <v>1177</v>
      </c>
      <c r="N55" s="16" t="s">
        <v>1178</v>
      </c>
      <c r="O55" s="16" t="s">
        <v>1179</v>
      </c>
      <c r="P55" s="16" t="s">
        <v>1178</v>
      </c>
      <c r="Q55" s="7" t="s">
        <v>21</v>
      </c>
    </row>
    <row r="56">
      <c r="A56" s="3">
        <v>55.0</v>
      </c>
      <c r="B56" s="4" t="str">
        <f>IFERROR(__xludf.DUMMYFUNCTION("GOOGLETRANSLATE(K56, ""en"", ""bn"")"),"বাংলাদেশে সাধারণত বছরের কোন সময়ে নৌকা বাইচ অনুষ্ঠিত হয়?")</f>
        <v>বাংলাদেশে সাধারণত বছরের কোন সময়ে নৌকা বাইচ অনুষ্ঠিত হয়?</v>
      </c>
      <c r="C56" s="4" t="str">
        <f>IFERROR(__xludf.DUMMYFUNCTION("GOOGLETRANSLATE(L56, ""en"", ""bn"")"),"শীতকালীন")</f>
        <v>শীতকালীন</v>
      </c>
      <c r="D56" s="4" t="str">
        <f>IFERROR(__xludf.DUMMYFUNCTION("GOOGLETRANSLATE(M56, ""en"", ""bn"")"),"বর্ষা")</f>
        <v>বর্ষা</v>
      </c>
      <c r="E56" s="4" t="str">
        <f>IFERROR(__xludf.DUMMYFUNCTION("GOOGLETRANSLATE(N56, ""en"", ""bn"")"),"বসন্ত")</f>
        <v>বসন্ত</v>
      </c>
      <c r="F56" s="4" t="str">
        <f>IFERROR(__xludf.DUMMYFUNCTION("GOOGLETRANSLATE(O56, ""en"", ""bn"")"),"শরৎ")</f>
        <v>শরৎ</v>
      </c>
      <c r="G56" s="4" t="str">
        <f>IFERROR(__xludf.DUMMYFUNCTION("GOOGLETRANSLATE(P56, ""en"", ""bn"")"),"বর্ষা")</f>
        <v>বর্ষা</v>
      </c>
      <c r="H56" s="4" t="str">
        <f>IFERROR(__xludf.DUMMYFUNCTION("GOOGLETRANSLATE(Q56, ""en"", ""bn"")"),"ছবি1")</f>
        <v>ছবি1</v>
      </c>
      <c r="J56" s="5" t="str">
        <f>IFERROR(__xludf.DUMMYFUNCTION("GOOGLETRANSLATE(A56, ""bn"", ""en"")"),"55")</f>
        <v>55</v>
      </c>
      <c r="K56" s="16" t="s">
        <v>1180</v>
      </c>
      <c r="L56" s="16" t="s">
        <v>1181</v>
      </c>
      <c r="M56" s="16" t="s">
        <v>1182</v>
      </c>
      <c r="N56" s="16" t="s">
        <v>1183</v>
      </c>
      <c r="O56" s="16" t="s">
        <v>1184</v>
      </c>
      <c r="P56" s="16" t="s">
        <v>1182</v>
      </c>
      <c r="Q56" s="7" t="s">
        <v>21</v>
      </c>
    </row>
    <row r="57">
      <c r="A57" s="3">
        <v>56.0</v>
      </c>
      <c r="B57" s="4" t="str">
        <f>IFERROR(__xludf.DUMMYFUNCTION("GOOGLETRANSLATE(K57, ""en"", ""bn"")"),"দৌড় প্রতিযোগিতার সময় নৌকা বাইচকারীরা ঐতিহ্যগতভাবে কোন ধরণের গান গায়?")</f>
        <v>দৌড় প্রতিযোগিতার সময় নৌকা বাইচকারীরা ঐতিহ্যগতভাবে কোন ধরণের গান গায়?</v>
      </c>
      <c r="C57" s="4" t="str">
        <f>IFERROR(__xludf.DUMMYFUNCTION("GOOGLETRANSLATE(L57, ""en"", ""bn"")"),"পপ গান")</f>
        <v>পপ গান</v>
      </c>
      <c r="D57" s="4" t="str">
        <f>IFERROR(__xludf.DUMMYFUNCTION("GOOGLETRANSLATE(M57, ""en"", ""bn"")"),"'সারি গান' নামে পরিচিত লোকগান")</f>
        <v>'সারি গান' নামে পরিচিত লোকগান</v>
      </c>
      <c r="E57" s="4" t="str">
        <f>IFERROR(__xludf.DUMMYFUNCTION("GOOGLETRANSLATE(N57, ""en"", ""bn"")"),"শাস্ত্রীয় সঙ্গীত")</f>
        <v>শাস্ত্রীয় সঙ্গীত</v>
      </c>
      <c r="F57" s="4" t="str">
        <f>IFERROR(__xludf.DUMMYFUNCTION("GOOGLETRANSLATE(O57, ""en"", ""bn"")"),"ধর্মীয় স্তোত্র")</f>
        <v>ধর্মীয় স্তোত্র</v>
      </c>
      <c r="G57" s="4" t="str">
        <f>IFERROR(__xludf.DUMMYFUNCTION("GOOGLETRANSLATE(P57, ""en"", ""bn"")"),"'সারি গান' নামে পরিচিত লোকগান")</f>
        <v>'সারি গান' নামে পরিচিত লোকগান</v>
      </c>
      <c r="H57" s="4" t="str">
        <f>IFERROR(__xludf.DUMMYFUNCTION("GOOGLETRANSLATE(Q57, ""en"", ""bn"")"),"ছবি1")</f>
        <v>ছবি1</v>
      </c>
      <c r="J57" s="5" t="str">
        <f>IFERROR(__xludf.DUMMYFUNCTION("GOOGLETRANSLATE(A57, ""bn"", ""en"")"),"56")</f>
        <v>56</v>
      </c>
      <c r="K57" s="16" t="s">
        <v>1185</v>
      </c>
      <c r="L57" s="16" t="s">
        <v>1186</v>
      </c>
      <c r="M57" s="16" t="s">
        <v>1187</v>
      </c>
      <c r="N57" s="16" t="s">
        <v>1188</v>
      </c>
      <c r="O57" s="16" t="s">
        <v>1189</v>
      </c>
      <c r="P57" s="16" t="s">
        <v>1187</v>
      </c>
      <c r="Q57" s="7" t="s">
        <v>21</v>
      </c>
    </row>
    <row r="58">
      <c r="A58" s="3">
        <v>57.0</v>
      </c>
      <c r="B58" s="4" t="str">
        <f>IFERROR(__xludf.DUMMYFUNCTION("GOOGLETRANSLATE(K58, ""en"", ""bn"")"),"রেসার ছাড়াও, ছবিতে অন্য কোন গ্রুপের লোক অত্যন্ত দৃশ্যমান?")</f>
        <v>রেসার ছাড়াও, ছবিতে অন্য কোন গ্রুপের লোক অত্যন্ত দৃশ্যমান?</v>
      </c>
      <c r="C58" s="4" t="str">
        <f>IFERROR(__xludf.DUMMYFUNCTION("GOOGLETRANSLATE(L58, ""en"", ""bn"")"),"জেলেরা")</f>
        <v>জেলেরা</v>
      </c>
      <c r="D58" s="4" t="str">
        <f>IFERROR(__xludf.DUMMYFUNCTION("GOOGLETRANSLATE(M58, ""en"", ""bn"")"),"বিক্রেতারা")</f>
        <v>বিক্রেতারা</v>
      </c>
      <c r="E58" s="4" t="str">
        <f>IFERROR(__xludf.DUMMYFUNCTION("GOOGLETRANSLATE(N58, ""en"", ""bn"")"),"নদীর ধারে দর্শক")</f>
        <v>নদীর ধারে দর্শক</v>
      </c>
      <c r="F58" s="4" t="str">
        <f>IFERROR(__xludf.DUMMYFUNCTION("GOOGLETRANSLATE(O58, ""en"", ""bn"")"),"অন্যান্য নৌকা রেসার")</f>
        <v>অন্যান্য নৌকা রেসার</v>
      </c>
      <c r="G58" s="4" t="str">
        <f>IFERROR(__xludf.DUMMYFUNCTION("GOOGLETRANSLATE(P58, ""en"", ""bn"")"),"নদীর ধারে দর্শক")</f>
        <v>নদীর ধারে দর্শক</v>
      </c>
      <c r="H58" s="4" t="str">
        <f>IFERROR(__xludf.DUMMYFUNCTION("GOOGLETRANSLATE(Q58, ""en"", ""bn"")"),"ছবি1")</f>
        <v>ছবি1</v>
      </c>
      <c r="J58" s="5" t="str">
        <f>IFERROR(__xludf.DUMMYFUNCTION("GOOGLETRANSLATE(A58, ""bn"", ""en"")"),"57")</f>
        <v>57</v>
      </c>
      <c r="K58" s="16" t="s">
        <v>1190</v>
      </c>
      <c r="L58" s="16" t="s">
        <v>1191</v>
      </c>
      <c r="M58" s="16" t="s">
        <v>1192</v>
      </c>
      <c r="N58" s="16" t="s">
        <v>1193</v>
      </c>
      <c r="O58" s="16" t="s">
        <v>1194</v>
      </c>
      <c r="P58" s="16" t="s">
        <v>1193</v>
      </c>
      <c r="Q58" s="7" t="s">
        <v>21</v>
      </c>
    </row>
    <row r="59">
      <c r="A59" s="3">
        <v>58.0</v>
      </c>
      <c r="B59" s="4" t="str">
        <f>IFERROR(__xludf.DUMMYFUNCTION("GOOGLETRANSLATE(K59, ""en"", ""bn"")"),"""নৌকা বাইচ"" শব্দটির ইংরেজিতে কী অনুবাদ করা হয়েছে?")</f>
        <v>"নৌকা বাইচ" শব্দটির ইংরেজিতে কী অনুবাদ করা হয়েছে?</v>
      </c>
      <c r="C59" s="4" t="str">
        <f>IFERROR(__xludf.DUMMYFUNCTION("GOOGLETRANSLATE(L59, ""en"", ""bn"")"),"বোট রাইড")</f>
        <v>বোট রাইড</v>
      </c>
      <c r="D59" s="4" t="str">
        <f>IFERROR(__xludf.DUMMYFUNCTION("GOOGLETRANSLATE(M59, ""en"", ""bn"")"),"জল উৎসব")</f>
        <v>জল উৎসব</v>
      </c>
      <c r="E59" s="4" t="str">
        <f>IFERROR(__xludf.DUMMYFUNCTION("GOOGLETRANSLATE(N59, ""en"", ""bn"")"),"বোট রেস")</f>
        <v>বোট রেস</v>
      </c>
      <c r="F59" s="4" t="str">
        <f>IFERROR(__xludf.DUMMYFUNCTION("GOOGLETRANSLATE(O59, ""en"", ""bn"")"),"নদী চ্যালেঞ্জ")</f>
        <v>নদী চ্যালেঞ্জ</v>
      </c>
      <c r="G59" s="4" t="str">
        <f>IFERROR(__xludf.DUMMYFUNCTION("GOOGLETRANSLATE(P59, ""en"", ""bn"")"),"বোট রেস")</f>
        <v>বোট রেস</v>
      </c>
      <c r="H59" s="4" t="str">
        <f>IFERROR(__xludf.DUMMYFUNCTION("GOOGLETRANSLATE(Q59, ""en"", ""bn"")"),"ছবি1")</f>
        <v>ছবি1</v>
      </c>
      <c r="J59" s="5" t="str">
        <f>IFERROR(__xludf.DUMMYFUNCTION("GOOGLETRANSLATE(A59, ""bn"", ""en"")"),"58")</f>
        <v>58</v>
      </c>
      <c r="K59" s="16" t="s">
        <v>1195</v>
      </c>
      <c r="L59" s="16" t="s">
        <v>1196</v>
      </c>
      <c r="M59" s="16" t="s">
        <v>1197</v>
      </c>
      <c r="N59" s="16" t="s">
        <v>1198</v>
      </c>
      <c r="O59" s="16" t="s">
        <v>1199</v>
      </c>
      <c r="P59" s="16" t="s">
        <v>1198</v>
      </c>
      <c r="Q59" s="7" t="s">
        <v>21</v>
      </c>
    </row>
    <row r="60">
      <c r="A60" s="3">
        <v>59.0</v>
      </c>
      <c r="B60" s="4" t="str">
        <f>IFERROR(__xludf.DUMMYFUNCTION("GOOGLETRANSLATE(K60, ""en"", ""bn"")"),"রেসিং বোট তৈরিতে ব্যবহৃত প্রধান উপাদান কী?")</f>
        <v>রেসিং বোট তৈরিতে ব্যবহৃত প্রধান উপাদান কী?</v>
      </c>
      <c r="C60" s="4" t="str">
        <f>IFERROR(__xludf.DUMMYFUNCTION("GOOGLETRANSLATE(L60, ""en"", ""bn"")"),"ধাতু")</f>
        <v>ধাতু</v>
      </c>
      <c r="D60" s="4" t="str">
        <f>IFERROR(__xludf.DUMMYFUNCTION("GOOGLETRANSLATE(M60, ""en"", ""bn"")"),"ফাইবারগ্লাস")</f>
        <v>ফাইবারগ্লাস</v>
      </c>
      <c r="E60" s="4" t="str">
        <f>IFERROR(__xludf.DUMMYFUNCTION("GOOGLETRANSLATE(N60, ""en"", ""bn"")"),"কাঠ")</f>
        <v>কাঠ</v>
      </c>
      <c r="F60" s="4" t="str">
        <f>IFERROR(__xludf.DUMMYFUNCTION("GOOGLETRANSLATE(O60, ""en"", ""bn"")"),"প্লাস্টিক")</f>
        <v>প্লাস্টিক</v>
      </c>
      <c r="G60" s="4" t="str">
        <f>IFERROR(__xludf.DUMMYFUNCTION("GOOGLETRANSLATE(P60, ""en"", ""bn"")"),"কাঠ")</f>
        <v>কাঠ</v>
      </c>
      <c r="H60" s="4" t="str">
        <f>IFERROR(__xludf.DUMMYFUNCTION("GOOGLETRANSLATE(Q60, ""en"", ""bn"")"),"ছবি1")</f>
        <v>ছবি1</v>
      </c>
      <c r="J60" s="5" t="str">
        <f>IFERROR(__xludf.DUMMYFUNCTION("GOOGLETRANSLATE(A60, ""bn"", ""en"")"),"59")</f>
        <v>59</v>
      </c>
      <c r="K60" s="16" t="s">
        <v>1200</v>
      </c>
      <c r="L60" s="16" t="s">
        <v>734</v>
      </c>
      <c r="M60" s="16" t="s">
        <v>736</v>
      </c>
      <c r="N60" s="16" t="s">
        <v>1201</v>
      </c>
      <c r="O60" s="16" t="s">
        <v>733</v>
      </c>
      <c r="P60" s="16" t="s">
        <v>1201</v>
      </c>
      <c r="Q60" s="7" t="s">
        <v>21</v>
      </c>
    </row>
    <row r="61">
      <c r="A61" s="3">
        <v>60.0</v>
      </c>
      <c r="B61" s="4" t="str">
        <f>IFERROR(__xludf.DUMMYFUNCTION("GOOGLETRANSLATE(K61, ""en"", ""bn"")"),"অংশগ্রহণকারীদের মুখের অভিব্যক্তি অনুষ্ঠানের প্রকৃতি সম্পর্কে কী ইঙ্গিত দেয়?")</f>
        <v>অংশগ্রহণকারীদের মুখের অভিব্যক্তি অনুষ্ঠানের প্রকৃতি সম্পর্কে কী ইঙ্গিত দেয়?</v>
      </c>
      <c r="C61" s="4" t="str">
        <f>IFERROR(__xludf.DUMMYFUNCTION("GOOGLETRANSLATE(L61, ""en"", ""bn"")"),"এটি একটি অবসর কার্যকলাপ")</f>
        <v>এটি একটি অবসর কার্যকলাপ</v>
      </c>
      <c r="D61" s="4" t="str">
        <f>IFERROR(__xludf.DUMMYFUNCTION("GOOGLETRANSLATE(M61, ""en"", ""bn"")"),"এটি একটি তীব্র প্রতিযোগিতা।")</f>
        <v>এটি একটি তীব্র প্রতিযোগিতা।</v>
      </c>
      <c r="E61" s="4" t="str">
        <f>IFERROR(__xludf.DUMMYFUNCTION("GOOGLETRANSLATE(N61, ""en"", ""bn"")"),"এটি একটি ধর্মীয় অনুষ্ঠান")</f>
        <v>এটি একটি ধর্মীয় অনুষ্ঠান</v>
      </c>
      <c r="F61" s="4" t="str">
        <f>IFERROR(__xludf.DUMMYFUNCTION("GOOGLETRANSLATE(O61, ""en"", ""bn"")"),"এটি একটি দলের অনুশীলন")</f>
        <v>এটি একটি দলের অনুশীলন</v>
      </c>
      <c r="G61" s="4" t="str">
        <f>IFERROR(__xludf.DUMMYFUNCTION("GOOGLETRANSLATE(P61, ""en"", ""bn"")"),"এটি একটি তীব্র প্রতিযোগিতা।")</f>
        <v>এটি একটি তীব্র প্রতিযোগিতা।</v>
      </c>
      <c r="H61" s="4" t="str">
        <f>IFERROR(__xludf.DUMMYFUNCTION("GOOGLETRANSLATE(Q61, ""en"", ""bn"")"),"ছবি1")</f>
        <v>ছবি1</v>
      </c>
      <c r="J61" s="5" t="str">
        <f>IFERROR(__xludf.DUMMYFUNCTION("GOOGLETRANSLATE(A61, ""bn"", ""en"")"),"60")</f>
        <v>60</v>
      </c>
      <c r="K61" s="16" t="s">
        <v>1202</v>
      </c>
      <c r="L61" s="16" t="s">
        <v>1203</v>
      </c>
      <c r="M61" s="16" t="s">
        <v>1204</v>
      </c>
      <c r="N61" s="16" t="s">
        <v>1205</v>
      </c>
      <c r="O61" s="16" t="s">
        <v>1206</v>
      </c>
      <c r="P61" s="16" t="s">
        <v>1204</v>
      </c>
      <c r="Q61" s="7" t="s">
        <v>21</v>
      </c>
    </row>
    <row r="62">
      <c r="A62" s="3">
        <v>61.0</v>
      </c>
      <c r="B62" s="4" t="str">
        <f>IFERROR(__xludf.DUMMYFUNCTION("GOOGLETRANSLATE(K62, ""en"", ""bn"")"),"ছবিতে নৌকার প্রধান বৈশিষ্ট্য কী?")</f>
        <v>ছবিতে নৌকার প্রধান বৈশিষ্ট্য কী?</v>
      </c>
      <c r="C62" s="4" t="str">
        <f>IFERROR(__xludf.DUMMYFUNCTION("GOOGLETRANSLATE(L62, ""en"", ""bn"")"),"তারা ছোট এবং প্রশস্ত হয়")</f>
        <v>তারা ছোট এবং প্রশস্ত হয়</v>
      </c>
      <c r="D62" s="4" t="str">
        <f>IFERROR(__xludf.DUMMYFUNCTION("GOOGLETRANSLATE(M62, ""en"", ""bn"")"),"এগুলো লম্বা এবং সরু")</f>
        <v>এগুলো লম্বা এবং সরু</v>
      </c>
      <c r="E62" s="4" t="str">
        <f>IFERROR(__xludf.DUMMYFUNCTION("GOOGLETRANSLATE(N62, ""en"", ""bn"")"),"তাদের ইঞ্জিন আছে")</f>
        <v>তাদের ইঞ্জিন আছে</v>
      </c>
      <c r="F62" s="4" t="str">
        <f>IFERROR(__xludf.DUMMYFUNCTION("GOOGLETRANSLATE(O62, ""en"", ""bn"")"),"ওরা পালতোলা নৌকা।")</f>
        <v>ওরা পালতোলা নৌকা।</v>
      </c>
      <c r="G62" s="4" t="str">
        <f>IFERROR(__xludf.DUMMYFUNCTION("GOOGLETRANSLATE(P62, ""en"", ""bn"")"),"এগুলো লম্বা এবং সরু")</f>
        <v>এগুলো লম্বা এবং সরু</v>
      </c>
      <c r="H62" s="4" t="str">
        <f>IFERROR(__xludf.DUMMYFUNCTION("GOOGLETRANSLATE(Q62, ""en"", ""bn"")"),"ছবি2")</f>
        <v>ছবি2</v>
      </c>
      <c r="J62" s="5" t="str">
        <f>IFERROR(__xludf.DUMMYFUNCTION("GOOGLETRANSLATE(A62, ""bn"", ""en"")"),"61")</f>
        <v>61</v>
      </c>
      <c r="K62" s="16" t="s">
        <v>1207</v>
      </c>
      <c r="L62" s="16" t="s">
        <v>1208</v>
      </c>
      <c r="M62" s="16" t="s">
        <v>1209</v>
      </c>
      <c r="N62" s="16" t="s">
        <v>1210</v>
      </c>
      <c r="O62" s="16" t="s">
        <v>1211</v>
      </c>
      <c r="P62" s="16" t="s">
        <v>1209</v>
      </c>
      <c r="Q62" s="7" t="s">
        <v>32</v>
      </c>
    </row>
    <row r="63">
      <c r="A63" s="3">
        <v>62.0</v>
      </c>
      <c r="B63" s="4" t="str">
        <f>IFERROR(__xludf.DUMMYFUNCTION("GOOGLETRANSLATE(K63, ""en"", ""bn"")"),"অগ্রভাগের নৌকায় rowers এর পোশাক কি?")</f>
        <v>অগ্রভাগের নৌকায় rowers এর পোশাক কি?</v>
      </c>
      <c r="C63" s="4" t="str">
        <f>IFERROR(__xludf.DUMMYFUNCTION("GOOGLETRANSLATE(L63, ""en"", ""bn"")"),"কালো প্যান্ট এবং সাদা শার্ট")</f>
        <v>কালো প্যান্ট এবং সাদা শার্ট</v>
      </c>
      <c r="D63" s="4" t="str">
        <f>IFERROR(__xludf.DUMMYFUNCTION("GOOGLETRANSLATE(M63, ""en"", ""bn"")"),"সবুজ শার্ট আর সাদা শার্ট")</f>
        <v>সবুজ শার্ট আর সাদা শার্ট</v>
      </c>
      <c r="E63" s="4" t="str">
        <f>IFERROR(__xludf.DUMMYFUNCTION("GOOGLETRANSLATE(N63, ""en"", ""bn"")"),"জিন্স এবং টি-শার্ট")</f>
        <v>জিন্স এবং টি-শার্ট</v>
      </c>
      <c r="F63" s="4" t="str">
        <f>IFERROR(__xludf.DUMMYFUNCTION("GOOGLETRANSLATE(O63, ""en"", ""bn"")"),"ঐতিহ্যবাহী লম্বা পোশাক")</f>
        <v>ঐতিহ্যবাহী লম্বা পোশাক</v>
      </c>
      <c r="G63" s="4" t="str">
        <f>IFERROR(__xludf.DUMMYFUNCTION("GOOGLETRANSLATE(P63, ""en"", ""bn"")"),"সবুজ শার্ট আর সাদা শার্ট")</f>
        <v>সবুজ শার্ট আর সাদা শার্ট</v>
      </c>
      <c r="H63" s="4" t="str">
        <f>IFERROR(__xludf.DUMMYFUNCTION("GOOGLETRANSLATE(Q63, ""en"", ""bn"")"),"ছবি2")</f>
        <v>ছবি2</v>
      </c>
      <c r="J63" s="5" t="str">
        <f>IFERROR(__xludf.DUMMYFUNCTION("GOOGLETRANSLATE(A63, ""bn"", ""en"")"),"62")</f>
        <v>62</v>
      </c>
      <c r="K63" s="16" t="s">
        <v>1212</v>
      </c>
      <c r="L63" s="16" t="s">
        <v>1213</v>
      </c>
      <c r="M63" s="16" t="s">
        <v>1214</v>
      </c>
      <c r="N63" s="16" t="s">
        <v>1215</v>
      </c>
      <c r="O63" s="16" t="s">
        <v>1216</v>
      </c>
      <c r="P63" s="16" t="s">
        <v>1214</v>
      </c>
      <c r="Q63" s="7" t="s">
        <v>32</v>
      </c>
    </row>
    <row r="64">
      <c r="A64" s="3">
        <v>63.0</v>
      </c>
      <c r="B64" s="4" t="str">
        <f>IFERROR(__xludf.DUMMYFUNCTION("GOOGLETRANSLATE(K64, ""en"", ""bn"")"),"নৌকার সামনে দাঁড়িয়ে থাকা ব্যক্তির উদ্দেশ্য কী?")</f>
        <v>নৌকার সামনে দাঁড়িয়ে থাকা ব্যক্তির উদ্দেশ্য কী?</v>
      </c>
      <c r="C64" s="4" t="str">
        <f>IFERROR(__xludf.DUMMYFUNCTION("GOOGLETRANSLATE(L64, ""en"", ""bn"")"),"পাহারাদার হিসেবে কাজ করা")</f>
        <v>পাহারাদার হিসেবে কাজ করা</v>
      </c>
      <c r="D64" s="4" t="str">
        <f>IFERROR(__xludf.DUMMYFUNCTION("GOOGLETRANSLATE(M64, ""en"", ""bn"")"),"লম্বা দাঁড় করিয়ে নৌকা চালানো")</f>
        <v>লম্বা দাঁড় করিয়ে নৌকা চালানো</v>
      </c>
      <c r="E64" s="4" t="str">
        <f>IFERROR(__xludf.DUMMYFUNCTION("GOOGLETRANSLATE(N64, ""en"", ""bn"")"),"রোয়ারদের ছন্দ এবং গতি নির্দেশ করা")</f>
        <v>রোয়ারদের ছন্দ এবং গতি নির্দেশ করা</v>
      </c>
      <c r="F64" s="4" t="str">
        <f>IFERROR(__xludf.DUMMYFUNCTION("GOOGLETRANSLATE(O64, ""en"", ""bn"")"),"দৌড়ের ছবি তোলার জন্য")</f>
        <v>দৌড়ের ছবি তোলার জন্য</v>
      </c>
      <c r="G64" s="4" t="str">
        <f>IFERROR(__xludf.DUMMYFUNCTION("GOOGLETRANSLATE(P64, ""en"", ""bn"")"),"রোয়ারদের ছন্দ এবং গতি নির্দেশ করা")</f>
        <v>রোয়ারদের ছন্দ এবং গতি নির্দেশ করা</v>
      </c>
      <c r="H64" s="4" t="str">
        <f>IFERROR(__xludf.DUMMYFUNCTION("GOOGLETRANSLATE(Q64, ""en"", ""bn"")"),"ছবি2")</f>
        <v>ছবি2</v>
      </c>
      <c r="J64" s="5" t="str">
        <f>IFERROR(__xludf.DUMMYFUNCTION("GOOGLETRANSLATE(A64, ""bn"", ""en"")"),"63")</f>
        <v>63</v>
      </c>
      <c r="K64" s="16" t="s">
        <v>1217</v>
      </c>
      <c r="L64" s="16" t="s">
        <v>1218</v>
      </c>
      <c r="M64" s="16" t="s">
        <v>1219</v>
      </c>
      <c r="N64" s="16" t="s">
        <v>1220</v>
      </c>
      <c r="O64" s="16" t="s">
        <v>1221</v>
      </c>
      <c r="P64" s="16" t="s">
        <v>1220</v>
      </c>
      <c r="Q64" s="7" t="s">
        <v>32</v>
      </c>
    </row>
    <row r="65">
      <c r="A65" s="3">
        <v>64.0</v>
      </c>
      <c r="B65" s="4" t="str">
        <f>IFERROR(__xludf.DUMMYFUNCTION("GOOGLETRANSLATE(K65, ""en"", ""bn"")"),"অগ্রভাগে নৌকায় কতজন রোয়ার আছে?")</f>
        <v>অগ্রভাগে নৌকায় কতজন রোয়ার আছে?</v>
      </c>
      <c r="C65" s="4" t="str">
        <f>IFERROR(__xludf.DUMMYFUNCTION("GOOGLETRANSLATE(L65, ""en"", ""bn"")"),"আনুমানিক ১০")</f>
        <v>আনুমানিক ১০</v>
      </c>
      <c r="D65" s="4" t="str">
        <f>IFERROR(__xludf.DUMMYFUNCTION("GOOGLETRANSLATE(M65, ""en"", ""bn"")"),"প্রায় 20")</f>
        <v>প্রায় 20</v>
      </c>
      <c r="E65" s="4" t="str">
        <f>IFERROR(__xludf.DUMMYFUNCTION("GOOGLETRANSLATE(N65, ""en"", ""bn"")"),"প্রায় 30-40")</f>
        <v>প্রায় 30-40</v>
      </c>
      <c r="F65" s="4" t="str">
        <f>IFERROR(__xludf.DUMMYFUNCTION("GOOGLETRANSLATE(O65, ""en"", ""bn"")"),"প্রায় ৫০ বা তার বেশি")</f>
        <v>প্রায় ৫০ বা তার বেশি</v>
      </c>
      <c r="G65" s="4" t="str">
        <f>IFERROR(__xludf.DUMMYFUNCTION("GOOGLETRANSLATE(P65, ""en"", ""bn"")"),"প্রায় 30-40")</f>
        <v>প্রায় 30-40</v>
      </c>
      <c r="H65" s="4" t="str">
        <f>IFERROR(__xludf.DUMMYFUNCTION("GOOGLETRANSLATE(Q65, ""en"", ""bn"")"),"ছবি2")</f>
        <v>ছবি2</v>
      </c>
      <c r="J65" s="5" t="str">
        <f>IFERROR(__xludf.DUMMYFUNCTION("GOOGLETRANSLATE(A65, ""bn"", ""en"")"),"64")</f>
        <v>64</v>
      </c>
      <c r="K65" s="16" t="s">
        <v>1222</v>
      </c>
      <c r="L65" s="16" t="s">
        <v>1223</v>
      </c>
      <c r="M65" s="16" t="s">
        <v>1224</v>
      </c>
      <c r="N65" s="16" t="s">
        <v>1225</v>
      </c>
      <c r="O65" s="16" t="s">
        <v>1226</v>
      </c>
      <c r="P65" s="16" t="s">
        <v>1225</v>
      </c>
      <c r="Q65" s="7" t="s">
        <v>32</v>
      </c>
    </row>
    <row r="66">
      <c r="A66" s="3">
        <v>65.0</v>
      </c>
      <c r="B66" s="4" t="str">
        <f>IFERROR(__xludf.DUMMYFUNCTION("GOOGLETRANSLATE(K66, ""en"", ""bn"")"),"নৌকার সাথে লাগানো পতাকার তাৎপর্য কি?")</f>
        <v>নৌকার সাথে লাগানো পতাকার তাৎপর্য কি?</v>
      </c>
      <c r="C66" s="4" t="str">
        <f>IFERROR(__xludf.DUMMYFUNCTION("GOOGLETRANSLATE(L66, ""en"", ""bn"")"),"তারা বিভিন্ন দেশের প্রতিনিধিত্ব করে")</f>
        <v>তারা বিভিন্ন দেশের প্রতিনিধিত্ব করে</v>
      </c>
      <c r="D66" s="4" t="str">
        <f>IFERROR(__xludf.DUMMYFUNCTION("GOOGLETRANSLATE(M66, ""en"", ""bn"")"),"তারা নৌকার নিজ জেলা বা দল দেখান")</f>
        <v>তারা নৌকার নিজ জেলা বা দল দেখান</v>
      </c>
      <c r="E66" s="4" t="str">
        <f>IFERROR(__xludf.DUMMYFUNCTION("GOOGLETRANSLATE(N66, ""en"", ""bn"")"),"এগুলি শুধুমাত্র সাজসজ্জার জন্য")</f>
        <v>এগুলি শুধুমাত্র সাজসজ্জার জন্য</v>
      </c>
      <c r="F66" s="4" t="str">
        <f>IFERROR(__xludf.DUMMYFUNCTION("GOOGLETRANSLATE(O66, ""en"", ""bn"")"),"তারা একটি নিরাপত্তা ব্যবস্থা")</f>
        <v>তারা একটি নিরাপত্তা ব্যবস্থা</v>
      </c>
      <c r="G66" s="4" t="str">
        <f>IFERROR(__xludf.DUMMYFUNCTION("GOOGLETRANSLATE(P66, ""en"", ""bn"")"),"তারা নৌকার নিজ জেলা বা দল দেখান")</f>
        <v>তারা নৌকার নিজ জেলা বা দল দেখান</v>
      </c>
      <c r="H66" s="4" t="str">
        <f>IFERROR(__xludf.DUMMYFUNCTION("GOOGLETRANSLATE(Q66, ""en"", ""bn"")"),"ছবি2")</f>
        <v>ছবি2</v>
      </c>
      <c r="J66" s="5" t="str">
        <f>IFERROR(__xludf.DUMMYFUNCTION("GOOGLETRANSLATE(A66, ""bn"", ""en"")"),"65")</f>
        <v>65</v>
      </c>
      <c r="K66" s="16" t="s">
        <v>1227</v>
      </c>
      <c r="L66" s="16" t="s">
        <v>1228</v>
      </c>
      <c r="M66" s="16" t="s">
        <v>1229</v>
      </c>
      <c r="N66" s="16" t="s">
        <v>1230</v>
      </c>
      <c r="O66" s="16" t="s">
        <v>1231</v>
      </c>
      <c r="P66" s="16" t="s">
        <v>1229</v>
      </c>
      <c r="Q66" s="7" t="s">
        <v>32</v>
      </c>
    </row>
    <row r="67">
      <c r="A67" s="3">
        <v>66.0</v>
      </c>
      <c r="B67" s="4" t="str">
        <f>IFERROR(__xludf.DUMMYFUNCTION("GOOGLETRANSLATE(K67, ""en"", ""bn"")"),"চিত্রে নদী সেটিং কি ধরনের চিত্রিত করা হয়েছে?")</f>
        <v>চিত্রে নদী সেটিং কি ধরনের চিত্রিত করা হয়েছে?</v>
      </c>
      <c r="C67" s="4" t="str">
        <f>IFERROR(__xludf.DUMMYFUNCTION("GOOGLETRANSLATE(L67, ""en"", ""bn"")"),"একটা ছোট খাঁড়ি")</f>
        <v>একটা ছোট খাঁড়ি</v>
      </c>
      <c r="D67" s="4" t="str">
        <f>IFERROR(__xludf.DUMMYFUNCTION("GOOGLETRANSLATE(M67, ""en"", ""bn"")"),"প্রশস্ত, ব্যস্ত নদী")</f>
        <v>প্রশস্ত, ব্যস্ত নদী</v>
      </c>
      <c r="E67" s="4" t="str">
        <f>IFERROR(__xludf.DUMMYFUNCTION("GOOGLETRANSLATE(N67, ""en"", ""bn"")"),"একটি শুকনো নদীর ঘাট")</f>
        <v>একটি শুকনো নদীর ঘাট</v>
      </c>
      <c r="F67" s="4" t="str">
        <f>IFERROR(__xludf.DUMMYFUNCTION("GOOGLETRANSLATE(O67, ""en"", ""bn"")"),"পাহাড়ি স্রোত")</f>
        <v>পাহাড়ি স্রোত</v>
      </c>
      <c r="G67" s="4" t="str">
        <f>IFERROR(__xludf.DUMMYFUNCTION("GOOGLETRANSLATE(P67, ""en"", ""bn"")"),"প্রশস্ত, ব্যস্ত নদী")</f>
        <v>প্রশস্ত, ব্যস্ত নদী</v>
      </c>
      <c r="H67" s="4" t="str">
        <f>IFERROR(__xludf.DUMMYFUNCTION("GOOGLETRANSLATE(Q67, ""en"", ""bn"")"),"ছবি2")</f>
        <v>ছবি2</v>
      </c>
      <c r="J67" s="5" t="str">
        <f>IFERROR(__xludf.DUMMYFUNCTION("GOOGLETRANSLATE(A67, ""bn"", ""en"")"),"66")</f>
        <v>66</v>
      </c>
      <c r="K67" s="16" t="s">
        <v>1232</v>
      </c>
      <c r="L67" s="16" t="s">
        <v>1233</v>
      </c>
      <c r="M67" s="16" t="s">
        <v>1234</v>
      </c>
      <c r="N67" s="16" t="s">
        <v>1235</v>
      </c>
      <c r="O67" s="16" t="s">
        <v>1236</v>
      </c>
      <c r="P67" s="16" t="s">
        <v>1234</v>
      </c>
      <c r="Q67" s="7" t="s">
        <v>32</v>
      </c>
    </row>
    <row r="68">
      <c r="A68" s="3">
        <v>67.0</v>
      </c>
      <c r="B68" s="4" t="str">
        <f>IFERROR(__xludf.DUMMYFUNCTION("GOOGLETRANSLATE(K68, ""en"", ""bn"")"),"ছবির পটভূমিতে কোন কাঠামো দেখা যাচ্ছে?")</f>
        <v>ছবির পটভূমিতে কোন কাঠামো দেখা যাচ্ছে?</v>
      </c>
      <c r="C68" s="4" t="str">
        <f>IFERROR(__xludf.DUMMYFUNCTION("GOOGLETRANSLATE(L68, ""en"", ""bn"")"),"ঐতিহ্যবাহী গ্রাম")</f>
        <v>ঐতিহ্যবাহী গ্রাম</v>
      </c>
      <c r="D68" s="4" t="str">
        <f>IFERROR(__xludf.DUMMYFUNCTION("GOOGLETRANSLATE(M68, ""en"", ""bn"")"),"আধুনিক ভবন")</f>
        <v>আধুনিক ভবন</v>
      </c>
      <c r="E68" s="4" t="str">
        <f>IFERROR(__xludf.DUMMYFUNCTION("GOOGLETRANSLATE(N68, ""en"", ""bn"")"),"পাহাড় এবং বন")</f>
        <v>পাহাড় এবং বন</v>
      </c>
      <c r="F68" s="4" t="str">
        <f>IFERROR(__xludf.DUMMYFUNCTION("GOOGLETRANSLATE(O68, ""en"", ""bn"")"),"প্রাচীন ধ্বংসাবশেষ")</f>
        <v>প্রাচীন ধ্বংসাবশেষ</v>
      </c>
      <c r="G68" s="4" t="str">
        <f>IFERROR(__xludf.DUMMYFUNCTION("GOOGLETRANSLATE(P68, ""en"", ""bn"")"),"আধুনিক ভবন")</f>
        <v>আধুনিক ভবন</v>
      </c>
      <c r="H68" s="4" t="str">
        <f>IFERROR(__xludf.DUMMYFUNCTION("GOOGLETRANSLATE(Q68, ""en"", ""bn"")"),"ছবি2")</f>
        <v>ছবি2</v>
      </c>
      <c r="J68" s="5" t="str">
        <f>IFERROR(__xludf.DUMMYFUNCTION("GOOGLETRANSLATE(A68, ""bn"", ""en"")"),"67")</f>
        <v>67</v>
      </c>
      <c r="K68" s="16" t="s">
        <v>1237</v>
      </c>
      <c r="L68" s="16" t="s">
        <v>1238</v>
      </c>
      <c r="M68" s="16" t="s">
        <v>1239</v>
      </c>
      <c r="N68" s="16" t="s">
        <v>1240</v>
      </c>
      <c r="O68" s="16" t="s">
        <v>1241</v>
      </c>
      <c r="P68" s="16" t="s">
        <v>1239</v>
      </c>
      <c r="Q68" s="7" t="s">
        <v>32</v>
      </c>
    </row>
    <row r="69">
      <c r="A69" s="3">
        <v>68.0</v>
      </c>
      <c r="B69" s="4" t="str">
        <f>IFERROR(__xludf.DUMMYFUNCTION("GOOGLETRANSLATE(K69, ""en"", ""bn"")"),"পটভূমিতে নৌকার মাঝখানে দাঁড়িয়ে থাকা ব্যক্তির ভূমিকা কী?")</f>
        <v>পটভূমিতে নৌকার মাঝখানে দাঁড়িয়ে থাকা ব্যক্তির ভূমিকা কী?</v>
      </c>
      <c r="C69" s="4" t="str">
        <f>IFERROR(__xludf.DUMMYFUNCTION("GOOGLETRANSLATE(L69, ""en"", ""bn"")"),"দর্শকদের কাছ থেকে টাকা আদায় করা")</f>
        <v>দর্শকদের কাছ থেকে টাকা আদায় করা</v>
      </c>
      <c r="D69" s="4" t="str">
        <f>IFERROR(__xludf.DUMMYFUNCTION("GOOGLETRANSLATE(M69, ""en"", ""bn"")"),"রোয়ারদের জল দেওয়ার জন্য")</f>
        <v>রোয়ারদের জল দেওয়ার জন্য</v>
      </c>
      <c r="E69" s="4" t="str">
        <f>IFERROR(__xludf.DUMMYFUNCTION("GOOGLETRANSLATE(N69, ""en"", ""bn"")"),"রোয়ারদের অনুপ্রাণিত করার জন্য গান করা")</f>
        <v>রোয়ারদের অনুপ্রাণিত করার জন্য গান করা</v>
      </c>
      <c r="F69" s="4" t="str">
        <f>IFERROR(__xludf.DUMMYFUNCTION("GOOGLETRANSLATE(O69, ""en"", ""bn"")"),"রোয়িং থেকে বিরতি নিতে")</f>
        <v>রোয়িং থেকে বিরতি নিতে</v>
      </c>
      <c r="G69" s="4" t="str">
        <f>IFERROR(__xludf.DUMMYFUNCTION("GOOGLETRANSLATE(P69, ""en"", ""bn"")"),"রোয়ারদের অনুপ্রাণিত করার জন্য গান করা")</f>
        <v>রোয়ারদের অনুপ্রাণিত করার জন্য গান করা</v>
      </c>
      <c r="H69" s="4" t="str">
        <f>IFERROR(__xludf.DUMMYFUNCTION("GOOGLETRANSLATE(Q69, ""en"", ""bn"")"),"ছবি2")</f>
        <v>ছবি2</v>
      </c>
      <c r="J69" s="5" t="str">
        <f>IFERROR(__xludf.DUMMYFUNCTION("GOOGLETRANSLATE(A69, ""bn"", ""en"")"),"68")</f>
        <v>68</v>
      </c>
      <c r="K69" s="16" t="s">
        <v>1242</v>
      </c>
      <c r="L69" s="16" t="s">
        <v>1243</v>
      </c>
      <c r="M69" s="16" t="s">
        <v>1244</v>
      </c>
      <c r="N69" s="16" t="s">
        <v>1245</v>
      </c>
      <c r="O69" s="16" t="s">
        <v>1246</v>
      </c>
      <c r="P69" s="16" t="s">
        <v>1245</v>
      </c>
      <c r="Q69" s="7" t="s">
        <v>32</v>
      </c>
    </row>
    <row r="70">
      <c r="A70" s="3">
        <v>69.0</v>
      </c>
      <c r="B70" s="4" t="str">
        <f>IFERROR(__xludf.DUMMYFUNCTION("GOOGLETRANSLATE(K70, ""en"", ""bn"")"),"নৌকার চারপাশে জলের স্প্ল্যাশিং কী নির্দেশ করে?")</f>
        <v>নৌকার চারপাশে জলের স্প্ল্যাশিং কী নির্দেশ করে?</v>
      </c>
      <c r="C70" s="4" t="str">
        <f>IFERROR(__xludf.DUMMYFUNCTION("GOOGLETRANSLATE(L70, ""en"", ""bn"")"),"নৌকাচালকরা ধীর গতিতে চলছে।")</f>
        <v>নৌকাচালকরা ধীর গতিতে চলছে।</v>
      </c>
      <c r="D70" s="4" t="str">
        <f>IFERROR(__xludf.DUMMYFUNCTION("GOOGLETRANSLATE(M70, ""en"", ""bn"")"),"নৌকাগুলো প্রবল বেগে চলছে")</f>
        <v>নৌকাগুলো প্রবল বেগে চলছে</v>
      </c>
      <c r="E70" s="4" t="str">
        <f>IFERROR(__xludf.DUMMYFUNCTION("GOOGLETRANSLATE(N70, ""en"", ""bn"")"),"একটা ঝড় ঘনিয়ে আসছে")</f>
        <v>একটা ঝড় ঘনিয়ে আসছে</v>
      </c>
      <c r="F70" s="4" t="str">
        <f>IFERROR(__xludf.DUMMYFUNCTION("GOOGLETRANSLATE(O70, ""en"", ""bn"")"),"নৌকাগুলোতে ফুটো আছে")</f>
        <v>নৌকাগুলোতে ফুটো আছে</v>
      </c>
      <c r="G70" s="4" t="str">
        <f>IFERROR(__xludf.DUMMYFUNCTION("GOOGLETRANSLATE(P70, ""en"", ""bn"")"),"নৌকাগুলো প্রবল বেগে চলছে")</f>
        <v>নৌকাগুলো প্রবল বেগে চলছে</v>
      </c>
      <c r="H70" s="4" t="str">
        <f>IFERROR(__xludf.DUMMYFUNCTION("GOOGLETRANSLATE(Q70, ""en"", ""bn"")"),"ছবি2")</f>
        <v>ছবি2</v>
      </c>
      <c r="J70" s="5" t="str">
        <f>IFERROR(__xludf.DUMMYFUNCTION("GOOGLETRANSLATE(A70, ""bn"", ""en"")"),"69")</f>
        <v>69</v>
      </c>
      <c r="K70" s="16" t="s">
        <v>1247</v>
      </c>
      <c r="L70" s="16" t="s">
        <v>1248</v>
      </c>
      <c r="M70" s="16" t="s">
        <v>1249</v>
      </c>
      <c r="N70" s="16" t="s">
        <v>1250</v>
      </c>
      <c r="O70" s="16" t="s">
        <v>1251</v>
      </c>
      <c r="P70" s="16" t="s">
        <v>1249</v>
      </c>
      <c r="Q70" s="7" t="s">
        <v>32</v>
      </c>
    </row>
    <row r="71">
      <c r="A71" s="3">
        <v>70.0</v>
      </c>
      <c r="B71" s="4" t="str">
        <f>IFERROR(__xludf.DUMMYFUNCTION("GOOGLETRANSLATE(K71, ""en"", ""bn"")"),"দৌড় প্রতিযোগিতার সময় নৌকাচালকদের দ্বারা গাওয়া লোকগানের একটি সাধারণ নাম কী?")</f>
        <v>দৌড় প্রতিযোগিতার সময় নৌকাচালকদের দ্বারা গাওয়া লোকগানের একটি সাধারণ নাম কী?</v>
      </c>
      <c r="C71" s="4" t="str">
        <f>IFERROR(__xludf.DUMMYFUNCTION("GOOGLETRANSLATE(L71, ""en"", ""bn"")"),"বাউল গান")</f>
        <v>বাউল গান</v>
      </c>
      <c r="D71" s="4" t="str">
        <f>IFERROR(__xludf.DUMMYFUNCTION("GOOGLETRANSLATE(M71, ""en"", ""bn"")"),"শাড়ি গান")</f>
        <v>শাড়ি গান</v>
      </c>
      <c r="E71" s="4" t="str">
        <f>IFERROR(__xludf.DUMMYFUNCTION("GOOGLETRANSLATE(N71, ""en"", ""bn"")"),"লালন গিট")</f>
        <v>লালন গিট</v>
      </c>
      <c r="F71" s="4" t="str">
        <f>IFERROR(__xludf.DUMMYFUNCTION("GOOGLETRANSLATE(O71, ""en"", ""bn"")"),"ধ্রুপদী")</f>
        <v>ধ্রুপদী</v>
      </c>
      <c r="G71" s="4" t="str">
        <f>IFERROR(__xludf.DUMMYFUNCTION("GOOGLETRANSLATE(P71, ""en"", ""bn"")"),"শাড়ি গান")</f>
        <v>শাড়ি গান</v>
      </c>
      <c r="H71" s="4" t="str">
        <f>IFERROR(__xludf.DUMMYFUNCTION("GOOGLETRANSLATE(Q71, ""en"", ""bn"")"),"ছবি2")</f>
        <v>ছবি2</v>
      </c>
      <c r="J71" s="5" t="str">
        <f>IFERROR(__xludf.DUMMYFUNCTION("GOOGLETRANSLATE(A71, ""bn"", ""en"")"),"70")</f>
        <v>70</v>
      </c>
      <c r="K71" s="16" t="s">
        <v>1252</v>
      </c>
      <c r="L71" s="16" t="s">
        <v>1253</v>
      </c>
      <c r="M71" s="16" t="s">
        <v>1254</v>
      </c>
      <c r="N71" s="16" t="s">
        <v>1255</v>
      </c>
      <c r="O71" s="16" t="s">
        <v>1256</v>
      </c>
      <c r="P71" s="16" t="s">
        <v>1254</v>
      </c>
      <c r="Q71" s="7" t="s">
        <v>32</v>
      </c>
    </row>
    <row r="72">
      <c r="A72" s="3">
        <v>71.0</v>
      </c>
      <c r="B72" s="4" t="str">
        <f>IFERROR(__xludf.DUMMYFUNCTION("GOOGLETRANSLATE(K72, ""en"", ""bn"")"),"অংশগ্রহণকারীদের মূল উদ্দেশ্য কি?")</f>
        <v>অংশগ্রহণকারীদের মূল উদ্দেশ্য কি?</v>
      </c>
      <c r="C72" s="4" t="str">
        <f>IFERROR(__xludf.DUMMYFUNCTION("GOOGLETRANSLATE(L72, ""en"", ""bn"")"),"একে অপরের বিরুদ্ধে প্রতিযোগিতা করা")</f>
        <v>একে অপরের বিরুদ্ধে প্রতিযোগিতা করা</v>
      </c>
      <c r="D72" s="4" t="str">
        <f>IFERROR(__xludf.DUMMYFUNCTION("GOOGLETRANSLATE(M72, ""en"", ""bn"")"),"লোকগান গাইতে")</f>
        <v>লোকগান গাইতে</v>
      </c>
      <c r="E72" s="4" t="str">
        <f>IFERROR(__xludf.DUMMYFUNCTION("GOOGLETRANSLATE(N72, ""en"", ""bn"")"),"নতুন রুট খুঁজতে")</f>
        <v>নতুন রুট খুঁজতে</v>
      </c>
      <c r="F72" s="4" t="str">
        <f>IFERROR(__xludf.DUMMYFUNCTION("GOOGLETRANSLATE(O72, ""en"", ""bn"")"),"নদীতে বিশ্রাম নিতে")</f>
        <v>নদীতে বিশ্রাম নিতে</v>
      </c>
      <c r="G72" s="4" t="str">
        <f>IFERROR(__xludf.DUMMYFUNCTION("GOOGLETRANSLATE(P72, ""en"", ""bn"")"),"একে অপরের বিরুদ্ধে প্রতিযোগিতা করা")</f>
        <v>একে অপরের বিরুদ্ধে প্রতিযোগিতা করা</v>
      </c>
      <c r="H72" s="4" t="str">
        <f>IFERROR(__xludf.DUMMYFUNCTION("GOOGLETRANSLATE(Q72, ""en"", ""bn"")"),"ছবি3")</f>
        <v>ছবি3</v>
      </c>
      <c r="J72" s="5" t="str">
        <f>IFERROR(__xludf.DUMMYFUNCTION("GOOGLETRANSLATE(A72, ""bn"", ""en"")"),"71")</f>
        <v>71</v>
      </c>
      <c r="K72" s="6" t="s">
        <v>1257</v>
      </c>
      <c r="L72" s="6" t="s">
        <v>1258</v>
      </c>
      <c r="M72" s="6" t="s">
        <v>1259</v>
      </c>
      <c r="N72" s="6" t="s">
        <v>1260</v>
      </c>
      <c r="O72" s="6" t="s">
        <v>1261</v>
      </c>
      <c r="P72" s="6" t="s">
        <v>1258</v>
      </c>
      <c r="Q72" s="7" t="s">
        <v>39</v>
      </c>
    </row>
    <row r="73">
      <c r="A73" s="3">
        <v>72.0</v>
      </c>
      <c r="B73" s="4" t="str">
        <f>IFERROR(__xludf.DUMMYFUNCTION("GOOGLETRANSLATE(K73, ""en"", ""bn"")"),"মাঝখানের নৌকায় নৌকাচালকের আনুমানিক সংখ্যা কত?")</f>
        <v>মাঝখানের নৌকায় নৌকাচালকের আনুমানিক সংখ্যা কত?</v>
      </c>
      <c r="C73" s="4" t="str">
        <f>IFERROR(__xludf.DUMMYFUNCTION("GOOGLETRANSLATE(L73, ""en"", ""bn"")"),"২০ এর কম")</f>
        <v>২০ এর কম</v>
      </c>
      <c r="D73" s="4" t="str">
        <f>IFERROR(__xludf.DUMMYFUNCTION("GOOGLETRANSLATE(M73, ""en"", ""bn"")"),"২০-৩০")</f>
        <v>২০-৩০</v>
      </c>
      <c r="E73" s="4" t="str">
        <f>IFERROR(__xludf.DUMMYFUNCTION("GOOGLETRANSLATE(N73, ""en"", ""bn"")"),"30-40")</f>
        <v>30-40</v>
      </c>
      <c r="F73" s="4" t="str">
        <f>IFERROR(__xludf.DUMMYFUNCTION("GOOGLETRANSLATE(O73, ""en"", ""bn"")"),"৪০ টিরও বেশি")</f>
        <v>৪০ টিরও বেশি</v>
      </c>
      <c r="G73" s="4" t="str">
        <f>IFERROR(__xludf.DUMMYFUNCTION("GOOGLETRANSLATE(P73, ""en"", ""bn"")"),"৪০ টিরও বেশি")</f>
        <v>৪০ টিরও বেশি</v>
      </c>
      <c r="H73" s="4" t="str">
        <f>IFERROR(__xludf.DUMMYFUNCTION("GOOGLETRANSLATE(Q73, ""en"", ""bn"")"),"ছবি3")</f>
        <v>ছবি3</v>
      </c>
      <c r="J73" s="5" t="str">
        <f>IFERROR(__xludf.DUMMYFUNCTION("GOOGLETRANSLATE(A73, ""bn"", ""en"")"),"72")</f>
        <v>72</v>
      </c>
      <c r="K73" s="6" t="s">
        <v>1262</v>
      </c>
      <c r="L73" s="6" t="s">
        <v>1263</v>
      </c>
      <c r="M73" s="6" t="s">
        <v>423</v>
      </c>
      <c r="N73" s="6" t="s">
        <v>424</v>
      </c>
      <c r="O73" s="6" t="s">
        <v>1264</v>
      </c>
      <c r="P73" s="6" t="s">
        <v>1264</v>
      </c>
      <c r="Q73" s="7" t="s">
        <v>39</v>
      </c>
    </row>
    <row r="74">
      <c r="A74" s="3">
        <v>73.0</v>
      </c>
      <c r="B74" s="4" t="str">
        <f>IFERROR(__xludf.DUMMYFUNCTION("GOOGLETRANSLATE(K74, ""en"", ""bn"")"),"অংশগ্রহণকারীদের দ্বারা পরিধান করা ইউনিফর্মের প্রধান রং কি?")</f>
        <v>অংশগ্রহণকারীদের দ্বারা পরিধান করা ইউনিফর্মের প্রধান রং কি?</v>
      </c>
      <c r="C74" s="4" t="str">
        <f>IFERROR(__xludf.DUMMYFUNCTION("GOOGLETRANSLATE(L74, ""en"", ""bn"")"),"হলুদ")</f>
        <v>হলুদ</v>
      </c>
      <c r="D74" s="4" t="str">
        <f>IFERROR(__xludf.DUMMYFUNCTION("GOOGLETRANSLATE(M74, ""en"", ""bn"")"),"কমলা")</f>
        <v>কমলা</v>
      </c>
      <c r="E74" s="4" t="str">
        <f>IFERROR(__xludf.DUMMYFUNCTION("GOOGLETRANSLATE(N74, ""en"", ""bn"")"),"নীল")</f>
        <v>নীল</v>
      </c>
      <c r="F74" s="4" t="str">
        <f>IFERROR(__xludf.DUMMYFUNCTION("GOOGLETRANSLATE(O74, ""en"", ""bn"")"),"সবুজ")</f>
        <v>সবুজ</v>
      </c>
      <c r="G74" s="4" t="str">
        <f>IFERROR(__xludf.DUMMYFUNCTION("GOOGLETRANSLATE(P74, ""en"", ""bn"")"),"কমলা")</f>
        <v>কমলা</v>
      </c>
      <c r="H74" s="4" t="str">
        <f>IFERROR(__xludf.DUMMYFUNCTION("GOOGLETRANSLATE(Q74, ""en"", ""bn"")"),"ছবি3")</f>
        <v>ছবি3</v>
      </c>
      <c r="J74" s="5" t="str">
        <f>IFERROR(__xludf.DUMMYFUNCTION("GOOGLETRANSLATE(A74, ""bn"", ""en"")"),"73")</f>
        <v>73</v>
      </c>
      <c r="K74" s="6" t="s">
        <v>1265</v>
      </c>
      <c r="L74" s="6" t="s">
        <v>287</v>
      </c>
      <c r="M74" s="6" t="s">
        <v>1266</v>
      </c>
      <c r="N74" s="6" t="s">
        <v>274</v>
      </c>
      <c r="O74" s="6" t="s">
        <v>272</v>
      </c>
      <c r="P74" s="6" t="s">
        <v>1266</v>
      </c>
      <c r="Q74" s="7" t="s">
        <v>39</v>
      </c>
    </row>
    <row r="75">
      <c r="A75" s="3">
        <v>74.0</v>
      </c>
      <c r="B75" s="4" t="str">
        <f>IFERROR(__xludf.DUMMYFUNCTION("GOOGLETRANSLATE(K75, ""en"", ""bn"")"),"কয়টি নৌকা দৃশ্যমানভাবে প্রতিযোগিতায় প্রতিদ্বন্দ্বিতা করছে?")</f>
        <v>কয়টি নৌকা দৃশ্যমানভাবে প্রতিযোগিতায় প্রতিদ্বন্দ্বিতা করছে?</v>
      </c>
      <c r="C75" s="4" t="str">
        <f>IFERROR(__xludf.DUMMYFUNCTION("GOOGLETRANSLATE(L75, ""en"", ""bn"")"),"2")</f>
        <v>2</v>
      </c>
      <c r="D75" s="4" t="str">
        <f>IFERROR(__xludf.DUMMYFUNCTION("GOOGLETRANSLATE(M75, ""en"", ""bn"")"),"3")</f>
        <v>3</v>
      </c>
      <c r="E75" s="4" t="str">
        <f>IFERROR(__xludf.DUMMYFUNCTION("GOOGLETRANSLATE(N75, ""en"", ""bn"")"),"৪")</f>
        <v>৪</v>
      </c>
      <c r="F75" s="4" t="str">
        <f>IFERROR(__xludf.DUMMYFUNCTION("GOOGLETRANSLATE(O75, ""en"", ""bn"")"),"৫")</f>
        <v>৫</v>
      </c>
      <c r="G75" s="4" t="str">
        <f>IFERROR(__xludf.DUMMYFUNCTION("GOOGLETRANSLATE(P75, ""en"", ""bn"")"),"3")</f>
        <v>3</v>
      </c>
      <c r="H75" s="4" t="str">
        <f>IFERROR(__xludf.DUMMYFUNCTION("GOOGLETRANSLATE(Q75, ""en"", ""bn"")"),"ছবি3")</f>
        <v>ছবি3</v>
      </c>
      <c r="J75" s="5" t="str">
        <f>IFERROR(__xludf.DUMMYFUNCTION("GOOGLETRANSLATE(A75, ""bn"", ""en"")"),"74")</f>
        <v>74</v>
      </c>
      <c r="K75" s="6" t="s">
        <v>1267</v>
      </c>
      <c r="L75" s="6">
        <v>2.0</v>
      </c>
      <c r="M75" s="6">
        <v>3.0</v>
      </c>
      <c r="N75" s="6">
        <v>4.0</v>
      </c>
      <c r="O75" s="6">
        <v>5.0</v>
      </c>
      <c r="P75" s="6">
        <v>3.0</v>
      </c>
      <c r="Q75" s="7" t="s">
        <v>39</v>
      </c>
    </row>
    <row r="76">
      <c r="A76" s="3">
        <v>75.0</v>
      </c>
      <c r="B76" s="4" t="str">
        <f>IFERROR(__xludf.DUMMYFUNCTION("GOOGLETRANSLATE(K76, ""en"", ""bn"")"),"নৌকার নকশার প্রাথমিক বৈশিষ্ট্য কী?")</f>
        <v>নৌকার নকশার প্রাথমিক বৈশিষ্ট্য কী?</v>
      </c>
      <c r="C76" s="4" t="str">
        <f>IFERROR(__xludf.DUMMYFUNCTION("GOOGLETRANSLATE(L76, ""en"", ""bn"")"),"ছোট এবং প্রশস্ত")</f>
        <v>ছোট এবং প্রশস্ত</v>
      </c>
      <c r="D76" s="4" t="str">
        <f>IFERROR(__xludf.DUMMYFUNCTION("GOOGLETRANSLATE(M76, ""en"", ""bn"")"),"গোলাকার এবং সমতল")</f>
        <v>গোলাকার এবং সমতল</v>
      </c>
      <c r="E76" s="4" t="str">
        <f>IFERROR(__xludf.DUMMYFUNCTION("GOOGLETRANSLATE(N76, ""en"", ""bn"")"),"লম্বা এবং সরু")</f>
        <v>লম্বা এবং সরু</v>
      </c>
      <c r="F76" s="4" t="str">
        <f>IFERROR(__xludf.DUMMYFUNCTION("GOOGLETRANSLATE(O76, ""en"", ""bn"")"),"বর্গাকার এবং ভারী")</f>
        <v>বর্গাকার এবং ভারী</v>
      </c>
      <c r="G76" s="4" t="str">
        <f>IFERROR(__xludf.DUMMYFUNCTION("GOOGLETRANSLATE(P76, ""en"", ""bn"")"),"লম্বা এবং সরু")</f>
        <v>লম্বা এবং সরু</v>
      </c>
      <c r="H76" s="4" t="str">
        <f>IFERROR(__xludf.DUMMYFUNCTION("GOOGLETRANSLATE(Q76, ""en"", ""bn"")"),"ছবি3")</f>
        <v>ছবি3</v>
      </c>
      <c r="J76" s="5" t="str">
        <f>IFERROR(__xludf.DUMMYFUNCTION("GOOGLETRANSLATE(A76, ""bn"", ""en"")"),"75")</f>
        <v>75</v>
      </c>
      <c r="K76" s="6" t="s">
        <v>1268</v>
      </c>
      <c r="L76" s="6" t="s">
        <v>1269</v>
      </c>
      <c r="M76" s="6" t="s">
        <v>1270</v>
      </c>
      <c r="N76" s="6" t="s">
        <v>1271</v>
      </c>
      <c r="O76" s="6" t="s">
        <v>1272</v>
      </c>
      <c r="P76" s="6" t="s">
        <v>1271</v>
      </c>
      <c r="Q76" s="7" t="s">
        <v>39</v>
      </c>
    </row>
    <row r="77">
      <c r="A77" s="3">
        <v>76.0</v>
      </c>
      <c r="B77" s="4" t="str">
        <f>IFERROR(__xludf.DUMMYFUNCTION("GOOGLETRANSLATE(K77, ""en"", ""bn"")"),"পানির রঙের উপর ভিত্তি করে কী অনুমান করা যায়?")</f>
        <v>পানির রঙের উপর ভিত্তি করে কী অনুমান করা যায়?</v>
      </c>
      <c r="C77" s="4" t="str">
        <f>IFERROR(__xludf.DUMMYFUNCTION("GOOGLETRANSLATE(L77, ""en"", ""bn"")"),"এটি একটি স্বচ্ছ, অগভীর নদী")</f>
        <v>এটি একটি স্বচ্ছ, অগভীর নদী</v>
      </c>
      <c r="D77" s="4" t="str">
        <f>IFERROR(__xludf.DUMMYFUNCTION("GOOGLETRANSLATE(M77, ""en"", ""bn"")"),"এটি একটি পরিষ্কার, গভীর হ্রদ।")</f>
        <v>এটি একটি পরিষ্কার, গভীর হ্রদ।</v>
      </c>
      <c r="E77" s="4" t="str">
        <f>IFERROR(__xludf.DUMMYFUNCTION("GOOGLETRANSLATE(N77, ""en"", ""bn"")"),"এটা কর্দমাক্ত নদী,")</f>
        <v>এটা কর্দমাক্ত নদী,</v>
      </c>
      <c r="F77" s="4" t="str">
        <f>IFERROR(__xludf.DUMMYFUNCTION("GOOGLETRANSLATE(O77, ""en"", ""bn"")"),"এটি একটি দূষিত খাল।")</f>
        <v>এটি একটি দূষিত খাল।</v>
      </c>
      <c r="G77" s="4" t="str">
        <f>IFERROR(__xludf.DUMMYFUNCTION("GOOGLETRANSLATE(P77, ""en"", ""bn"")"),"এটা কর্দমাক্ত নদী,")</f>
        <v>এটা কর্দমাক্ত নদী,</v>
      </c>
      <c r="H77" s="4" t="str">
        <f>IFERROR(__xludf.DUMMYFUNCTION("GOOGLETRANSLATE(Q77, ""en"", ""bn"")"),"ছবি3")</f>
        <v>ছবি3</v>
      </c>
      <c r="J77" s="5" t="str">
        <f>IFERROR(__xludf.DUMMYFUNCTION("GOOGLETRANSLATE(A77, ""bn"", ""en"")"),"76")</f>
        <v>76</v>
      </c>
      <c r="K77" s="6" t="s">
        <v>1273</v>
      </c>
      <c r="L77" s="6" t="s">
        <v>1274</v>
      </c>
      <c r="M77" s="6" t="s">
        <v>1275</v>
      </c>
      <c r="N77" s="6" t="s">
        <v>1276</v>
      </c>
      <c r="O77" s="6" t="s">
        <v>1277</v>
      </c>
      <c r="P77" s="6" t="s">
        <v>1276</v>
      </c>
      <c r="Q77" s="7" t="s">
        <v>39</v>
      </c>
    </row>
    <row r="78">
      <c r="A78" s="3">
        <v>77.0</v>
      </c>
      <c r="B78" s="4" t="str">
        <f>IFERROR(__xludf.DUMMYFUNCTION("GOOGLETRANSLATE(K78, ""en"", ""bn"")"),"প্রতিটি নৌকার সামনে দাঁড়িয়ে থাকা ব্যক্তির ভূমিকা কী?")</f>
        <v>প্রতিটি নৌকার সামনে দাঁড়িয়ে থাকা ব্যক্তির ভূমিকা কী?</v>
      </c>
      <c r="C78" s="4" t="str">
        <f>IFERROR(__xludf.DUMMYFUNCTION("GOOGLETRANSLATE(L78, ""en"", ""bn"")"),"ওয়ার দিয়ে নৌকা চালাতে")</f>
        <v>ওয়ার দিয়ে নৌকা চালাতে</v>
      </c>
      <c r="D78" s="4" t="str">
        <f>IFERROR(__xludf.DUMMYFUNCTION("GOOGLETRANSLATE(M78, ""en"", ""bn"")"),"পাহারাদার হিসেবে কাজ করা")</f>
        <v>পাহারাদার হিসেবে কাজ করা</v>
      </c>
      <c r="E78" s="4" t="str">
        <f>IFERROR(__xludf.DUMMYFUNCTION("GOOGLETRANSLATE(N78, ""en"", ""bn"")"),"অন্য নৌকাগুলোকে সংকেত দিতে")</f>
        <v>অন্য নৌকাগুলোকে সংকেত দিতে</v>
      </c>
      <c r="F78" s="4" t="str">
        <f>IFERROR(__xludf.DUMMYFUNCTION("GOOGLETRANSLATE(O78, ""en"", ""bn"")"),"তালের জন্য ঢোল বাজানো")</f>
        <v>তালের জন্য ঢোল বাজানো</v>
      </c>
      <c r="G78" s="4" t="str">
        <f>IFERROR(__xludf.DUMMYFUNCTION("GOOGLETRANSLATE(P78, ""en"", ""bn"")"),"তালের জন্য ঢোল বাজানো")</f>
        <v>তালের জন্য ঢোল বাজানো</v>
      </c>
      <c r="H78" s="4" t="str">
        <f>IFERROR(__xludf.DUMMYFUNCTION("GOOGLETRANSLATE(Q78, ""en"", ""bn"")"),"ছবি3")</f>
        <v>ছবি3</v>
      </c>
      <c r="J78" s="5" t="str">
        <f>IFERROR(__xludf.DUMMYFUNCTION("GOOGLETRANSLATE(A78, ""bn"", ""en"")"),"77")</f>
        <v>77</v>
      </c>
      <c r="K78" s="6" t="s">
        <v>1278</v>
      </c>
      <c r="L78" s="6" t="s">
        <v>1279</v>
      </c>
      <c r="M78" s="6" t="s">
        <v>1218</v>
      </c>
      <c r="N78" s="6" t="s">
        <v>1280</v>
      </c>
      <c r="O78" s="6" t="s">
        <v>1281</v>
      </c>
      <c r="P78" s="6" t="s">
        <v>1281</v>
      </c>
      <c r="Q78" s="7" t="s">
        <v>39</v>
      </c>
      <c r="R78" s="18"/>
    </row>
    <row r="79">
      <c r="A79" s="3">
        <v>78.0</v>
      </c>
      <c r="B79" s="4" t="str">
        <f>IFERROR(__xludf.DUMMYFUNCTION("GOOGLETRANSLATE(K79, ""en"", ""bn"")"),"নৌকাচালকরা তাদের সুরের সুরে সুর মেলানোর জন্য যে লোকগান গায়, তার একটি সাধারণ নাম কী?")</f>
        <v>নৌকাচালকরা তাদের সুরের সুরে সুর মেলানোর জন্য যে লোকগান গায়, তার একটি সাধারণ নাম কী?</v>
      </c>
      <c r="C79" s="4" t="str">
        <f>IFERROR(__xludf.DUMMYFUNCTION("GOOGLETRANSLATE(L79, ""en"", ""bn"")"),"বাউল গান")</f>
        <v>বাউল গান</v>
      </c>
      <c r="D79" s="4" t="str">
        <f>IFERROR(__xludf.DUMMYFUNCTION("GOOGLETRANSLATE(M79, ""en"", ""bn"")"),"শাড়ি গান")</f>
        <v>শাড়ি গান</v>
      </c>
      <c r="E79" s="4" t="str">
        <f>IFERROR(__xludf.DUMMYFUNCTION("GOOGLETRANSLATE(N79, ""en"", ""bn"")"),"লালন গিট")</f>
        <v>লালন গিট</v>
      </c>
      <c r="F79" s="4" t="str">
        <f>IFERROR(__xludf.DUMMYFUNCTION("GOOGLETRANSLATE(O79, ""en"", ""bn"")"),"ধ্রুপদী")</f>
        <v>ধ্রুপদী</v>
      </c>
      <c r="G79" s="4" t="str">
        <f>IFERROR(__xludf.DUMMYFUNCTION("GOOGLETRANSLATE(P79, ""en"", ""bn"")"),"শাড়ি গান")</f>
        <v>শাড়ি গান</v>
      </c>
      <c r="H79" s="4" t="str">
        <f>IFERROR(__xludf.DUMMYFUNCTION("GOOGLETRANSLATE(Q79, ""en"", ""bn"")"),"ছবি3")</f>
        <v>ছবি3</v>
      </c>
      <c r="J79" s="5" t="str">
        <f>IFERROR(__xludf.DUMMYFUNCTION("GOOGLETRANSLATE(A79, ""bn"", ""en"")"),"78")</f>
        <v>78</v>
      </c>
      <c r="K79" s="6" t="s">
        <v>1282</v>
      </c>
      <c r="L79" s="6" t="s">
        <v>1253</v>
      </c>
      <c r="M79" s="6" t="s">
        <v>1254</v>
      </c>
      <c r="N79" s="6" t="s">
        <v>1255</v>
      </c>
      <c r="O79" s="6" t="s">
        <v>1256</v>
      </c>
      <c r="P79" s="6" t="s">
        <v>1254</v>
      </c>
      <c r="Q79" s="7" t="s">
        <v>39</v>
      </c>
    </row>
    <row r="80">
      <c r="A80" s="3">
        <v>79.0</v>
      </c>
      <c r="B80" s="4" t="str">
        <f>IFERROR(__xludf.DUMMYFUNCTION("GOOGLETRANSLATE(K80, ""en"", ""bn"")"),"অংশগ্রহণকারীরা নৌকা চালানোর জন্য কোন হাতিয়ার ব্যবহার করছে?")</f>
        <v>অংশগ্রহণকারীরা নৌকা চালানোর জন্য কোন হাতিয়ার ব্যবহার করছে?</v>
      </c>
      <c r="C80" s="4" t="str">
        <f>IFERROR(__xludf.DUMMYFUNCTION("GOOGLETRANSLATE(L80, ""en"", ""bn"")"),"দাঁড়")</f>
        <v>দাঁড়</v>
      </c>
      <c r="D80" s="4" t="str">
        <f>IFERROR(__xludf.DUMMYFUNCTION("GOOGLETRANSLATE(M80, ""en"", ""bn"")"),"প্যাডেল")</f>
        <v>প্যাডেল</v>
      </c>
      <c r="E80" s="4" t="str">
        <f>IFERROR(__xludf.DUMMYFUNCTION("GOOGLETRANSLATE(N80, ""en"", ""bn"")"),"খুঁটি")</f>
        <v>খুঁটি</v>
      </c>
      <c r="F80" s="4" t="str">
        <f>IFERROR(__xludf.DUMMYFUNCTION("GOOGLETRANSLATE(O80, ""en"", ""bn"")"),"মোটর")</f>
        <v>মোটর</v>
      </c>
      <c r="G80" s="4" t="str">
        <f>IFERROR(__xludf.DUMMYFUNCTION("GOOGLETRANSLATE(P80, ""en"", ""bn"")"),"দাঁড়")</f>
        <v>দাঁড়</v>
      </c>
      <c r="H80" s="4" t="str">
        <f>IFERROR(__xludf.DUMMYFUNCTION("GOOGLETRANSLATE(Q80, ""en"", ""bn"")"),"ছবি3")</f>
        <v>ছবি3</v>
      </c>
      <c r="J80" s="5" t="str">
        <f>IFERROR(__xludf.DUMMYFUNCTION("GOOGLETRANSLATE(A80, ""bn"", ""en"")"),"79")</f>
        <v>79</v>
      </c>
      <c r="K80" s="6" t="s">
        <v>1283</v>
      </c>
      <c r="L80" s="6" t="s">
        <v>1165</v>
      </c>
      <c r="M80" s="6" t="s">
        <v>1162</v>
      </c>
      <c r="N80" s="6" t="s">
        <v>1284</v>
      </c>
      <c r="O80" s="6" t="s">
        <v>1285</v>
      </c>
      <c r="P80" s="6" t="s">
        <v>1165</v>
      </c>
      <c r="Q80" s="7" t="s">
        <v>39</v>
      </c>
    </row>
    <row r="81">
      <c r="A81" s="3">
        <v>80.0</v>
      </c>
      <c r="B81" s="4" t="str">
        <f>IFERROR(__xludf.DUMMYFUNCTION("GOOGLETRANSLATE(K81, ""en"", ""bn"")"),"নৌকাগুলির বিন্যাস প্রতিযোগিতা সম্পর্কে কী ইঙ্গিত দেয়?")</f>
        <v>নৌকাগুলির বিন্যাস প্রতিযোগিতা সম্পর্কে কী ইঙ্গিত দেয়?</v>
      </c>
      <c r="C81" s="4" t="str">
        <f>IFERROR(__xludf.DUMMYFUNCTION("GOOGLETRANSLATE(L81, ""en"", ""bn"")"),"নিরাপত্তার জন্য তাদের আলাদা করে রাখা হয়েছে")</f>
        <v>নিরাপত্তার জন্য তাদের আলাদা করে রাখা হয়েছে</v>
      </c>
      <c r="D81" s="4" t="str">
        <f>IFERROR(__xludf.DUMMYFUNCTION("GOOGLETRANSLATE(M81,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E81" s="4" t="str">
        <f>IFERROR(__xludf.DUMMYFUNCTION("GOOGLETRANSLATE(N81, ""en"", ""bn"")"),"তারা একসাথে মজা করার জন্য ভ্রমণ করছে")</f>
        <v>তারা একসাথে মজা করার জন্য ভ্রমণ করছে</v>
      </c>
      <c r="F81" s="4" t="str">
        <f>IFERROR(__xludf.DUMMYFUNCTION("GOOGLETRANSLATE(O81, ""en"", ""bn"")"),"তারা শুরু করার জন্য প্রস্তুত হচ্ছে")</f>
        <v>তারা শুরু করার জন্য প্রস্তুত হচ্ছে</v>
      </c>
      <c r="G81" s="4" t="str">
        <f>IFERROR(__xludf.DUMMYFUNCTION("GOOGLETRANSLATE(P81,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H81" s="4" t="str">
        <f>IFERROR(__xludf.DUMMYFUNCTION("GOOGLETRANSLATE(Q81, ""en"", ""bn"")"),"ছবি3")</f>
        <v>ছবি3</v>
      </c>
      <c r="J81" s="5" t="str">
        <f>IFERROR(__xludf.DUMMYFUNCTION("GOOGLETRANSLATE(A81, ""bn"", ""en"")"),"80")</f>
        <v>80</v>
      </c>
      <c r="K81" s="6" t="s">
        <v>1286</v>
      </c>
      <c r="L81" s="6" t="s">
        <v>1287</v>
      </c>
      <c r="M81" s="6" t="s">
        <v>1288</v>
      </c>
      <c r="N81" s="6" t="s">
        <v>1289</v>
      </c>
      <c r="O81" s="6" t="s">
        <v>1290</v>
      </c>
      <c r="P81" s="6" t="s">
        <v>1288</v>
      </c>
      <c r="Q81" s="7" t="s">
        <v>39</v>
      </c>
    </row>
    <row r="82">
      <c r="A82" s="3">
        <v>81.0</v>
      </c>
      <c r="B82" s="4" t="str">
        <f>IFERROR(__xludf.DUMMYFUNCTION("GOOGLETRANSLATE(K82, ""en"", ""bn"")"),"ছবিতে নৌকার প্রধান বৈশিষ্ট্য কী?")</f>
        <v>ছবিতে নৌকার প্রধান বৈশিষ্ট্য কী?</v>
      </c>
      <c r="C82" s="4" t="str">
        <f>IFERROR(__xludf.DUMMYFUNCTION("GOOGLETRANSLATE(L82, ""en"", ""bn"")"),"তারা ছোট এবং প্রশস্ত হয়")</f>
        <v>তারা ছোট এবং প্রশস্ত হয়</v>
      </c>
      <c r="D82" s="4" t="str">
        <f>IFERROR(__xludf.DUMMYFUNCTION("GOOGLETRANSLATE(M82, ""en"", ""bn"")"),"এগুলো লম্বা এবং সরু")</f>
        <v>এগুলো লম্বা এবং সরু</v>
      </c>
      <c r="E82" s="4" t="str">
        <f>IFERROR(__xludf.DUMMYFUNCTION("GOOGLETRANSLATE(N82, ""en"", ""bn"")"),"তাদের মোটর আছে")</f>
        <v>তাদের মোটর আছে</v>
      </c>
      <c r="F82" s="4" t="str">
        <f>IFERROR(__xludf.DUMMYFUNCTION("GOOGLETRANSLATE(O82, ""en"", ""bn"")"),"ওরা পালতোলা নৌকা।")</f>
        <v>ওরা পালতোলা নৌকা।</v>
      </c>
      <c r="G82" s="4" t="str">
        <f>IFERROR(__xludf.DUMMYFUNCTION("GOOGLETRANSLATE(P82, ""en"", ""bn"")"),"এগুলো লম্বা এবং সরু")</f>
        <v>এগুলো লম্বা এবং সরু</v>
      </c>
      <c r="H82" s="4" t="str">
        <f>IFERROR(__xludf.DUMMYFUNCTION("GOOGLETRANSLATE(Q82, ""en"", ""bn"")"),"ছবি4")</f>
        <v>ছবি4</v>
      </c>
      <c r="J82" s="5" t="str">
        <f>IFERROR(__xludf.DUMMYFUNCTION("GOOGLETRANSLATE(A82, ""bn"", ""en"")"),"81")</f>
        <v>81</v>
      </c>
      <c r="K82" s="16" t="s">
        <v>1207</v>
      </c>
      <c r="L82" s="16" t="s">
        <v>1208</v>
      </c>
      <c r="M82" s="16" t="s">
        <v>1209</v>
      </c>
      <c r="N82" s="16" t="s">
        <v>1291</v>
      </c>
      <c r="O82" s="16" t="s">
        <v>1211</v>
      </c>
      <c r="P82" s="16" t="s">
        <v>1209</v>
      </c>
      <c r="Q82" s="7" t="s">
        <v>46</v>
      </c>
    </row>
    <row r="83">
      <c r="A83" s="3">
        <v>82.0</v>
      </c>
      <c r="B83" s="4" t="str">
        <f>IFERROR(__xludf.DUMMYFUNCTION("GOOGLETRANSLATE(K83, ""en"", ""bn"")"),"অগ্রভাগের নৌকায় rowers এর পোশাক কি?")</f>
        <v>অগ্রভাগের নৌকায় rowers এর পোশাক কি?</v>
      </c>
      <c r="C83" s="4" t="str">
        <f>IFERROR(__xludf.DUMMYFUNCTION("GOOGLETRANSLATE(L83, ""en"", ""bn"")"),"কালো শার্ট")</f>
        <v>কালো শার্ট</v>
      </c>
      <c r="D83" s="4" t="str">
        <f>IFERROR(__xludf.DUMMYFUNCTION("GOOGLETRANSLATE(M83, ""en"", ""bn"")"),"সবুজ এবং সাদা শার্ট")</f>
        <v>সবুজ এবং সাদা শার্ট</v>
      </c>
      <c r="E83" s="4" t="str">
        <f>IFERROR(__xludf.DUMMYFUNCTION("GOOGLETRANSLATE(N83, ""en"", ""bn"")"),"সবুজ শার্ট এবং নীল শর্টস")</f>
        <v>সবুজ শার্ট এবং নীল শর্টস</v>
      </c>
      <c r="F83" s="4" t="str">
        <f>IFERROR(__xludf.DUMMYFUNCTION("GOOGLETRANSLATE(O83, ""en"", ""bn"")"),"ঐতিহ্যবাহী লম্বা পোশাক")</f>
        <v>ঐতিহ্যবাহী লম্বা পোশাক</v>
      </c>
      <c r="G83" s="4" t="str">
        <f>IFERROR(__xludf.DUMMYFUNCTION("GOOGLETRANSLATE(P83, ""en"", ""bn"")"),"সবুজ শার্ট এবং নীল শর্টস")</f>
        <v>সবুজ শার্ট এবং নীল শর্টস</v>
      </c>
      <c r="H83" s="4" t="str">
        <f>IFERROR(__xludf.DUMMYFUNCTION("GOOGLETRANSLATE(Q83, ""en"", ""bn"")"),"ছবি4")</f>
        <v>ছবি4</v>
      </c>
      <c r="J83" s="5" t="str">
        <f>IFERROR(__xludf.DUMMYFUNCTION("GOOGLETRANSLATE(A83, ""bn"", ""en"")"),"82")</f>
        <v>82</v>
      </c>
      <c r="K83" s="16" t="s">
        <v>1212</v>
      </c>
      <c r="L83" s="16" t="s">
        <v>1292</v>
      </c>
      <c r="M83" s="16" t="s">
        <v>1293</v>
      </c>
      <c r="N83" s="16" t="s">
        <v>1294</v>
      </c>
      <c r="O83" s="16" t="s">
        <v>1216</v>
      </c>
      <c r="P83" s="16" t="s">
        <v>1294</v>
      </c>
      <c r="Q83" s="7" t="s">
        <v>46</v>
      </c>
    </row>
    <row r="84">
      <c r="A84" s="3">
        <v>83.0</v>
      </c>
      <c r="B84" s="4" t="str">
        <f>IFERROR(__xludf.DUMMYFUNCTION("GOOGLETRANSLATE(K84, ""en"", ""bn"")"),"সামনের দিকে নৌকায় নৌকাচালকের আনুমানিক সংখ্যা কত?")</f>
        <v>সামনের দিকে নৌকায় নৌকাচালকের আনুমানিক সংখ্যা কত?</v>
      </c>
      <c r="C84" s="4" t="str">
        <f>IFERROR(__xludf.DUMMYFUNCTION("GOOGLETRANSLATE(L84, ""en"", ""bn"")"),"10")</f>
        <v>10</v>
      </c>
      <c r="D84" s="4" t="str">
        <f>IFERROR(__xludf.DUMMYFUNCTION("GOOGLETRANSLATE(M84, ""en"", ""bn"")"),"20")</f>
        <v>20</v>
      </c>
      <c r="E84" s="4" t="str">
        <f>IFERROR(__xludf.DUMMYFUNCTION("GOOGLETRANSLATE(N84, ""en"", ""bn"")"),"30")</f>
        <v>30</v>
      </c>
      <c r="F84" s="4" t="str">
        <f>IFERROR(__xludf.DUMMYFUNCTION("GOOGLETRANSLATE(O84, ""en"", ""bn"")"),"৪০")</f>
        <v>৪০</v>
      </c>
      <c r="G84" s="4" t="str">
        <f>IFERROR(__xludf.DUMMYFUNCTION("GOOGLETRANSLATE(P84, ""en"", ""bn"")"),"10")</f>
        <v>10</v>
      </c>
      <c r="H84" s="4" t="str">
        <f>IFERROR(__xludf.DUMMYFUNCTION("GOOGLETRANSLATE(Q84, ""en"", ""bn"")"),"ছবি4")</f>
        <v>ছবি4</v>
      </c>
      <c r="J84" s="5" t="str">
        <f>IFERROR(__xludf.DUMMYFUNCTION("GOOGLETRANSLATE(A84, ""bn"", ""en"")"),"83")</f>
        <v>83</v>
      </c>
      <c r="K84" s="16" t="s">
        <v>1295</v>
      </c>
      <c r="L84" s="16">
        <v>10.0</v>
      </c>
      <c r="M84" s="16">
        <v>20.0</v>
      </c>
      <c r="N84" s="16">
        <v>30.0</v>
      </c>
      <c r="O84" s="16">
        <v>40.0</v>
      </c>
      <c r="P84" s="16">
        <v>10.0</v>
      </c>
      <c r="Q84" s="7" t="s">
        <v>46</v>
      </c>
    </row>
    <row r="85">
      <c r="A85" s="3">
        <v>84.0</v>
      </c>
      <c r="B85" s="4" t="str">
        <f>IFERROR(__xludf.DUMMYFUNCTION("GOOGLETRANSLATE(K85, ""en"", ""bn"")"),"চিত্রে নদী সেটিং কি ধরনের চিত্রিত করা হয়েছে?")</f>
        <v>চিত্রে নদী সেটিং কি ধরনের চিত্রিত করা হয়েছে?</v>
      </c>
      <c r="C85" s="4" t="str">
        <f>IFERROR(__xludf.DUMMYFUNCTION("GOOGLETRANSLATE(L85, ""en"", ""bn"")"),"একটা ছোট খাঁড়ি")</f>
        <v>একটা ছোট খাঁড়ি</v>
      </c>
      <c r="D85" s="4" t="str">
        <f>IFERROR(__xludf.DUMMYFUNCTION("GOOGLETRANSLATE(M85, ""en"", ""bn"")"),"প্রশস্ত, ব্যস্ত নদী")</f>
        <v>প্রশস্ত, ব্যস্ত নদী</v>
      </c>
      <c r="E85" s="4" t="str">
        <f>IFERROR(__xludf.DUMMYFUNCTION("GOOGLETRANSLATE(N85, ""en"", ""bn"")"),"একটি শুকনো নদীর ঘাট")</f>
        <v>একটি শুকনো নদীর ঘাট</v>
      </c>
      <c r="F85" s="4" t="str">
        <f>IFERROR(__xludf.DUMMYFUNCTION("GOOGLETRANSLATE(O85, ""en"", ""bn"")"),"পাহাড়ি স্রোত")</f>
        <v>পাহাড়ি স্রোত</v>
      </c>
      <c r="G85" s="4" t="str">
        <f>IFERROR(__xludf.DUMMYFUNCTION("GOOGLETRANSLATE(P85, ""en"", ""bn"")"),"প্রশস্ত, ব্যস্ত নদী")</f>
        <v>প্রশস্ত, ব্যস্ত নদী</v>
      </c>
      <c r="H85" s="4" t="str">
        <f>IFERROR(__xludf.DUMMYFUNCTION("GOOGLETRANSLATE(Q85, ""en"", ""bn"")"),"ছবি4")</f>
        <v>ছবি4</v>
      </c>
      <c r="J85" s="5" t="str">
        <f>IFERROR(__xludf.DUMMYFUNCTION("GOOGLETRANSLATE(A85, ""bn"", ""en"")"),"84")</f>
        <v>84</v>
      </c>
      <c r="K85" s="16" t="s">
        <v>1232</v>
      </c>
      <c r="L85" s="16" t="s">
        <v>1233</v>
      </c>
      <c r="M85" s="16" t="s">
        <v>1234</v>
      </c>
      <c r="N85" s="16" t="s">
        <v>1235</v>
      </c>
      <c r="O85" s="16" t="s">
        <v>1236</v>
      </c>
      <c r="P85" s="16" t="s">
        <v>1234</v>
      </c>
      <c r="Q85" s="7" t="s">
        <v>46</v>
      </c>
    </row>
    <row r="86">
      <c r="A86" s="3">
        <v>85.0</v>
      </c>
      <c r="B86" s="4" t="str">
        <f>IFERROR(__xludf.DUMMYFUNCTION("GOOGLETRANSLATE(K86, ""en"", ""bn"")"),"কয়টি নৌকা দৃশ্যমানভাবে প্রতিযোগিতায় প্রতিদ্বন্দ্বিতা করছে?")</f>
        <v>কয়টি নৌকা দৃশ্যমানভাবে প্রতিযোগিতায় প্রতিদ্বন্দ্বিতা করছে?</v>
      </c>
      <c r="C86" s="4" t="str">
        <f>IFERROR(__xludf.DUMMYFUNCTION("GOOGLETRANSLATE(L86, ""en"", ""bn"")"),"2")</f>
        <v>2</v>
      </c>
      <c r="D86" s="4" t="str">
        <f>IFERROR(__xludf.DUMMYFUNCTION("GOOGLETRANSLATE(M86, ""en"", ""bn"")"),"3")</f>
        <v>3</v>
      </c>
      <c r="E86" s="4" t="str">
        <f>IFERROR(__xludf.DUMMYFUNCTION("GOOGLETRANSLATE(N86, ""en"", ""bn"")"),"৪")</f>
        <v>৪</v>
      </c>
      <c r="F86" s="4" t="str">
        <f>IFERROR(__xludf.DUMMYFUNCTION("GOOGLETRANSLATE(O86, ""en"", ""bn"")"),"৫")</f>
        <v>৫</v>
      </c>
      <c r="G86" s="4" t="str">
        <f>IFERROR(__xludf.DUMMYFUNCTION("GOOGLETRANSLATE(P86, ""en"", ""bn"")"),"৫")</f>
        <v>৫</v>
      </c>
      <c r="H86" s="4" t="str">
        <f>IFERROR(__xludf.DUMMYFUNCTION("GOOGLETRANSLATE(Q86, ""en"", ""bn"")"),"ছবি4")</f>
        <v>ছবি4</v>
      </c>
      <c r="J86" s="5" t="str">
        <f>IFERROR(__xludf.DUMMYFUNCTION("GOOGLETRANSLATE(A86, ""bn"", ""en"")"),"85")</f>
        <v>85</v>
      </c>
      <c r="K86" s="16" t="s">
        <v>1267</v>
      </c>
      <c r="L86" s="16">
        <v>2.0</v>
      </c>
      <c r="M86" s="16">
        <v>3.0</v>
      </c>
      <c r="N86" s="16">
        <v>4.0</v>
      </c>
      <c r="O86" s="16">
        <v>5.0</v>
      </c>
      <c r="P86" s="16">
        <v>5.0</v>
      </c>
      <c r="Q86" s="7" t="s">
        <v>46</v>
      </c>
    </row>
    <row r="87">
      <c r="A87" s="3">
        <v>86.0</v>
      </c>
      <c r="B87" s="4" t="str">
        <f>IFERROR(__xludf.DUMMYFUNCTION("GOOGLETRANSLATE(K87, ""en"", ""bn"")"),"পানির রঙের উপর ভিত্তি করে কী অনুমান করা যায়?")</f>
        <v>পানির রঙের উপর ভিত্তি করে কী অনুমান করা যায়?</v>
      </c>
      <c r="C87" s="4" t="str">
        <f>IFERROR(__xludf.DUMMYFUNCTION("GOOGLETRANSLATE(L87, ""en"", ""bn"")"),"এটি একটি স্বচ্ছ, অগভীর নদী")</f>
        <v>এটি একটি স্বচ্ছ, অগভীর নদী</v>
      </c>
      <c r="D87" s="4" t="str">
        <f>IFERROR(__xludf.DUMMYFUNCTION("GOOGLETRANSLATE(M87, ""en"", ""bn"")"),"এটি একটি পরিষ্কার, গভীর হ্রদ।")</f>
        <v>এটি একটি পরিষ্কার, গভীর হ্রদ।</v>
      </c>
      <c r="E87" s="4" t="str">
        <f>IFERROR(__xludf.DUMMYFUNCTION("GOOGLETRANSLATE(N87, ""en"", ""bn"")"),"এটা কর্দমাক্ত নদী,")</f>
        <v>এটা কর্দমাক্ত নদী,</v>
      </c>
      <c r="F87" s="4" t="str">
        <f>IFERROR(__xludf.DUMMYFUNCTION("GOOGLETRANSLATE(O87, ""en"", ""bn"")"),"এটি একটি দূষিত খাল।")</f>
        <v>এটি একটি দূষিত খাল।</v>
      </c>
      <c r="G87" s="4" t="str">
        <f>IFERROR(__xludf.DUMMYFUNCTION("GOOGLETRANSLATE(P87, ""en"", ""bn"")"),"এটা কর্দমাক্ত নদী,")</f>
        <v>এটা কর্দমাক্ত নদী,</v>
      </c>
      <c r="H87" s="4" t="str">
        <f>IFERROR(__xludf.DUMMYFUNCTION("GOOGLETRANSLATE(Q87, ""en"", ""bn"")"),"ছবি4")</f>
        <v>ছবি4</v>
      </c>
      <c r="J87" s="5" t="str">
        <f>IFERROR(__xludf.DUMMYFUNCTION("GOOGLETRANSLATE(A87, ""bn"", ""en"")"),"86")</f>
        <v>86</v>
      </c>
      <c r="K87" s="16" t="s">
        <v>1273</v>
      </c>
      <c r="L87" s="16" t="s">
        <v>1274</v>
      </c>
      <c r="M87" s="16" t="s">
        <v>1275</v>
      </c>
      <c r="N87" s="16" t="s">
        <v>1276</v>
      </c>
      <c r="O87" s="16" t="s">
        <v>1277</v>
      </c>
      <c r="P87" s="16" t="s">
        <v>1276</v>
      </c>
      <c r="Q87" s="7" t="s">
        <v>46</v>
      </c>
    </row>
    <row r="88">
      <c r="A88" s="3">
        <v>87.0</v>
      </c>
      <c r="B88" s="4" t="str">
        <f>IFERROR(__xludf.DUMMYFUNCTION("GOOGLETRANSLATE(K88, ""en"", ""bn"")"),"প্রতিটি নৌকার মাঝখানে দাঁড়িয়ে থাকা ব্যক্তির ভূমিকা কী?")</f>
        <v>প্রতিটি নৌকার মাঝখানে দাঁড়িয়ে থাকা ব্যক্তির ভূমিকা কী?</v>
      </c>
      <c r="C88" s="4" t="str">
        <f>IFERROR(__xludf.DUMMYFUNCTION("GOOGLETRANSLATE(L88, ""en"", ""bn"")"),"ওয়ার দিয়ে নৌকা চালাতে")</f>
        <v>ওয়ার দিয়ে নৌকা চালাতে</v>
      </c>
      <c r="D88" s="4" t="str">
        <f>IFERROR(__xludf.DUMMYFUNCTION("GOOGLETRANSLATE(M88, ""en"", ""bn"")"),"পাহারাদার হিসেবে কাজ করা")</f>
        <v>পাহারাদার হিসেবে কাজ করা</v>
      </c>
      <c r="E88" s="4" t="str">
        <f>IFERROR(__xludf.DUMMYFUNCTION("GOOGLETRANSLATE(N88, ""en"", ""bn"")"),"অন্য নৌকাগুলোকে সংকেত দিতে")</f>
        <v>অন্য নৌকাগুলোকে সংকেত দিতে</v>
      </c>
      <c r="F88" s="4" t="str">
        <f>IFERROR(__xludf.DUMMYFUNCTION("GOOGLETRANSLATE(O88, ""en"", ""bn"")"),"তালের জন্য ঢোল বাজানো")</f>
        <v>তালের জন্য ঢোল বাজানো</v>
      </c>
      <c r="G88" s="4" t="str">
        <f>IFERROR(__xludf.DUMMYFUNCTION("GOOGLETRANSLATE(P88, ""en"", ""bn"")"),"তালের জন্য ঢোল বাজানো")</f>
        <v>তালের জন্য ঢোল বাজানো</v>
      </c>
      <c r="H88" s="4" t="str">
        <f>IFERROR(__xludf.DUMMYFUNCTION("GOOGLETRANSLATE(Q88, ""en"", ""bn"")"),"ছবি4")</f>
        <v>ছবি4</v>
      </c>
      <c r="J88" s="5" t="str">
        <f>IFERROR(__xludf.DUMMYFUNCTION("GOOGLETRANSLATE(A88, ""bn"", ""en"")"),"87")</f>
        <v>87</v>
      </c>
      <c r="K88" s="16" t="s">
        <v>1296</v>
      </c>
      <c r="L88" s="16" t="s">
        <v>1279</v>
      </c>
      <c r="M88" s="16" t="s">
        <v>1218</v>
      </c>
      <c r="N88" s="16" t="s">
        <v>1280</v>
      </c>
      <c r="O88" s="16" t="s">
        <v>1281</v>
      </c>
      <c r="P88" s="16" t="s">
        <v>1281</v>
      </c>
      <c r="Q88" s="7" t="s">
        <v>46</v>
      </c>
    </row>
    <row r="89">
      <c r="A89" s="3">
        <v>88.0</v>
      </c>
      <c r="B89" s="4" t="str">
        <f>IFERROR(__xludf.DUMMYFUNCTION("GOOGLETRANSLATE(K89, ""en"", ""bn"")"),"নৌকাচালকরা তাদের সুরের সুরে সুর মেলানোর জন্য যে লোকগান গায়, তার একটি সাধারণ নাম কী?")</f>
        <v>নৌকাচালকরা তাদের সুরের সুরে সুর মেলানোর জন্য যে লোকগান গায়, তার একটি সাধারণ নাম কী?</v>
      </c>
      <c r="C89" s="4" t="str">
        <f>IFERROR(__xludf.DUMMYFUNCTION("GOOGLETRANSLATE(L89, ""en"", ""bn"")"),"বাউল গান")</f>
        <v>বাউল গান</v>
      </c>
      <c r="D89" s="4" t="str">
        <f>IFERROR(__xludf.DUMMYFUNCTION("GOOGLETRANSLATE(M89, ""en"", ""bn"")"),"শাড়ি গান")</f>
        <v>শাড়ি গান</v>
      </c>
      <c r="E89" s="4" t="str">
        <f>IFERROR(__xludf.DUMMYFUNCTION("GOOGLETRANSLATE(N89, ""en"", ""bn"")"),"লালন গিট")</f>
        <v>লালন গিট</v>
      </c>
      <c r="F89" s="4" t="str">
        <f>IFERROR(__xludf.DUMMYFUNCTION("GOOGLETRANSLATE(O89, ""en"", ""bn"")"),"ধ্রুপদী")</f>
        <v>ধ্রুপদী</v>
      </c>
      <c r="G89" s="4" t="str">
        <f>IFERROR(__xludf.DUMMYFUNCTION("GOOGLETRANSLATE(P89, ""en"", ""bn"")"),"শাড়ি গান")</f>
        <v>শাড়ি গান</v>
      </c>
      <c r="H89" s="4" t="str">
        <f>IFERROR(__xludf.DUMMYFUNCTION("GOOGLETRANSLATE(Q89, ""en"", ""bn"")"),"ছবি4")</f>
        <v>ছবি4</v>
      </c>
      <c r="J89" s="5" t="str">
        <f>IFERROR(__xludf.DUMMYFUNCTION("GOOGLETRANSLATE(A89, ""bn"", ""en"")"),"88")</f>
        <v>88</v>
      </c>
      <c r="K89" s="16" t="s">
        <v>1282</v>
      </c>
      <c r="L89" s="16" t="s">
        <v>1253</v>
      </c>
      <c r="M89" s="16" t="s">
        <v>1254</v>
      </c>
      <c r="N89" s="16" t="s">
        <v>1255</v>
      </c>
      <c r="O89" s="16" t="s">
        <v>1256</v>
      </c>
      <c r="P89" s="16" t="s">
        <v>1254</v>
      </c>
      <c r="Q89" s="7" t="s">
        <v>46</v>
      </c>
      <c r="R89" s="17"/>
      <c r="S89" s="17"/>
    </row>
    <row r="90">
      <c r="A90" s="3">
        <v>89.0</v>
      </c>
      <c r="B90" s="4" t="str">
        <f>IFERROR(__xludf.DUMMYFUNCTION("GOOGLETRANSLATE(K90, ""en"", ""bn"")"),"অংশগ্রহণকারীরা নৌকা চালানোর জন্য কোন হাতিয়ার ব্যবহার করছে?")</f>
        <v>অংশগ্রহণকারীরা নৌকা চালানোর জন্য কোন হাতিয়ার ব্যবহার করছে?</v>
      </c>
      <c r="C90" s="4" t="str">
        <f>IFERROR(__xludf.DUMMYFUNCTION("GOOGLETRANSLATE(L90, ""en"", ""bn"")"),"দাঁড়")</f>
        <v>দাঁড়</v>
      </c>
      <c r="D90" s="4" t="str">
        <f>IFERROR(__xludf.DUMMYFUNCTION("GOOGLETRANSLATE(M90, ""en"", ""bn"")"),"প্যাডেল")</f>
        <v>প্যাডেল</v>
      </c>
      <c r="E90" s="4" t="str">
        <f>IFERROR(__xludf.DUMMYFUNCTION("GOOGLETRANSLATE(N90, ""en"", ""bn"")"),"খুঁটি")</f>
        <v>খুঁটি</v>
      </c>
      <c r="F90" s="4" t="str">
        <f>IFERROR(__xludf.DUMMYFUNCTION("GOOGLETRANSLATE(O90, ""en"", ""bn"")"),"মোটর")</f>
        <v>মোটর</v>
      </c>
      <c r="G90" s="4" t="str">
        <f>IFERROR(__xludf.DUMMYFUNCTION("GOOGLETRANSLATE(P90, ""en"", ""bn"")"),"প্যাডেল")</f>
        <v>প্যাডেল</v>
      </c>
      <c r="H90" s="4" t="str">
        <f>IFERROR(__xludf.DUMMYFUNCTION("GOOGLETRANSLATE(Q90, ""en"", ""bn"")"),"ছবি4")</f>
        <v>ছবি4</v>
      </c>
      <c r="J90" s="5" t="str">
        <f>IFERROR(__xludf.DUMMYFUNCTION("GOOGLETRANSLATE(A90, ""bn"", ""en"")"),"89")</f>
        <v>89</v>
      </c>
      <c r="K90" s="16" t="s">
        <v>1283</v>
      </c>
      <c r="L90" s="16" t="s">
        <v>1165</v>
      </c>
      <c r="M90" s="16" t="s">
        <v>1162</v>
      </c>
      <c r="N90" s="16" t="s">
        <v>1284</v>
      </c>
      <c r="O90" s="16" t="s">
        <v>1285</v>
      </c>
      <c r="P90" s="16" t="s">
        <v>1162</v>
      </c>
      <c r="Q90" s="7" t="s">
        <v>46</v>
      </c>
    </row>
    <row r="91">
      <c r="A91" s="3">
        <v>90.0</v>
      </c>
      <c r="B91" s="4" t="str">
        <f>IFERROR(__xludf.DUMMYFUNCTION("GOOGLETRANSLATE(K91, ""en"", ""bn"")"),"নৌকাগুলির বিন্যাস প্রতিযোগিতা সম্পর্কে কী ইঙ্গিত দেয়?")</f>
        <v>নৌকাগুলির বিন্যাস প্রতিযোগিতা সম্পর্কে কী ইঙ্গিত দেয়?</v>
      </c>
      <c r="C91" s="4" t="str">
        <f>IFERROR(__xludf.DUMMYFUNCTION("GOOGLETRANSLATE(L91, ""en"", ""bn"")"),"নিরাপত্তার জন্য তাদের আলাদা করে রাখা হয়েছে")</f>
        <v>নিরাপত্তার জন্য তাদের আলাদা করে রাখা হয়েছে</v>
      </c>
      <c r="D91" s="4" t="str">
        <f>IFERROR(__xludf.DUMMYFUNCTION("GOOGLETRANSLATE(M91,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E91" s="4" t="str">
        <f>IFERROR(__xludf.DUMMYFUNCTION("GOOGLETRANSLATE(N91, ""en"", ""bn"")"),"তারা একসাথে মজা করার জন্য ভ্রমণ করছে")</f>
        <v>তারা একসাথে মজা করার জন্য ভ্রমণ করছে</v>
      </c>
      <c r="F91" s="4" t="str">
        <f>IFERROR(__xludf.DUMMYFUNCTION("GOOGLETRANSLATE(O91, ""en"", ""bn"")"),"তারা শুরু করার জন্য প্রস্তুত হচ্ছে")</f>
        <v>তারা শুরু করার জন্য প্রস্তুত হচ্ছে</v>
      </c>
      <c r="G91" s="4" t="str">
        <f>IFERROR(__xludf.DUMMYFUNCTION("GOOGLETRANSLATE(P91,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H91" s="4" t="str">
        <f>IFERROR(__xludf.DUMMYFUNCTION("GOOGLETRANSLATE(Q91, ""en"", ""bn"")"),"ছবি4")</f>
        <v>ছবি4</v>
      </c>
      <c r="J91" s="5" t="str">
        <f>IFERROR(__xludf.DUMMYFUNCTION("GOOGLETRANSLATE(A91, ""bn"", ""en"")"),"90")</f>
        <v>90</v>
      </c>
      <c r="K91" s="16" t="s">
        <v>1286</v>
      </c>
      <c r="L91" s="16" t="s">
        <v>1287</v>
      </c>
      <c r="M91" s="16" t="s">
        <v>1288</v>
      </c>
      <c r="N91" s="16" t="s">
        <v>1289</v>
      </c>
      <c r="O91" s="16" t="s">
        <v>1290</v>
      </c>
      <c r="P91" s="16" t="s">
        <v>1288</v>
      </c>
      <c r="Q91" s="7" t="s">
        <v>46</v>
      </c>
    </row>
    <row r="92">
      <c r="A92" s="3">
        <v>91.0</v>
      </c>
      <c r="B92" s="4" t="str">
        <f>IFERROR(__xludf.DUMMYFUNCTION("GOOGLETRANSLATE(K92, ""en"", ""bn"")"),"নৌকায় নৌকাচালকের আনুমানিক সংখ্যা কত?")</f>
        <v>নৌকায় নৌকাচালকের আনুমানিক সংখ্যা কত?</v>
      </c>
      <c r="C92" s="4" t="str">
        <f>IFERROR(__xludf.DUMMYFUNCTION("GOOGLETRANSLATE(L92, ""en"", ""bn"")"),"২০-৩০")</f>
        <v>২০-৩০</v>
      </c>
      <c r="D92" s="4" t="str">
        <f>IFERROR(__xludf.DUMMYFUNCTION("GOOGLETRANSLATE(M92, ""en"", ""bn"")"),"30-40")</f>
        <v>30-40</v>
      </c>
      <c r="E92" s="4" t="str">
        <f>IFERROR(__xludf.DUMMYFUNCTION("GOOGLETRANSLATE(N92, ""en"", ""bn"")"),"৪০-৫০")</f>
        <v>৪০-৫০</v>
      </c>
      <c r="F92" s="4" t="str">
        <f>IFERROR(__xludf.DUMMYFUNCTION("GOOGLETRANSLATE(O92, ""en"", ""bn"")"),"৫০+")</f>
        <v>৫০+</v>
      </c>
      <c r="G92" s="4" t="str">
        <f>IFERROR(__xludf.DUMMYFUNCTION("GOOGLETRANSLATE(P92, ""en"", ""bn"")"),"৫০+")</f>
        <v>৫০+</v>
      </c>
      <c r="H92" s="4" t="str">
        <f>IFERROR(__xludf.DUMMYFUNCTION("GOOGLETRANSLATE(Q92, ""en"", ""bn"")"),"ছবি ৫")</f>
        <v>ছবি ৫</v>
      </c>
      <c r="J92" s="5" t="str">
        <f>IFERROR(__xludf.DUMMYFUNCTION("GOOGLETRANSLATE(A92, ""bn"", ""en"")"),"91")</f>
        <v>91</v>
      </c>
      <c r="K92" s="16" t="s">
        <v>1297</v>
      </c>
      <c r="L92" s="16" t="s">
        <v>423</v>
      </c>
      <c r="M92" s="16" t="s">
        <v>424</v>
      </c>
      <c r="N92" s="16" t="s">
        <v>1298</v>
      </c>
      <c r="O92" s="16" t="s">
        <v>1299</v>
      </c>
      <c r="P92" s="16" t="s">
        <v>1299</v>
      </c>
      <c r="Q92" s="7" t="s">
        <v>57</v>
      </c>
    </row>
    <row r="93">
      <c r="A93" s="3">
        <v>92.0</v>
      </c>
      <c r="B93" s="4" t="str">
        <f>IFERROR(__xludf.DUMMYFUNCTION("GOOGLETRANSLATE(K93, ""en"", ""bn"")"),"অংশগ্রহণকারীদের দ্বারা পরিধান করা ইউনিফর্মের প্রধান রং কি?")</f>
        <v>অংশগ্রহণকারীদের দ্বারা পরিধান করা ইউনিফর্মের প্রধান রং কি?</v>
      </c>
      <c r="C93" s="4" t="str">
        <f>IFERROR(__xludf.DUMMYFUNCTION("GOOGLETRANSLATE(L93, ""en"", ""bn"")"),"হলুদ")</f>
        <v>হলুদ</v>
      </c>
      <c r="D93" s="4" t="str">
        <f>IFERROR(__xludf.DUMMYFUNCTION("GOOGLETRANSLATE(M93, ""en"", ""bn"")"),"কমলা")</f>
        <v>কমলা</v>
      </c>
      <c r="E93" s="4" t="str">
        <f>IFERROR(__xludf.DUMMYFUNCTION("GOOGLETRANSLATE(N93, ""en"", ""bn"")"),"নীল")</f>
        <v>নীল</v>
      </c>
      <c r="F93" s="4" t="str">
        <f>IFERROR(__xludf.DUMMYFUNCTION("GOOGLETRANSLATE(O93, ""en"", ""bn"")"),"সবুজ")</f>
        <v>সবুজ</v>
      </c>
      <c r="G93" s="4" t="str">
        <f>IFERROR(__xludf.DUMMYFUNCTION("GOOGLETRANSLATE(P93, ""en"", ""bn"")"),"কমলা")</f>
        <v>কমলা</v>
      </c>
      <c r="H93" s="4" t="str">
        <f>IFERROR(__xludf.DUMMYFUNCTION("GOOGLETRANSLATE(Q93, ""en"", ""bn"")"),"ছবি ৫")</f>
        <v>ছবি ৫</v>
      </c>
      <c r="J93" s="5" t="str">
        <f>IFERROR(__xludf.DUMMYFUNCTION("GOOGLETRANSLATE(A93, ""bn"", ""en"")"),"92")</f>
        <v>92</v>
      </c>
      <c r="K93" s="16" t="s">
        <v>1265</v>
      </c>
      <c r="L93" s="16" t="s">
        <v>287</v>
      </c>
      <c r="M93" s="16" t="s">
        <v>1266</v>
      </c>
      <c r="N93" s="16" t="s">
        <v>274</v>
      </c>
      <c r="O93" s="16" t="s">
        <v>272</v>
      </c>
      <c r="P93" s="16" t="s">
        <v>1266</v>
      </c>
      <c r="Q93" s="7" t="s">
        <v>57</v>
      </c>
    </row>
    <row r="94">
      <c r="A94" s="3">
        <v>93.0</v>
      </c>
      <c r="B94" s="4" t="str">
        <f>IFERROR(__xludf.DUMMYFUNCTION("GOOGLETRANSLATE(K94, ""en"", ""bn"")"),"নৌকা চালানোর প্রাথমিক পদ্ধতি কি?")</f>
        <v>নৌকা চালানোর প্রাথমিক পদ্ধতি কি?</v>
      </c>
      <c r="C94" s="4" t="str">
        <f>IFERROR(__xludf.DUMMYFUNCTION("GOOGLETRANSLATE(L94, ""en"", ""bn"")"),"প্যাডেল")</f>
        <v>প্যাডেল</v>
      </c>
      <c r="D94" s="4" t="str">
        <f>IFERROR(__xludf.DUMMYFUNCTION("GOOGLETRANSLATE(M94, ""en"", ""bn"")"),"পাল")</f>
        <v>পাল</v>
      </c>
      <c r="E94" s="4" t="str">
        <f>IFERROR(__xludf.DUMMYFUNCTION("GOOGLETRANSLATE(N94, ""en"", ""bn"")"),"ইঞ্জিন")</f>
        <v>ইঞ্জিন</v>
      </c>
      <c r="F94" s="4" t="str">
        <f>IFERROR(__xludf.DUMMYFUNCTION("GOOGLETRANSLATE(O94, ""en"", ""bn"")"),"দাঁড়")</f>
        <v>দাঁড়</v>
      </c>
      <c r="G94" s="4" t="str">
        <f>IFERROR(__xludf.DUMMYFUNCTION("GOOGLETRANSLATE(P94, ""en"", ""bn"")"),"প্যাডেল")</f>
        <v>প্যাডেল</v>
      </c>
      <c r="H94" s="4" t="str">
        <f>IFERROR(__xludf.DUMMYFUNCTION("GOOGLETRANSLATE(Q94, ""en"", ""bn"")"),"ছবি ৫")</f>
        <v>ছবি ৫</v>
      </c>
      <c r="J94" s="5" t="str">
        <f>IFERROR(__xludf.DUMMYFUNCTION("GOOGLETRANSLATE(A94, ""bn"", ""en"")"),"93")</f>
        <v>93</v>
      </c>
      <c r="K94" s="16" t="s">
        <v>1300</v>
      </c>
      <c r="L94" s="16" t="s">
        <v>1162</v>
      </c>
      <c r="M94" s="16" t="s">
        <v>1163</v>
      </c>
      <c r="N94" s="16" t="s">
        <v>1164</v>
      </c>
      <c r="O94" s="16" t="s">
        <v>1165</v>
      </c>
      <c r="P94" s="16" t="s">
        <v>1162</v>
      </c>
      <c r="Q94" s="7" t="s">
        <v>57</v>
      </c>
    </row>
    <row r="95">
      <c r="A95" s="3">
        <v>94.0</v>
      </c>
      <c r="B95" s="4" t="str">
        <f>IFERROR(__xludf.DUMMYFUNCTION("GOOGLETRANSLATE(K95, ""en"", ""bn"")"),"নৌকার সামনে ও পিছনে দাঁড়িয়ে থাকা ব্যক্তির ভূমিকা কী?")</f>
        <v>নৌকার সামনে ও পিছনে দাঁড়িয়ে থাকা ব্যক্তির ভূমিকা কী?</v>
      </c>
      <c r="C95" s="4" t="str">
        <f>IFERROR(__xludf.DUMMYFUNCTION("GOOGLETRANSLATE(L95, ""en"", ""bn"")"),"নৌকা চালনা এবং তাল রাখা")</f>
        <v>নৌকা চালনা এবং তাল রাখা</v>
      </c>
      <c r="D95" s="4" t="str">
        <f>IFERROR(__xludf.DUMMYFUNCTION("GOOGLETRANSLATE(M95, ""en"", ""bn"")"),"পাহারাদার হিসেবে কাজ করা")</f>
        <v>পাহারাদার হিসেবে কাজ করা</v>
      </c>
      <c r="E95" s="4" t="str">
        <f>IFERROR(__xludf.DUMMYFUNCTION("GOOGLETRANSLATE(N95, ""en"", ""bn"")"),"অন্য নৌকাগুলোকে সংকেত দিতে")</f>
        <v>অন্য নৌকাগুলোকে সংকেত দিতে</v>
      </c>
      <c r="F95" s="4" t="str">
        <f>IFERROR(__xludf.DUMMYFUNCTION("GOOGLETRANSLATE(O95, ""en"", ""bn"")"),"তালের জন্য ঢোল বাজানো")</f>
        <v>তালের জন্য ঢোল বাজানো</v>
      </c>
      <c r="G95" s="4" t="str">
        <f>IFERROR(__xludf.DUMMYFUNCTION("GOOGLETRANSLATE(P95, ""en"", ""bn"")"),"নৌকা চালনা এবং তাল রাখা")</f>
        <v>নৌকা চালনা এবং তাল রাখা</v>
      </c>
      <c r="H95" s="4" t="str">
        <f>IFERROR(__xludf.DUMMYFUNCTION("GOOGLETRANSLATE(Q95, ""en"", ""bn"")"),"ছবি ৫")</f>
        <v>ছবি ৫</v>
      </c>
      <c r="J95" s="5" t="str">
        <f>IFERROR(__xludf.DUMMYFUNCTION("GOOGLETRANSLATE(A95, ""bn"", ""en"")"),"94")</f>
        <v>94</v>
      </c>
      <c r="K95" s="16" t="s">
        <v>1301</v>
      </c>
      <c r="L95" s="16" t="s">
        <v>1302</v>
      </c>
      <c r="M95" s="16" t="s">
        <v>1218</v>
      </c>
      <c r="N95" s="16" t="s">
        <v>1280</v>
      </c>
      <c r="O95" s="16" t="s">
        <v>1281</v>
      </c>
      <c r="P95" s="16" t="s">
        <v>1302</v>
      </c>
      <c r="Q95" s="7" t="s">
        <v>57</v>
      </c>
    </row>
    <row r="96">
      <c r="A96" s="3">
        <v>95.0</v>
      </c>
      <c r="B96" s="4" t="str">
        <f>IFERROR(__xludf.DUMMYFUNCTION("GOOGLETRANSLATE(K96, ""en"", ""bn"")"),"পানির রঙের উপর ভিত্তি করে কী অনুমান করা যায়?")</f>
        <v>পানির রঙের উপর ভিত্তি করে কী অনুমান করা যায়?</v>
      </c>
      <c r="C96" s="4" t="str">
        <f>IFERROR(__xludf.DUMMYFUNCTION("GOOGLETRANSLATE(L96, ""en"", ""bn"")"),"এটি একটি স্বচ্ছ, অগভীর নদী")</f>
        <v>এটি একটি স্বচ্ছ, অগভীর নদী</v>
      </c>
      <c r="D96" s="4" t="str">
        <f>IFERROR(__xludf.DUMMYFUNCTION("GOOGLETRANSLATE(M96, ""en"", ""bn"")"),"এটি একটি পরিষ্কার, গভীর হ্রদ।")</f>
        <v>এটি একটি পরিষ্কার, গভীর হ্রদ।</v>
      </c>
      <c r="E96" s="4" t="str">
        <f>IFERROR(__xludf.DUMMYFUNCTION("GOOGLETRANSLATE(N96, ""en"", ""bn"")"),"এটা কর্দমাক্ত নদী,")</f>
        <v>এটা কর্দমাক্ত নদী,</v>
      </c>
      <c r="F96" s="4" t="str">
        <f>IFERROR(__xludf.DUMMYFUNCTION("GOOGLETRANSLATE(O96, ""en"", ""bn"")"),"এটি একটি দূষিত খাল।")</f>
        <v>এটি একটি দূষিত খাল।</v>
      </c>
      <c r="G96" s="4" t="str">
        <f>IFERROR(__xludf.DUMMYFUNCTION("GOOGLETRANSLATE(P96, ""en"", ""bn"")"),"এটা কর্দমাক্ত নদী,")</f>
        <v>এটা কর্দমাক্ত নদী,</v>
      </c>
      <c r="H96" s="4" t="str">
        <f>IFERROR(__xludf.DUMMYFUNCTION("GOOGLETRANSLATE(Q96, ""en"", ""bn"")"),"ছবি ৫")</f>
        <v>ছবি ৫</v>
      </c>
      <c r="J96" s="5" t="str">
        <f>IFERROR(__xludf.DUMMYFUNCTION("GOOGLETRANSLATE(A96, ""bn"", ""en"")"),"95")</f>
        <v>95</v>
      </c>
      <c r="K96" s="16" t="s">
        <v>1273</v>
      </c>
      <c r="L96" s="16" t="s">
        <v>1274</v>
      </c>
      <c r="M96" s="16" t="s">
        <v>1275</v>
      </c>
      <c r="N96" s="16" t="s">
        <v>1276</v>
      </c>
      <c r="O96" s="16" t="s">
        <v>1277</v>
      </c>
      <c r="P96" s="16" t="s">
        <v>1276</v>
      </c>
      <c r="Q96" s="7" t="s">
        <v>57</v>
      </c>
    </row>
    <row r="97">
      <c r="A97" s="3">
        <v>96.0</v>
      </c>
      <c r="B97" s="4" t="str">
        <f>IFERROR(__xludf.DUMMYFUNCTION("GOOGLETRANSLATE(K97, ""en"", ""bn"")"),"অংশগ্রহণকারীদের মুখের অভিব্যক্তি অনুষ্ঠানের প্রকৃতি সম্পর্কে কী ইঙ্গিত দেয়?")</f>
        <v>অংশগ্রহণকারীদের মুখের অভিব্যক্তি অনুষ্ঠানের প্রকৃতি সম্পর্কে কী ইঙ্গিত দেয়?</v>
      </c>
      <c r="C97" s="4" t="str">
        <f>IFERROR(__xludf.DUMMYFUNCTION("GOOGLETRANSLATE(L97, ""en"", ""bn"")"),"এটি একটি অবসর কার্যকলাপ")</f>
        <v>এটি একটি অবসর কার্যকলাপ</v>
      </c>
      <c r="D97" s="4" t="str">
        <f>IFERROR(__xludf.DUMMYFUNCTION("GOOGLETRANSLATE(M97, ""en"", ""bn"")"),"এটি একটি তীব্র প্রতিযোগিতা।")</f>
        <v>এটি একটি তীব্র প্রতিযোগিতা।</v>
      </c>
      <c r="E97" s="4" t="str">
        <f>IFERROR(__xludf.DUMMYFUNCTION("GOOGLETRANSLATE(N97, ""en"", ""bn"")"),"এটি একটি ধর্মীয় অনুষ্ঠান")</f>
        <v>এটি একটি ধর্মীয় অনুষ্ঠান</v>
      </c>
      <c r="F97" s="4" t="str">
        <f>IFERROR(__xludf.DUMMYFUNCTION("GOOGLETRANSLATE(O97, ""en"", ""bn"")"),"এটি একটি দলের অনুশীলন")</f>
        <v>এটি একটি দলের অনুশীলন</v>
      </c>
      <c r="G97" s="4" t="str">
        <f>IFERROR(__xludf.DUMMYFUNCTION("GOOGLETRANSLATE(P97, ""en"", ""bn"")"),"এটি একটি তীব্র প্রতিযোগিতা।")</f>
        <v>এটি একটি তীব্র প্রতিযোগিতা।</v>
      </c>
      <c r="H97" s="4" t="str">
        <f>IFERROR(__xludf.DUMMYFUNCTION("GOOGLETRANSLATE(Q97, ""en"", ""bn"")"),"ছবি ৫")</f>
        <v>ছবি ৫</v>
      </c>
      <c r="J97" s="5" t="str">
        <f>IFERROR(__xludf.DUMMYFUNCTION("GOOGLETRANSLATE(A97, ""bn"", ""en"")"),"96")</f>
        <v>96</v>
      </c>
      <c r="K97" s="16" t="s">
        <v>1202</v>
      </c>
      <c r="L97" s="16" t="s">
        <v>1203</v>
      </c>
      <c r="M97" s="16" t="s">
        <v>1204</v>
      </c>
      <c r="N97" s="16" t="s">
        <v>1205</v>
      </c>
      <c r="O97" s="16" t="s">
        <v>1206</v>
      </c>
      <c r="P97" s="16" t="s">
        <v>1204</v>
      </c>
      <c r="Q97" s="7" t="s">
        <v>57</v>
      </c>
    </row>
    <row r="98">
      <c r="A98" s="3">
        <v>97.0</v>
      </c>
      <c r="B98" s="4" t="str">
        <f>IFERROR(__xludf.DUMMYFUNCTION("GOOGLETRANSLATE(K98, ""en"", ""bn"")"),"নৌকার সাথে লাগানো পতাকার তাৎপর্য কী?")</f>
        <v>নৌকার সাথে লাগানো পতাকার তাৎপর্য কী?</v>
      </c>
      <c r="C98" s="4" t="str">
        <f>IFERROR(__xludf.DUMMYFUNCTION("GOOGLETRANSLATE(L98, ""en"", ""bn"")"),"তারা বিভিন্ন দেশের প্রতিনিধিত্ব করে")</f>
        <v>তারা বিভিন্ন দেশের প্রতিনিধিত্ব করে</v>
      </c>
      <c r="D98" s="4" t="str">
        <f>IFERROR(__xludf.DUMMYFUNCTION("GOOGLETRANSLATE(M98, ""en"", ""bn"")"),"তারা নৌকার নিজ জেলা বা দল দেখান")</f>
        <v>তারা নৌকার নিজ জেলা বা দল দেখান</v>
      </c>
      <c r="E98" s="4" t="str">
        <f>IFERROR(__xludf.DUMMYFUNCTION("GOOGLETRANSLATE(N98, ""en"", ""bn"")"),"এগুলি শুধুমাত্র সাজসজ্জার জন্য")</f>
        <v>এগুলি শুধুমাত্র সাজসজ্জার জন্য</v>
      </c>
      <c r="F98" s="4" t="str">
        <f>IFERROR(__xludf.DUMMYFUNCTION("GOOGLETRANSLATE(O98, ""en"", ""bn"")"),"তারা একটি নিরাপত্তা ব্যবস্থা")</f>
        <v>তারা একটি নিরাপত্তা ব্যবস্থা</v>
      </c>
      <c r="G98" s="4" t="str">
        <f>IFERROR(__xludf.DUMMYFUNCTION("GOOGLETRANSLATE(P98, ""en"", ""bn"")"),"এগুলি শুধুমাত্র সাজসজ্জার জন্য")</f>
        <v>এগুলি শুধুমাত্র সাজসজ্জার জন্য</v>
      </c>
      <c r="H98" s="4" t="str">
        <f>IFERROR(__xludf.DUMMYFUNCTION("GOOGLETRANSLATE(Q98, ""en"", ""bn"")"),"ছবি ৫")</f>
        <v>ছবি ৫</v>
      </c>
      <c r="J98" s="5" t="str">
        <f>IFERROR(__xludf.DUMMYFUNCTION("GOOGLETRANSLATE(A98, ""bn"", ""en"")"),"97")</f>
        <v>97</v>
      </c>
      <c r="K98" s="16" t="s">
        <v>1303</v>
      </c>
      <c r="L98" s="16" t="s">
        <v>1228</v>
      </c>
      <c r="M98" s="16" t="s">
        <v>1229</v>
      </c>
      <c r="N98" s="16" t="s">
        <v>1230</v>
      </c>
      <c r="O98" s="16" t="s">
        <v>1231</v>
      </c>
      <c r="P98" s="16" t="s">
        <v>1230</v>
      </c>
      <c r="Q98" s="7" t="s">
        <v>57</v>
      </c>
    </row>
    <row r="99">
      <c r="A99" s="3">
        <v>98.0</v>
      </c>
      <c r="B99" s="4" t="str">
        <f>IFERROR(__xludf.DUMMYFUNCTION("GOOGLETRANSLATE(K99, ""en"", ""bn"")"),"নৌকায় ওয়ারগুলো কীভাবে সাজানো হয়?")</f>
        <v>নৌকায় ওয়ারগুলো কীভাবে সাজানো হয়?</v>
      </c>
      <c r="C99" s="4" t="str">
        <f>IFERROR(__xludf.DUMMYFUNCTION("GOOGLETRANSLATE(L99, ""en"", ""bn"")"),"একক সারিতে")</f>
        <v>একক সারিতে</v>
      </c>
      <c r="D99" s="4" t="str">
        <f>IFERROR(__xludf.DUMMYFUNCTION("GOOGLETRANSLATE(M99, ""en"", ""bn"")"),"ডাবল সারিতে")</f>
        <v>ডাবল সারিতে</v>
      </c>
      <c r="E99" s="4" t="str">
        <f>IFERROR(__xludf.DUMMYFUNCTION("GOOGLETRANSLATE(N99, ""en"", ""bn"")"),"তিন সারিতে")</f>
        <v>তিন সারিতে</v>
      </c>
      <c r="F99" s="4" t="str">
        <f>IFERROR(__xludf.DUMMYFUNCTION("GOOGLETRANSLATE(O99, ""en"", ""bn"")"),"এক লাইনে")</f>
        <v>এক লাইনে</v>
      </c>
      <c r="G99" s="4" t="str">
        <f>IFERROR(__xludf.DUMMYFUNCTION("GOOGLETRANSLATE(P99, ""en"", ""bn"")"),"ডাবল সারিতে")</f>
        <v>ডাবল সারিতে</v>
      </c>
      <c r="H99" s="4" t="str">
        <f>IFERROR(__xludf.DUMMYFUNCTION("GOOGLETRANSLATE(Q99, ""en"", ""bn"")"),"ছবি ৫")</f>
        <v>ছবি ৫</v>
      </c>
      <c r="J99" s="5" t="str">
        <f>IFERROR(__xludf.DUMMYFUNCTION("GOOGLETRANSLATE(A99, ""bn"", ""en"")"),"98")</f>
        <v>98</v>
      </c>
      <c r="K99" s="16" t="s">
        <v>1304</v>
      </c>
      <c r="L99" s="16" t="s">
        <v>1305</v>
      </c>
      <c r="M99" s="16" t="s">
        <v>1306</v>
      </c>
      <c r="N99" s="16" t="s">
        <v>1307</v>
      </c>
      <c r="O99" s="16" t="s">
        <v>1308</v>
      </c>
      <c r="P99" s="16" t="s">
        <v>1306</v>
      </c>
      <c r="Q99" s="7" t="s">
        <v>57</v>
      </c>
    </row>
    <row r="100">
      <c r="A100" s="3">
        <v>99.0</v>
      </c>
      <c r="B100" s="4" t="str">
        <f>IFERROR(__xludf.DUMMYFUNCTION("GOOGLETRANSLATE(K100, ""en"", ""bn"")"),"""নৌকা বাইচ"" নামটির ইংরেজিতে কী অনুবাদ করা হয়?")</f>
        <v>"নৌকা বাইচ" নামটির ইংরেজিতে কী অনুবাদ করা হয়?</v>
      </c>
      <c r="C100" s="4" t="str">
        <f>IFERROR(__xludf.DUMMYFUNCTION("GOOGLETRANSLATE(L100, ""en"", ""bn"")"),"বোট রাইড")</f>
        <v>বোট রাইড</v>
      </c>
      <c r="D100" s="4" t="str">
        <f>IFERROR(__xludf.DUMMYFUNCTION("GOOGLETRANSLATE(M100, ""en"", ""bn"")"),"জল উৎসব")</f>
        <v>জল উৎসব</v>
      </c>
      <c r="E100" s="4" t="str">
        <f>IFERROR(__xludf.DUMMYFUNCTION("GOOGLETRANSLATE(N100, ""en"", ""bn"")"),"বোট রেস")</f>
        <v>বোট রেস</v>
      </c>
      <c r="F100" s="4" t="str">
        <f>IFERROR(__xludf.DUMMYFUNCTION("GOOGLETRANSLATE(O100, ""en"", ""bn"")"),"নদী চ্যালেঞ্জ")</f>
        <v>নদী চ্যালেঞ্জ</v>
      </c>
      <c r="G100" s="4" t="str">
        <f>IFERROR(__xludf.DUMMYFUNCTION("GOOGLETRANSLATE(P100, ""en"", ""bn"")"),"বোট রেস")</f>
        <v>বোট রেস</v>
      </c>
      <c r="H100" s="4" t="str">
        <f>IFERROR(__xludf.DUMMYFUNCTION("GOOGLETRANSLATE(Q100, ""en"", ""bn"")"),"ছবি ৫")</f>
        <v>ছবি ৫</v>
      </c>
      <c r="J100" s="5" t="str">
        <f>IFERROR(__xludf.DUMMYFUNCTION("GOOGLETRANSLATE(A100, ""bn"", ""en"")"),"99")</f>
        <v>99</v>
      </c>
      <c r="K100" s="16" t="s">
        <v>1309</v>
      </c>
      <c r="L100" s="16" t="s">
        <v>1196</v>
      </c>
      <c r="M100" s="16" t="s">
        <v>1197</v>
      </c>
      <c r="N100" s="16" t="s">
        <v>1198</v>
      </c>
      <c r="O100" s="16" t="s">
        <v>1199</v>
      </c>
      <c r="P100" s="16" t="s">
        <v>1198</v>
      </c>
      <c r="Q100" s="7" t="s">
        <v>57</v>
      </c>
    </row>
    <row r="101">
      <c r="A101" s="3">
        <v>100.0</v>
      </c>
      <c r="B101" s="4" t="str">
        <f>IFERROR(__xludf.DUMMYFUNCTION("GOOGLETRANSLATE(K101, ""en"", ""bn"")"),"নৌকার চারপাশে জলের স্প্ল্যাশিং কী নির্দেশ করে?")</f>
        <v>নৌকার চারপাশে জলের স্প্ল্যাশিং কী নির্দেশ করে?</v>
      </c>
      <c r="C101" s="4" t="str">
        <f>IFERROR(__xludf.DUMMYFUNCTION("GOOGLETRANSLATE(L101, ""en"", ""bn"")"),"নৌকাচালকরা ধীর গতিতে চলছে।")</f>
        <v>নৌকাচালকরা ধীর গতিতে চলছে।</v>
      </c>
      <c r="D101" s="4" t="str">
        <f>IFERROR(__xludf.DUMMYFUNCTION("GOOGLETRANSLATE(M101, ""en"", ""bn"")"),"নৌকাগুলো প্রবল বেগে চলছে")</f>
        <v>নৌকাগুলো প্রবল বেগে চলছে</v>
      </c>
      <c r="E101" s="4" t="str">
        <f>IFERROR(__xludf.DUMMYFUNCTION("GOOGLETRANSLATE(N101, ""en"", ""bn"")"),"একটা ঝড় ঘনিয়ে আসছে")</f>
        <v>একটা ঝড় ঘনিয়ে আসছে</v>
      </c>
      <c r="F101" s="4" t="str">
        <f>IFERROR(__xludf.DUMMYFUNCTION("GOOGLETRANSLATE(O101, ""en"", ""bn"")"),"নৌকাগুলোতে ফুটো আছে")</f>
        <v>নৌকাগুলোতে ফুটো আছে</v>
      </c>
      <c r="G101" s="4" t="str">
        <f>IFERROR(__xludf.DUMMYFUNCTION("GOOGLETRANSLATE(P101, ""en"", ""bn"")"),"নৌকাগুলো প্রবল বেগে চলছে")</f>
        <v>নৌকাগুলো প্রবল বেগে চলছে</v>
      </c>
      <c r="H101" s="4" t="str">
        <f>IFERROR(__xludf.DUMMYFUNCTION("GOOGLETRANSLATE(Q101, ""en"", ""bn"")"),"ছবি ৫")</f>
        <v>ছবি ৫</v>
      </c>
      <c r="J101" s="5" t="str">
        <f>IFERROR(__xludf.DUMMYFUNCTION("GOOGLETRANSLATE(A101, ""bn"", ""en"")"),"100")</f>
        <v>100</v>
      </c>
      <c r="K101" s="16" t="s">
        <v>1247</v>
      </c>
      <c r="L101" s="16" t="s">
        <v>1248</v>
      </c>
      <c r="M101" s="16" t="s">
        <v>1249</v>
      </c>
      <c r="N101" s="16" t="s">
        <v>1250</v>
      </c>
      <c r="O101" s="16" t="s">
        <v>1251</v>
      </c>
      <c r="P101" s="16" t="s">
        <v>1249</v>
      </c>
      <c r="Q101" s="7" t="s">
        <v>57</v>
      </c>
      <c r="R101" s="18"/>
      <c r="S101" s="18"/>
    </row>
    <row r="102">
      <c r="A102" s="3">
        <v>101.0</v>
      </c>
      <c r="B102" s="4" t="str">
        <f>IFERROR(__xludf.DUMMYFUNCTION("GOOGLETRANSLATE(K102, ""en"", ""bn"")"),"ছবিতে নৌকার প্রধান বৈশিষ্ট্য কী?")</f>
        <v>ছবিতে নৌকার প্রধান বৈশিষ্ট্য কী?</v>
      </c>
      <c r="C102" s="4" t="str">
        <f>IFERROR(__xludf.DUMMYFUNCTION("GOOGLETRANSLATE(L102, ""en"", ""bn"")"),"তারা ছোট এবং প্রশস্ত হয়")</f>
        <v>তারা ছোট এবং প্রশস্ত হয়</v>
      </c>
      <c r="D102" s="4" t="str">
        <f>IFERROR(__xludf.DUMMYFUNCTION("GOOGLETRANSLATE(M102, ""en"", ""bn"")"),"এগুলো লম্বা এবং সরু")</f>
        <v>এগুলো লম্বা এবং সরু</v>
      </c>
      <c r="E102" s="4" t="str">
        <f>IFERROR(__xludf.DUMMYFUNCTION("GOOGLETRANSLATE(N102, ""en"", ""bn"")"),"তাদের মোটর আছে")</f>
        <v>তাদের মোটর আছে</v>
      </c>
      <c r="F102" s="4" t="str">
        <f>IFERROR(__xludf.DUMMYFUNCTION("GOOGLETRANSLATE(O102, ""en"", ""bn"")"),"ওরা পালতোলা নৌকা।")</f>
        <v>ওরা পালতোলা নৌকা।</v>
      </c>
      <c r="G102" s="4" t="str">
        <f>IFERROR(__xludf.DUMMYFUNCTION("GOOGLETRANSLATE(P102, ""en"", ""bn"")"),"এগুলো লম্বা এবং সরু")</f>
        <v>এগুলো লম্বা এবং সরু</v>
      </c>
      <c r="H102" s="4" t="str">
        <f>IFERROR(__xludf.DUMMYFUNCTION("GOOGLETRANSLATE(Q102, ""en"", ""bn"")"),"ছবি৬")</f>
        <v>ছবি৬</v>
      </c>
      <c r="J102" s="5" t="str">
        <f>IFERROR(__xludf.DUMMYFUNCTION("GOOGLETRANSLATE(A102, ""bn"", ""en"")"),"101")</f>
        <v>101</v>
      </c>
      <c r="K102" s="16" t="s">
        <v>1207</v>
      </c>
      <c r="L102" s="16" t="s">
        <v>1208</v>
      </c>
      <c r="M102" s="16" t="s">
        <v>1209</v>
      </c>
      <c r="N102" s="16" t="s">
        <v>1291</v>
      </c>
      <c r="O102" s="16" t="s">
        <v>1211</v>
      </c>
      <c r="P102" s="16" t="s">
        <v>1209</v>
      </c>
      <c r="Q102" s="7" t="s">
        <v>68</v>
      </c>
    </row>
    <row r="103">
      <c r="A103" s="3">
        <v>102.0</v>
      </c>
      <c r="B103" s="4" t="str">
        <f>IFERROR(__xludf.DUMMYFUNCTION("GOOGLETRANSLATE(K103, ""en"", ""bn"")"),"অগ্রভাগের নৌকায় rowers এর পোশাক কি?")</f>
        <v>অগ্রভাগের নৌকায় rowers এর পোশাক কি?</v>
      </c>
      <c r="C103" s="4" t="str">
        <f>IFERROR(__xludf.DUMMYFUNCTION("GOOGLETRANSLATE(L103, ""en"", ""bn"")"),"কালো শার্ট")</f>
        <v>কালো শার্ট</v>
      </c>
      <c r="D103" s="4" t="str">
        <f>IFERROR(__xludf.DUMMYFUNCTION("GOOGLETRANSLATE(M103, ""en"", ""bn"")"),"সবুজ এবং সাদা শার্ট")</f>
        <v>সবুজ এবং সাদা শার্ট</v>
      </c>
      <c r="E103" s="4" t="str">
        <f>IFERROR(__xludf.DUMMYFUNCTION("GOOGLETRANSLATE(N103, ""en"", ""bn"")"),"সবুজ শার্ট এবং নীল শর্টস")</f>
        <v>সবুজ শার্ট এবং নীল শর্টস</v>
      </c>
      <c r="F103" s="4" t="str">
        <f>IFERROR(__xludf.DUMMYFUNCTION("GOOGLETRANSLATE(O103, ""en"", ""bn"")"),"ঐতিহ্যবাহী লম্বা পোশাক")</f>
        <v>ঐতিহ্যবাহী লম্বা পোশাক</v>
      </c>
      <c r="G103" s="4" t="str">
        <f>IFERROR(__xludf.DUMMYFUNCTION("GOOGLETRANSLATE(P103, ""en"", ""bn"")"),"সবুজ এবং সাদা শার্ট")</f>
        <v>সবুজ এবং সাদা শার্ট</v>
      </c>
      <c r="H103" s="4" t="str">
        <f>IFERROR(__xludf.DUMMYFUNCTION("GOOGLETRANSLATE(Q103, ""en"", ""bn"")"),"ছবি৬")</f>
        <v>ছবি৬</v>
      </c>
      <c r="J103" s="5" t="str">
        <f>IFERROR(__xludf.DUMMYFUNCTION("GOOGLETRANSLATE(A103, ""bn"", ""en"")"),"102")</f>
        <v>102</v>
      </c>
      <c r="K103" s="16" t="s">
        <v>1212</v>
      </c>
      <c r="L103" s="16" t="s">
        <v>1292</v>
      </c>
      <c r="M103" s="16" t="s">
        <v>1293</v>
      </c>
      <c r="N103" s="16" t="s">
        <v>1294</v>
      </c>
      <c r="O103" s="16" t="s">
        <v>1216</v>
      </c>
      <c r="P103" s="16" t="s">
        <v>1293</v>
      </c>
      <c r="Q103" s="7" t="s">
        <v>68</v>
      </c>
    </row>
    <row r="104">
      <c r="A104" s="3">
        <v>103.0</v>
      </c>
      <c r="B104" s="4" t="str">
        <f>IFERROR(__xludf.DUMMYFUNCTION("GOOGLETRANSLATE(K104, ""en"", ""bn"")"),"সামনের দিকে নৌকায় নৌকাচালকের আনুমানিক সংখ্যা কত?")</f>
        <v>সামনের দিকে নৌকায় নৌকাচালকের আনুমানিক সংখ্যা কত?</v>
      </c>
      <c r="C104" s="4" t="str">
        <f>IFERROR(__xludf.DUMMYFUNCTION("GOOGLETRANSLATE(L104, ""en"", ""bn"")"),"10")</f>
        <v>10</v>
      </c>
      <c r="D104" s="4" t="str">
        <f>IFERROR(__xludf.DUMMYFUNCTION("GOOGLETRANSLATE(M104, ""en"", ""bn"")"),"20")</f>
        <v>20</v>
      </c>
      <c r="E104" s="4" t="str">
        <f>IFERROR(__xludf.DUMMYFUNCTION("GOOGLETRANSLATE(N104, ""en"", ""bn"")"),"30")</f>
        <v>30</v>
      </c>
      <c r="F104" s="4" t="str">
        <f>IFERROR(__xludf.DUMMYFUNCTION("GOOGLETRANSLATE(O104, ""en"", ""bn"")"),"৪০")</f>
        <v>৪০</v>
      </c>
      <c r="G104" s="4" t="str">
        <f>IFERROR(__xludf.DUMMYFUNCTION("GOOGLETRANSLATE(P104, ""en"", ""bn"")"),"৪০")</f>
        <v>৪০</v>
      </c>
      <c r="H104" s="4" t="str">
        <f>IFERROR(__xludf.DUMMYFUNCTION("GOOGLETRANSLATE(Q104, ""en"", ""bn"")"),"ছবি৬")</f>
        <v>ছবি৬</v>
      </c>
      <c r="J104" s="5" t="str">
        <f>IFERROR(__xludf.DUMMYFUNCTION("GOOGLETRANSLATE(A104, ""bn"", ""en"")"),"103")</f>
        <v>103</v>
      </c>
      <c r="K104" s="16" t="s">
        <v>1295</v>
      </c>
      <c r="L104" s="16">
        <v>10.0</v>
      </c>
      <c r="M104" s="16">
        <v>20.0</v>
      </c>
      <c r="N104" s="16">
        <v>30.0</v>
      </c>
      <c r="O104" s="16">
        <v>40.0</v>
      </c>
      <c r="P104" s="16">
        <v>40.0</v>
      </c>
      <c r="Q104" s="7" t="s">
        <v>68</v>
      </c>
    </row>
    <row r="105">
      <c r="A105" s="3">
        <v>104.0</v>
      </c>
      <c r="B105" s="4" t="str">
        <f>IFERROR(__xludf.DUMMYFUNCTION("GOOGLETRANSLATE(K105, ""en"", ""bn"")"),"চিত্রে নদী সেটিং কি ধরনের চিত্রিত করা হয়েছে?")</f>
        <v>চিত্রে নদী সেটিং কি ধরনের চিত্রিত করা হয়েছে?</v>
      </c>
      <c r="C105" s="4" t="str">
        <f>IFERROR(__xludf.DUMMYFUNCTION("GOOGLETRANSLATE(L105, ""en"", ""bn"")"),"একটা ছোট খাঁড়ি")</f>
        <v>একটা ছোট খাঁড়ি</v>
      </c>
      <c r="D105" s="4" t="str">
        <f>IFERROR(__xludf.DUMMYFUNCTION("GOOGLETRANSLATE(M105, ""en"", ""bn"")"),"প্রশস্ত, ব্যস্ত নদী")</f>
        <v>প্রশস্ত, ব্যস্ত নদী</v>
      </c>
      <c r="E105" s="4" t="str">
        <f>IFERROR(__xludf.DUMMYFUNCTION("GOOGLETRANSLATE(N105, ""en"", ""bn"")"),"একটি শুকনো নদীর ঘাট")</f>
        <v>একটি শুকনো নদীর ঘাট</v>
      </c>
      <c r="F105" s="4" t="str">
        <f>IFERROR(__xludf.DUMMYFUNCTION("GOOGLETRANSLATE(O105, ""en"", ""bn"")"),"পাহাড়ি স্রোত")</f>
        <v>পাহাড়ি স্রোত</v>
      </c>
      <c r="G105" s="4" t="str">
        <f>IFERROR(__xludf.DUMMYFUNCTION("GOOGLETRANSLATE(P105, ""en"", ""bn"")"),"প্রশস্ত, ব্যস্ত নদী")</f>
        <v>প্রশস্ত, ব্যস্ত নদী</v>
      </c>
      <c r="H105" s="4" t="str">
        <f>IFERROR(__xludf.DUMMYFUNCTION("GOOGLETRANSLATE(Q105, ""en"", ""bn"")"),"ছবি৬")</f>
        <v>ছবি৬</v>
      </c>
      <c r="J105" s="5" t="str">
        <f>IFERROR(__xludf.DUMMYFUNCTION("GOOGLETRANSLATE(A105, ""bn"", ""en"")"),"104")</f>
        <v>104</v>
      </c>
      <c r="K105" s="16" t="s">
        <v>1232</v>
      </c>
      <c r="L105" s="16" t="s">
        <v>1233</v>
      </c>
      <c r="M105" s="16" t="s">
        <v>1234</v>
      </c>
      <c r="N105" s="16" t="s">
        <v>1235</v>
      </c>
      <c r="O105" s="16" t="s">
        <v>1236</v>
      </c>
      <c r="P105" s="16" t="s">
        <v>1234</v>
      </c>
      <c r="Q105" s="7" t="s">
        <v>68</v>
      </c>
    </row>
    <row r="106">
      <c r="A106" s="3">
        <v>105.0</v>
      </c>
      <c r="B106" s="4" t="str">
        <f>IFERROR(__xludf.DUMMYFUNCTION("GOOGLETRANSLATE(K106, ""en"", ""bn"")"),"কয়টি নৌকা দৃশ্যমানভাবে প্রতিযোগিতায় প্রতিদ্বন্দ্বিতা করছে?")</f>
        <v>কয়টি নৌকা দৃশ্যমানভাবে প্রতিযোগিতায় প্রতিদ্বন্দ্বিতা করছে?</v>
      </c>
      <c r="C106" s="4" t="str">
        <f>IFERROR(__xludf.DUMMYFUNCTION("GOOGLETRANSLATE(L106, ""en"", ""bn"")"),"2")</f>
        <v>2</v>
      </c>
      <c r="D106" s="4" t="str">
        <f>IFERROR(__xludf.DUMMYFUNCTION("GOOGLETRANSLATE(M106, ""en"", ""bn"")"),"3")</f>
        <v>3</v>
      </c>
      <c r="E106" s="4" t="str">
        <f>IFERROR(__xludf.DUMMYFUNCTION("GOOGLETRANSLATE(N106, ""en"", ""bn"")"),"৪")</f>
        <v>৪</v>
      </c>
      <c r="F106" s="4" t="str">
        <f>IFERROR(__xludf.DUMMYFUNCTION("GOOGLETRANSLATE(O106, ""en"", ""bn"")"),"৫")</f>
        <v>৫</v>
      </c>
      <c r="G106" s="4" t="str">
        <f>IFERROR(__xludf.DUMMYFUNCTION("GOOGLETRANSLATE(P106, ""en"", ""bn"")"),"৫")</f>
        <v>৫</v>
      </c>
      <c r="H106" s="4" t="str">
        <f>IFERROR(__xludf.DUMMYFUNCTION("GOOGLETRANSLATE(Q106, ""en"", ""bn"")"),"ছবি৬")</f>
        <v>ছবি৬</v>
      </c>
      <c r="J106" s="5" t="str">
        <f>IFERROR(__xludf.DUMMYFUNCTION("GOOGLETRANSLATE(A106, ""bn"", ""en"")"),"105")</f>
        <v>105</v>
      </c>
      <c r="K106" s="16" t="s">
        <v>1267</v>
      </c>
      <c r="L106" s="16">
        <v>2.0</v>
      </c>
      <c r="M106" s="16">
        <v>3.0</v>
      </c>
      <c r="N106" s="16">
        <v>4.0</v>
      </c>
      <c r="O106" s="16">
        <v>5.0</v>
      </c>
      <c r="P106" s="16">
        <v>5.0</v>
      </c>
      <c r="Q106" s="7" t="s">
        <v>68</v>
      </c>
    </row>
    <row r="107">
      <c r="A107" s="3">
        <v>106.0</v>
      </c>
      <c r="B107" s="4" t="str">
        <f>IFERROR(__xludf.DUMMYFUNCTION("GOOGLETRANSLATE(K107, ""en"", ""bn"")"),"পানির রঙের উপর ভিত্তি করে কী অনুমান করা যায়?")</f>
        <v>পানির রঙের উপর ভিত্তি করে কী অনুমান করা যায়?</v>
      </c>
      <c r="C107" s="4" t="str">
        <f>IFERROR(__xludf.DUMMYFUNCTION("GOOGLETRANSLATE(L107, ""en"", ""bn"")"),"এটি একটি স্বচ্ছ, অগভীর নদী")</f>
        <v>এটি একটি স্বচ্ছ, অগভীর নদী</v>
      </c>
      <c r="D107" s="4" t="str">
        <f>IFERROR(__xludf.DUMMYFUNCTION("GOOGLETRANSLATE(M107, ""en"", ""bn"")"),"এটি একটি পরিষ্কার, গভীর হ্রদ।")</f>
        <v>এটি একটি পরিষ্কার, গভীর হ্রদ।</v>
      </c>
      <c r="E107" s="4" t="str">
        <f>IFERROR(__xludf.DUMMYFUNCTION("GOOGLETRANSLATE(N107, ""en"", ""bn"")"),"এটা কর্দমাক্ত নদী,")</f>
        <v>এটা কর্দমাক্ত নদী,</v>
      </c>
      <c r="F107" s="4" t="str">
        <f>IFERROR(__xludf.DUMMYFUNCTION("GOOGLETRANSLATE(O107, ""en"", ""bn"")"),"এটি একটি দূষিত খাল।")</f>
        <v>এটি একটি দূষিত খাল।</v>
      </c>
      <c r="G107" s="4" t="str">
        <f>IFERROR(__xludf.DUMMYFUNCTION("GOOGLETRANSLATE(P107, ""en"", ""bn"")"),"এটা কর্দমাক্ত নদী,")</f>
        <v>এটা কর্দমাক্ত নদী,</v>
      </c>
      <c r="H107" s="4" t="str">
        <f>IFERROR(__xludf.DUMMYFUNCTION("GOOGLETRANSLATE(Q107, ""en"", ""bn"")"),"ছবি৬")</f>
        <v>ছবি৬</v>
      </c>
      <c r="J107" s="5" t="str">
        <f>IFERROR(__xludf.DUMMYFUNCTION("GOOGLETRANSLATE(A107, ""bn"", ""en"")"),"106")</f>
        <v>106</v>
      </c>
      <c r="K107" s="16" t="s">
        <v>1273</v>
      </c>
      <c r="L107" s="16" t="s">
        <v>1274</v>
      </c>
      <c r="M107" s="16" t="s">
        <v>1275</v>
      </c>
      <c r="N107" s="16" t="s">
        <v>1276</v>
      </c>
      <c r="O107" s="16" t="s">
        <v>1277</v>
      </c>
      <c r="P107" s="16" t="s">
        <v>1276</v>
      </c>
      <c r="Q107" s="7" t="s">
        <v>68</v>
      </c>
    </row>
    <row r="108">
      <c r="A108" s="3">
        <v>107.0</v>
      </c>
      <c r="B108" s="4" t="str">
        <f>IFERROR(__xludf.DUMMYFUNCTION("GOOGLETRANSLATE(K108, ""en"", ""bn"")"),"প্রতিটি নৌকার মাঝখানে দাঁড়িয়ে থাকা ব্যক্তির ভূমিকা কী?")</f>
        <v>প্রতিটি নৌকার মাঝখানে দাঁড়িয়ে থাকা ব্যক্তির ভূমিকা কী?</v>
      </c>
      <c r="C108" s="4" t="str">
        <f>IFERROR(__xludf.DUMMYFUNCTION("GOOGLETRANSLATE(L108, ""en"", ""bn"")"),"ওয়ার দিয়ে নৌকা চালাতে")</f>
        <v>ওয়ার দিয়ে নৌকা চালাতে</v>
      </c>
      <c r="D108" s="4" t="str">
        <f>IFERROR(__xludf.DUMMYFUNCTION("GOOGLETRANSLATE(M108, ""en"", ""bn"")"),"পাহারাদার হিসেবে কাজ করা")</f>
        <v>পাহারাদার হিসেবে কাজ করা</v>
      </c>
      <c r="E108" s="4" t="str">
        <f>IFERROR(__xludf.DUMMYFUNCTION("GOOGLETRANSLATE(N108, ""en"", ""bn"")"),"অন্য নৌকাগুলোকে সংকেত দিতে")</f>
        <v>অন্য নৌকাগুলোকে সংকেত দিতে</v>
      </c>
      <c r="F108" s="4" t="str">
        <f>IFERROR(__xludf.DUMMYFUNCTION("GOOGLETRANSLATE(O108, ""en"", ""bn"")"),"তালের জন্য ঢোল বাজানো")</f>
        <v>তালের জন্য ঢোল বাজানো</v>
      </c>
      <c r="G108" s="4" t="str">
        <f>IFERROR(__xludf.DUMMYFUNCTION("GOOGLETRANSLATE(P108, ""en"", ""bn"")"),"তালের জন্য ঢোল বাজানো")</f>
        <v>তালের জন্য ঢোল বাজানো</v>
      </c>
      <c r="H108" s="4" t="str">
        <f>IFERROR(__xludf.DUMMYFUNCTION("GOOGLETRANSLATE(Q108, ""en"", ""bn"")"),"ছবি৬")</f>
        <v>ছবি৬</v>
      </c>
      <c r="J108" s="5" t="str">
        <f>IFERROR(__xludf.DUMMYFUNCTION("GOOGLETRANSLATE(A108, ""bn"", ""en"")"),"107")</f>
        <v>107</v>
      </c>
      <c r="K108" s="16" t="s">
        <v>1296</v>
      </c>
      <c r="L108" s="16" t="s">
        <v>1279</v>
      </c>
      <c r="M108" s="16" t="s">
        <v>1218</v>
      </c>
      <c r="N108" s="16" t="s">
        <v>1280</v>
      </c>
      <c r="O108" s="16" t="s">
        <v>1281</v>
      </c>
      <c r="P108" s="16" t="s">
        <v>1281</v>
      </c>
      <c r="Q108" s="7" t="s">
        <v>68</v>
      </c>
      <c r="R108" s="18"/>
      <c r="S108" s="18"/>
      <c r="T108" s="18"/>
    </row>
    <row r="109">
      <c r="A109" s="3">
        <v>108.0</v>
      </c>
      <c r="B109" s="4" t="str">
        <f>IFERROR(__xludf.DUMMYFUNCTION("GOOGLETRANSLATE(K109, ""en"", ""bn"")"),"নৌকাচালকরা তাদের সুরের সুরে সুর মেলানোর জন্য যে লোকগান গায়, তার একটি সাধারণ নাম কী?")</f>
        <v>নৌকাচালকরা তাদের সুরের সুরে সুর মেলানোর জন্য যে লোকগান গায়, তার একটি সাধারণ নাম কী?</v>
      </c>
      <c r="C109" s="4" t="str">
        <f>IFERROR(__xludf.DUMMYFUNCTION("GOOGLETRANSLATE(L109, ""en"", ""bn"")"),"বাউল গান")</f>
        <v>বাউল গান</v>
      </c>
      <c r="D109" s="4" t="str">
        <f>IFERROR(__xludf.DUMMYFUNCTION("GOOGLETRANSLATE(M109, ""en"", ""bn"")"),"শাড়ি গান")</f>
        <v>শাড়ি গান</v>
      </c>
      <c r="E109" s="4" t="str">
        <f>IFERROR(__xludf.DUMMYFUNCTION("GOOGLETRANSLATE(N109, ""en"", ""bn"")"),"লালন গিট")</f>
        <v>লালন গিট</v>
      </c>
      <c r="F109" s="4" t="str">
        <f>IFERROR(__xludf.DUMMYFUNCTION("GOOGLETRANSLATE(O109, ""en"", ""bn"")"),"ধ্রুপদী")</f>
        <v>ধ্রুপদী</v>
      </c>
      <c r="G109" s="4" t="str">
        <f>IFERROR(__xludf.DUMMYFUNCTION("GOOGLETRANSLATE(P109, ""en"", ""bn"")"),"শাড়ি গান")</f>
        <v>শাড়ি গান</v>
      </c>
      <c r="H109" s="4" t="str">
        <f>IFERROR(__xludf.DUMMYFUNCTION("GOOGLETRANSLATE(Q109, ""en"", ""bn"")"),"ছবি৬")</f>
        <v>ছবি৬</v>
      </c>
      <c r="J109" s="5" t="str">
        <f>IFERROR(__xludf.DUMMYFUNCTION("GOOGLETRANSLATE(A109, ""bn"", ""en"")"),"108")</f>
        <v>108</v>
      </c>
      <c r="K109" s="16" t="s">
        <v>1282</v>
      </c>
      <c r="L109" s="16" t="s">
        <v>1253</v>
      </c>
      <c r="M109" s="16" t="s">
        <v>1254</v>
      </c>
      <c r="N109" s="16" t="s">
        <v>1255</v>
      </c>
      <c r="O109" s="16" t="s">
        <v>1256</v>
      </c>
      <c r="P109" s="16" t="s">
        <v>1254</v>
      </c>
      <c r="Q109" s="7" t="s">
        <v>68</v>
      </c>
    </row>
    <row r="110">
      <c r="A110" s="3">
        <v>109.0</v>
      </c>
      <c r="B110" s="4" t="str">
        <f>IFERROR(__xludf.DUMMYFUNCTION("GOOGLETRANSLATE(K110, ""en"", ""bn"")"),"অংশগ্রহণকারীরা নৌকা চালানোর জন্য কোন হাতিয়ার ব্যবহার করছে?")</f>
        <v>অংশগ্রহণকারীরা নৌকা চালানোর জন্য কোন হাতিয়ার ব্যবহার করছে?</v>
      </c>
      <c r="C110" s="4" t="str">
        <f>IFERROR(__xludf.DUMMYFUNCTION("GOOGLETRANSLATE(L110, ""en"", ""bn"")"),"দাঁড়")</f>
        <v>দাঁড়</v>
      </c>
      <c r="D110" s="4" t="str">
        <f>IFERROR(__xludf.DUMMYFUNCTION("GOOGLETRANSLATE(M110, ""en"", ""bn"")"),"প্যাডেল")</f>
        <v>প্যাডেল</v>
      </c>
      <c r="E110" s="4" t="str">
        <f>IFERROR(__xludf.DUMMYFUNCTION("GOOGLETRANSLATE(N110, ""en"", ""bn"")"),"খুঁটি")</f>
        <v>খুঁটি</v>
      </c>
      <c r="F110" s="4" t="str">
        <f>IFERROR(__xludf.DUMMYFUNCTION("GOOGLETRANSLATE(O110, ""en"", ""bn"")"),"মোটর")</f>
        <v>মোটর</v>
      </c>
      <c r="G110" s="4" t="str">
        <f>IFERROR(__xludf.DUMMYFUNCTION("GOOGLETRANSLATE(P110, ""en"", ""bn"")"),"প্যাডেল")</f>
        <v>প্যাডেল</v>
      </c>
      <c r="H110" s="4" t="str">
        <f>IFERROR(__xludf.DUMMYFUNCTION("GOOGLETRANSLATE(Q110, ""en"", ""bn"")"),"ছবি৬")</f>
        <v>ছবি৬</v>
      </c>
      <c r="J110" s="5" t="str">
        <f>IFERROR(__xludf.DUMMYFUNCTION("GOOGLETRANSLATE(A110, ""bn"", ""en"")"),"109")</f>
        <v>109</v>
      </c>
      <c r="K110" s="16" t="s">
        <v>1283</v>
      </c>
      <c r="L110" s="16" t="s">
        <v>1165</v>
      </c>
      <c r="M110" s="16" t="s">
        <v>1162</v>
      </c>
      <c r="N110" s="16" t="s">
        <v>1284</v>
      </c>
      <c r="O110" s="16" t="s">
        <v>1285</v>
      </c>
      <c r="P110" s="16" t="s">
        <v>1162</v>
      </c>
      <c r="Q110" s="7" t="s">
        <v>68</v>
      </c>
    </row>
    <row r="111">
      <c r="A111" s="3">
        <v>110.0</v>
      </c>
      <c r="B111" s="4" t="str">
        <f>IFERROR(__xludf.DUMMYFUNCTION("GOOGLETRANSLATE(K111, ""en"", ""bn"")"),"নৌকাগুলির বিন্যাস প্রতিযোগিতা সম্পর্কে কী ইঙ্গিত দেয়?")</f>
        <v>নৌকাগুলির বিন্যাস প্রতিযোগিতা সম্পর্কে কী ইঙ্গিত দেয়?</v>
      </c>
      <c r="C111" s="4" t="str">
        <f>IFERROR(__xludf.DUMMYFUNCTION("GOOGLETRANSLATE(L111, ""en"", ""bn"")"),"নিরাপত্তার জন্য তাদের আলাদা করে রাখা হয়েছে")</f>
        <v>নিরাপত্তার জন্য তাদের আলাদা করে রাখা হয়েছে</v>
      </c>
      <c r="D111" s="4" t="str">
        <f>IFERROR(__xludf.DUMMYFUNCTION("GOOGLETRANSLATE(M111,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E111" s="4" t="str">
        <f>IFERROR(__xludf.DUMMYFUNCTION("GOOGLETRANSLATE(N111, ""en"", ""bn"")"),"তারা একসাথে মজা করার জন্য ভ্রমণ করছে")</f>
        <v>তারা একসাথে মজা করার জন্য ভ্রমণ করছে</v>
      </c>
      <c r="F111" s="4" t="str">
        <f>IFERROR(__xludf.DUMMYFUNCTION("GOOGLETRANSLATE(O111, ""en"", ""bn"")"),"তারা শুরু করার জন্য প্রস্তুত হচ্ছে")</f>
        <v>তারা শুরু করার জন্য প্রস্তুত হচ্ছে</v>
      </c>
      <c r="G111" s="4" t="str">
        <f>IFERROR(__xludf.DUMMYFUNCTION("GOOGLETRANSLATE(P111,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H111" s="4" t="str">
        <f>IFERROR(__xludf.DUMMYFUNCTION("GOOGLETRANSLATE(Q111, ""en"", ""bn"")"),"ছবি৬")</f>
        <v>ছবি৬</v>
      </c>
      <c r="J111" s="5" t="str">
        <f>IFERROR(__xludf.DUMMYFUNCTION("GOOGLETRANSLATE(A111, ""bn"", ""en"")"),"110")</f>
        <v>110</v>
      </c>
      <c r="K111" s="16" t="s">
        <v>1286</v>
      </c>
      <c r="L111" s="16" t="s">
        <v>1287</v>
      </c>
      <c r="M111" s="16" t="s">
        <v>1288</v>
      </c>
      <c r="N111" s="16" t="s">
        <v>1289</v>
      </c>
      <c r="O111" s="16" t="s">
        <v>1290</v>
      </c>
      <c r="P111" s="16" t="s">
        <v>1288</v>
      </c>
      <c r="Q111" s="7" t="s">
        <v>68</v>
      </c>
    </row>
    <row r="112">
      <c r="A112" s="3">
        <v>111.0</v>
      </c>
      <c r="B112" s="4" t="str">
        <f>IFERROR(__xludf.DUMMYFUNCTION("GOOGLETRANSLATE(K112, ""en"", ""bn"")"),"ছবিতে নৌকার প্রধান বৈশিষ্ট্য কী?")</f>
        <v>ছবিতে নৌকার প্রধান বৈশিষ্ট্য কী?</v>
      </c>
      <c r="C112" s="4" t="str">
        <f>IFERROR(__xludf.DUMMYFUNCTION("GOOGLETRANSLATE(L112, ""en"", ""bn"")"),"তারা ছোট এবং প্রশস্ত হয়")</f>
        <v>তারা ছোট এবং প্রশস্ত হয়</v>
      </c>
      <c r="D112" s="4" t="str">
        <f>IFERROR(__xludf.DUMMYFUNCTION("GOOGLETRANSLATE(M112, ""en"", ""bn"")"),"এগুলো লম্বা এবং সরু")</f>
        <v>এগুলো লম্বা এবং সরু</v>
      </c>
      <c r="E112" s="4" t="str">
        <f>IFERROR(__xludf.DUMMYFUNCTION("GOOGLETRANSLATE(N112, ""en"", ""bn"")"),"তাদের মোটর আছে")</f>
        <v>তাদের মোটর আছে</v>
      </c>
      <c r="F112" s="4" t="str">
        <f>IFERROR(__xludf.DUMMYFUNCTION("GOOGLETRANSLATE(O112, ""en"", ""bn"")"),"ওরা পালতোলা নৌকা।")</f>
        <v>ওরা পালতোলা নৌকা।</v>
      </c>
      <c r="G112" s="4" t="str">
        <f>IFERROR(__xludf.DUMMYFUNCTION("GOOGLETRANSLATE(P112, ""en"", ""bn"")"),"এগুলো লম্বা এবং সরু")</f>
        <v>এগুলো লম্বা এবং সরু</v>
      </c>
      <c r="H112" s="4" t="str">
        <f>IFERROR(__xludf.DUMMYFUNCTION("GOOGLETRANSLATE(Q112, ""en"", ""bn"")"),"ছবি7")</f>
        <v>ছবি7</v>
      </c>
      <c r="J112" s="5" t="str">
        <f>IFERROR(__xludf.DUMMYFUNCTION("GOOGLETRANSLATE(A112, ""bn"", ""en"")"),"111")</f>
        <v>111</v>
      </c>
      <c r="K112" s="16" t="s">
        <v>1207</v>
      </c>
      <c r="L112" s="16" t="s">
        <v>1208</v>
      </c>
      <c r="M112" s="16" t="s">
        <v>1209</v>
      </c>
      <c r="N112" s="16" t="s">
        <v>1291</v>
      </c>
      <c r="O112" s="16" t="s">
        <v>1211</v>
      </c>
      <c r="P112" s="16" t="s">
        <v>1209</v>
      </c>
      <c r="Q112" s="7" t="s">
        <v>72</v>
      </c>
    </row>
    <row r="113">
      <c r="A113" s="3">
        <v>112.0</v>
      </c>
      <c r="B113" s="4" t="str">
        <f>IFERROR(__xludf.DUMMYFUNCTION("GOOGLETRANSLATE(K113, ""en"", ""bn"")"),"অগ্রভাগের নৌকায় rowers এর পোশাক কি?")</f>
        <v>অগ্রভাগের নৌকায় rowers এর পোশাক কি?</v>
      </c>
      <c r="C113" s="4" t="str">
        <f>IFERROR(__xludf.DUMMYFUNCTION("GOOGLETRANSLATE(L113, ""en"", ""bn"")"),"কালো শার্ট")</f>
        <v>কালো শার্ট</v>
      </c>
      <c r="D113" s="4" t="str">
        <f>IFERROR(__xludf.DUMMYFUNCTION("GOOGLETRANSLATE(M113, ""en"", ""bn"")"),"সবুজ এবং সাদা শার্ট")</f>
        <v>সবুজ এবং সাদা শার্ট</v>
      </c>
      <c r="E113" s="4" t="str">
        <f>IFERROR(__xludf.DUMMYFUNCTION("GOOGLETRANSLATE(N113, ""en"", ""bn"")"),"সবুজ শার্ট এবং নীল শর্টস")</f>
        <v>সবুজ শার্ট এবং নীল শর্টস</v>
      </c>
      <c r="F113" s="4" t="str">
        <f>IFERROR(__xludf.DUMMYFUNCTION("GOOGLETRANSLATE(O113, ""en"", ""bn"")"),"ঐতিহ্যবাহী লম্বা পোশাক")</f>
        <v>ঐতিহ্যবাহী লম্বা পোশাক</v>
      </c>
      <c r="G113" s="4" t="str">
        <f>IFERROR(__xludf.DUMMYFUNCTION("GOOGLETRANSLATE(P113, ""en"", ""bn"")"),"নীল ও হলুদ শার্ট")</f>
        <v>নীল ও হলুদ শার্ট</v>
      </c>
      <c r="H113" s="4" t="str">
        <f>IFERROR(__xludf.DUMMYFUNCTION("GOOGLETRANSLATE(Q113, ""en"", ""bn"")"),"ছবি7")</f>
        <v>ছবি7</v>
      </c>
      <c r="J113" s="5" t="str">
        <f>IFERROR(__xludf.DUMMYFUNCTION("GOOGLETRANSLATE(A113, ""bn"", ""en"")"),"112")</f>
        <v>112</v>
      </c>
      <c r="K113" s="16" t="s">
        <v>1212</v>
      </c>
      <c r="L113" s="16" t="s">
        <v>1292</v>
      </c>
      <c r="M113" s="16" t="s">
        <v>1293</v>
      </c>
      <c r="N113" s="16" t="s">
        <v>1294</v>
      </c>
      <c r="O113" s="16" t="s">
        <v>1216</v>
      </c>
      <c r="P113" s="16" t="s">
        <v>1310</v>
      </c>
      <c r="Q113" s="7" t="s">
        <v>72</v>
      </c>
    </row>
    <row r="114">
      <c r="A114" s="3">
        <v>113.0</v>
      </c>
      <c r="B114" s="4" t="str">
        <f>IFERROR(__xludf.DUMMYFUNCTION("GOOGLETRANSLATE(K114, ""en"", ""bn"")"),"সামনের দিকে নৌকায় নৌকাচালকের আনুমানিক সংখ্যা কত?")</f>
        <v>সামনের দিকে নৌকায় নৌকাচালকের আনুমানিক সংখ্যা কত?</v>
      </c>
      <c r="C114" s="4" t="str">
        <f>IFERROR(__xludf.DUMMYFUNCTION("GOOGLETRANSLATE(L114, ""en"", ""bn"")"),"20")</f>
        <v>20</v>
      </c>
      <c r="D114" s="4" t="str">
        <f>IFERROR(__xludf.DUMMYFUNCTION("GOOGLETRANSLATE(M114, ""en"", ""bn"")"),"30")</f>
        <v>30</v>
      </c>
      <c r="E114" s="4" t="str">
        <f>IFERROR(__xludf.DUMMYFUNCTION("GOOGLETRANSLATE(N114, ""en"", ""bn"")"),"৪০")</f>
        <v>৪০</v>
      </c>
      <c r="F114" s="4" t="str">
        <f>IFERROR(__xludf.DUMMYFUNCTION("GOOGLETRANSLATE(O114, ""en"", ""bn"")"),"৫০")</f>
        <v>৫০</v>
      </c>
      <c r="G114" s="4" t="str">
        <f>IFERROR(__xludf.DUMMYFUNCTION("GOOGLETRANSLATE(P114, ""en"", ""bn"")"),"৫০")</f>
        <v>৫০</v>
      </c>
      <c r="H114" s="4" t="str">
        <f>IFERROR(__xludf.DUMMYFUNCTION("GOOGLETRANSLATE(Q114, ""en"", ""bn"")"),"ছবি7")</f>
        <v>ছবি7</v>
      </c>
      <c r="J114" s="5" t="str">
        <f>IFERROR(__xludf.DUMMYFUNCTION("GOOGLETRANSLATE(A114, ""bn"", ""en"")"),"113")</f>
        <v>113</v>
      </c>
      <c r="K114" s="16" t="s">
        <v>1295</v>
      </c>
      <c r="L114" s="16">
        <v>20.0</v>
      </c>
      <c r="M114" s="16">
        <v>30.0</v>
      </c>
      <c r="N114" s="16">
        <v>40.0</v>
      </c>
      <c r="O114" s="16">
        <v>50.0</v>
      </c>
      <c r="P114" s="16">
        <v>50.0</v>
      </c>
      <c r="Q114" s="7" t="s">
        <v>72</v>
      </c>
    </row>
    <row r="115">
      <c r="A115" s="3">
        <v>114.0</v>
      </c>
      <c r="B115" s="4" t="str">
        <f>IFERROR(__xludf.DUMMYFUNCTION("GOOGLETRANSLATE(K115, ""en"", ""bn"")"),"চিত্রে নদী সেটিং কি ধরনের চিত্রিত করা হয়েছে?")</f>
        <v>চিত্রে নদী সেটিং কি ধরনের চিত্রিত করা হয়েছে?</v>
      </c>
      <c r="C115" s="4" t="str">
        <f>IFERROR(__xludf.DUMMYFUNCTION("GOOGLETRANSLATE(L115, ""en"", ""bn"")"),"একটা ছোট খাঁড়ি")</f>
        <v>একটা ছোট খাঁড়ি</v>
      </c>
      <c r="D115" s="4" t="str">
        <f>IFERROR(__xludf.DUMMYFUNCTION("GOOGLETRANSLATE(M115, ""en"", ""bn"")"),"প্রশস্ত, ব্যস্ত নদী")</f>
        <v>প্রশস্ত, ব্যস্ত নদী</v>
      </c>
      <c r="E115" s="4" t="str">
        <f>IFERROR(__xludf.DUMMYFUNCTION("GOOGLETRANSLATE(N115, ""en"", ""bn"")"),"একটি শুকনো নদীর ঘাট")</f>
        <v>একটি শুকনো নদীর ঘাট</v>
      </c>
      <c r="F115" s="4" t="str">
        <f>IFERROR(__xludf.DUMMYFUNCTION("GOOGLETRANSLATE(O115, ""en"", ""bn"")"),"পাহাড়ি স্রোত")</f>
        <v>পাহাড়ি স্রোত</v>
      </c>
      <c r="G115" s="4" t="str">
        <f>IFERROR(__xludf.DUMMYFUNCTION("GOOGLETRANSLATE(P115, ""en"", ""bn"")"),"প্রশস্ত, ব্যস্ত নদী")</f>
        <v>প্রশস্ত, ব্যস্ত নদী</v>
      </c>
      <c r="H115" s="4" t="str">
        <f>IFERROR(__xludf.DUMMYFUNCTION("GOOGLETRANSLATE(Q115, ""en"", ""bn"")"),"ছবি7")</f>
        <v>ছবি7</v>
      </c>
      <c r="J115" s="5" t="str">
        <f>IFERROR(__xludf.DUMMYFUNCTION("GOOGLETRANSLATE(A115, ""bn"", ""en"")"),"114")</f>
        <v>114</v>
      </c>
      <c r="K115" s="16" t="s">
        <v>1232</v>
      </c>
      <c r="L115" s="16" t="s">
        <v>1233</v>
      </c>
      <c r="M115" s="16" t="s">
        <v>1234</v>
      </c>
      <c r="N115" s="16" t="s">
        <v>1235</v>
      </c>
      <c r="O115" s="16" t="s">
        <v>1236</v>
      </c>
      <c r="P115" s="16" t="s">
        <v>1234</v>
      </c>
      <c r="Q115" s="7" t="s">
        <v>72</v>
      </c>
    </row>
    <row r="116">
      <c r="A116" s="3">
        <v>115.0</v>
      </c>
      <c r="B116" s="4" t="str">
        <f>IFERROR(__xludf.DUMMYFUNCTION("GOOGLETRANSLATE(K116, ""en"", ""bn"")"),"কয়টি নৌকা দৃশ্যমানভাবে প্রতিযোগিতায় প্রতিদ্বন্দ্বিতা করছে?")</f>
        <v>কয়টি নৌকা দৃশ্যমানভাবে প্রতিযোগিতায় প্রতিদ্বন্দ্বিতা করছে?</v>
      </c>
      <c r="C116" s="4" t="str">
        <f>IFERROR(__xludf.DUMMYFUNCTION("GOOGLETRANSLATE(L116, ""en"", ""bn"")"),"2")</f>
        <v>2</v>
      </c>
      <c r="D116" s="4" t="str">
        <f>IFERROR(__xludf.DUMMYFUNCTION("GOOGLETRANSLATE(M116, ""en"", ""bn"")"),"3")</f>
        <v>3</v>
      </c>
      <c r="E116" s="4" t="str">
        <f>IFERROR(__xludf.DUMMYFUNCTION("GOOGLETRANSLATE(N116, ""en"", ""bn"")"),"৪")</f>
        <v>৪</v>
      </c>
      <c r="F116" s="4" t="str">
        <f>IFERROR(__xludf.DUMMYFUNCTION("GOOGLETRANSLATE(O116, ""en"", ""bn"")"),"৫")</f>
        <v>৫</v>
      </c>
      <c r="G116" s="4" t="str">
        <f>IFERROR(__xludf.DUMMYFUNCTION("GOOGLETRANSLATE(P116, ""en"", ""bn"")"),"৫")</f>
        <v>৫</v>
      </c>
      <c r="H116" s="4" t="str">
        <f>IFERROR(__xludf.DUMMYFUNCTION("GOOGLETRANSLATE(Q116, ""en"", ""bn"")"),"ছবি7")</f>
        <v>ছবি7</v>
      </c>
      <c r="J116" s="5" t="str">
        <f>IFERROR(__xludf.DUMMYFUNCTION("GOOGLETRANSLATE(A116, ""bn"", ""en"")"),"115")</f>
        <v>115</v>
      </c>
      <c r="K116" s="16" t="s">
        <v>1267</v>
      </c>
      <c r="L116" s="16">
        <v>2.0</v>
      </c>
      <c r="M116" s="16">
        <v>3.0</v>
      </c>
      <c r="N116" s="16">
        <v>4.0</v>
      </c>
      <c r="O116" s="16">
        <v>5.0</v>
      </c>
      <c r="P116" s="16">
        <v>5.0</v>
      </c>
      <c r="Q116" s="7" t="s">
        <v>72</v>
      </c>
    </row>
    <row r="117">
      <c r="A117" s="3">
        <v>116.0</v>
      </c>
      <c r="B117" s="4" t="str">
        <f>IFERROR(__xludf.DUMMYFUNCTION("GOOGLETRANSLATE(K117, ""en"", ""bn"")"),"পানির রঙের উপর ভিত্তি করে কী অনুমান করা যায়?")</f>
        <v>পানির রঙের উপর ভিত্তি করে কী অনুমান করা যায়?</v>
      </c>
      <c r="C117" s="4" t="str">
        <f>IFERROR(__xludf.DUMMYFUNCTION("GOOGLETRANSLATE(L117, ""en"", ""bn"")"),"এটি একটি স্বচ্ছ, অগভীর নদী")</f>
        <v>এটি একটি স্বচ্ছ, অগভীর নদী</v>
      </c>
      <c r="D117" s="4" t="str">
        <f>IFERROR(__xludf.DUMMYFUNCTION("GOOGLETRANSLATE(M117, ""en"", ""bn"")"),"এটি একটি পরিষ্কার, গভীর হ্রদ।")</f>
        <v>এটি একটি পরিষ্কার, গভীর হ্রদ।</v>
      </c>
      <c r="E117" s="4" t="str">
        <f>IFERROR(__xludf.DUMMYFUNCTION("GOOGLETRANSLATE(N117, ""en"", ""bn"")"),"এটা কর্দমাক্ত নদী,")</f>
        <v>এটা কর্দমাক্ত নদী,</v>
      </c>
      <c r="F117" s="4" t="str">
        <f>IFERROR(__xludf.DUMMYFUNCTION("GOOGLETRANSLATE(O117, ""en"", ""bn"")"),"এটি একটি দূষিত খাল।")</f>
        <v>এটি একটি দূষিত খাল।</v>
      </c>
      <c r="G117" s="4" t="str">
        <f>IFERROR(__xludf.DUMMYFUNCTION("GOOGLETRANSLATE(P117, ""en"", ""bn"")"),"এটা কর্দমাক্ত নদী,")</f>
        <v>এটা কর্দমাক্ত নদী,</v>
      </c>
      <c r="H117" s="4" t="str">
        <f>IFERROR(__xludf.DUMMYFUNCTION("GOOGLETRANSLATE(Q117, ""en"", ""bn"")"),"ছবি7")</f>
        <v>ছবি7</v>
      </c>
      <c r="J117" s="5" t="str">
        <f>IFERROR(__xludf.DUMMYFUNCTION("GOOGLETRANSLATE(A117, ""bn"", ""en"")"),"116")</f>
        <v>116</v>
      </c>
      <c r="K117" s="16" t="s">
        <v>1273</v>
      </c>
      <c r="L117" s="16" t="s">
        <v>1274</v>
      </c>
      <c r="M117" s="16" t="s">
        <v>1275</v>
      </c>
      <c r="N117" s="16" t="s">
        <v>1276</v>
      </c>
      <c r="O117" s="16" t="s">
        <v>1277</v>
      </c>
      <c r="P117" s="16" t="s">
        <v>1276</v>
      </c>
      <c r="Q117" s="7" t="s">
        <v>72</v>
      </c>
    </row>
    <row r="118">
      <c r="A118" s="3">
        <v>117.0</v>
      </c>
      <c r="B118" s="4" t="str">
        <f>IFERROR(__xludf.DUMMYFUNCTION("GOOGLETRANSLATE(K118, ""en"", ""bn"")"),"প্রতিটি নৌকার মাঝখানে দাঁড়িয়ে থাকা ব্যক্তির ভূমিকা কী?")</f>
        <v>প্রতিটি নৌকার মাঝখানে দাঁড়িয়ে থাকা ব্যক্তির ভূমিকা কী?</v>
      </c>
      <c r="C118" s="4" t="str">
        <f>IFERROR(__xludf.DUMMYFUNCTION("GOOGLETRANSLATE(L118, ""en"", ""bn"")"),"ওয়ার দিয়ে নৌকা চালাতে")</f>
        <v>ওয়ার দিয়ে নৌকা চালাতে</v>
      </c>
      <c r="D118" s="4" t="str">
        <f>IFERROR(__xludf.DUMMYFUNCTION("GOOGLETRANSLATE(M118, ""en"", ""bn"")"),"পাহারাদার হিসেবে কাজ করা")</f>
        <v>পাহারাদার হিসেবে কাজ করা</v>
      </c>
      <c r="E118" s="4" t="str">
        <f>IFERROR(__xludf.DUMMYFUNCTION("GOOGLETRANSLATE(N118, ""en"", ""bn"")"),"অন্য নৌকাগুলোকে সংকেত দিতে")</f>
        <v>অন্য নৌকাগুলোকে সংকেত দিতে</v>
      </c>
      <c r="F118" s="4" t="str">
        <f>IFERROR(__xludf.DUMMYFUNCTION("GOOGLETRANSLATE(O118, ""en"", ""bn"")"),"তালের জন্য ঢোল বাজানো")</f>
        <v>তালের জন্য ঢোল বাজানো</v>
      </c>
      <c r="G118" s="4" t="str">
        <f>IFERROR(__xludf.DUMMYFUNCTION("GOOGLETRANSLATE(P118, ""en"", ""bn"")"),"তালের জন্য ঢোল বাজানো")</f>
        <v>তালের জন্য ঢোল বাজানো</v>
      </c>
      <c r="H118" s="4" t="str">
        <f>IFERROR(__xludf.DUMMYFUNCTION("GOOGLETRANSLATE(Q118, ""en"", ""bn"")"),"ছবি7")</f>
        <v>ছবি7</v>
      </c>
      <c r="J118" s="5" t="str">
        <f>IFERROR(__xludf.DUMMYFUNCTION("GOOGLETRANSLATE(A118, ""bn"", ""en"")"),"117")</f>
        <v>117</v>
      </c>
      <c r="K118" s="16" t="s">
        <v>1296</v>
      </c>
      <c r="L118" s="16" t="s">
        <v>1279</v>
      </c>
      <c r="M118" s="16" t="s">
        <v>1218</v>
      </c>
      <c r="N118" s="16" t="s">
        <v>1280</v>
      </c>
      <c r="O118" s="16" t="s">
        <v>1281</v>
      </c>
      <c r="P118" s="16" t="s">
        <v>1281</v>
      </c>
      <c r="Q118" s="7" t="s">
        <v>72</v>
      </c>
    </row>
    <row r="119">
      <c r="A119" s="3">
        <v>118.0</v>
      </c>
      <c r="B119" s="4" t="str">
        <f>IFERROR(__xludf.DUMMYFUNCTION("GOOGLETRANSLATE(K119, ""en"", ""bn"")"),"নৌকাচালকরা তাদের সুরের সুরে সুর মেলানোর জন্য যে লোকগান গায়, তার একটি সাধারণ নাম কী?")</f>
        <v>নৌকাচালকরা তাদের সুরের সুরে সুর মেলানোর জন্য যে লোকগান গায়, তার একটি সাধারণ নাম কী?</v>
      </c>
      <c r="C119" s="4" t="str">
        <f>IFERROR(__xludf.DUMMYFUNCTION("GOOGLETRANSLATE(L119, ""en"", ""bn"")"),"বাউল গান")</f>
        <v>বাউল গান</v>
      </c>
      <c r="D119" s="4" t="str">
        <f>IFERROR(__xludf.DUMMYFUNCTION("GOOGLETRANSLATE(M119, ""en"", ""bn"")"),"শাড়ি গান")</f>
        <v>শাড়ি গান</v>
      </c>
      <c r="E119" s="4" t="str">
        <f>IFERROR(__xludf.DUMMYFUNCTION("GOOGLETRANSLATE(N119, ""en"", ""bn"")"),"লালন গিট")</f>
        <v>লালন গিট</v>
      </c>
      <c r="F119" s="4" t="str">
        <f>IFERROR(__xludf.DUMMYFUNCTION("GOOGLETRANSLATE(O119, ""en"", ""bn"")"),"ধ্রুপদী")</f>
        <v>ধ্রুপদী</v>
      </c>
      <c r="G119" s="4" t="str">
        <f>IFERROR(__xludf.DUMMYFUNCTION("GOOGLETRANSLATE(P119, ""en"", ""bn"")"),"শাড়ি গান")</f>
        <v>শাড়ি গান</v>
      </c>
      <c r="H119" s="4" t="str">
        <f>IFERROR(__xludf.DUMMYFUNCTION("GOOGLETRANSLATE(Q119, ""en"", ""bn"")"),"ছবি7")</f>
        <v>ছবি7</v>
      </c>
      <c r="J119" s="5" t="str">
        <f>IFERROR(__xludf.DUMMYFUNCTION("GOOGLETRANSLATE(A119, ""bn"", ""en"")"),"118")</f>
        <v>118</v>
      </c>
      <c r="K119" s="16" t="s">
        <v>1282</v>
      </c>
      <c r="L119" s="16" t="s">
        <v>1253</v>
      </c>
      <c r="M119" s="16" t="s">
        <v>1254</v>
      </c>
      <c r="N119" s="16" t="s">
        <v>1255</v>
      </c>
      <c r="O119" s="16" t="s">
        <v>1256</v>
      </c>
      <c r="P119" s="16" t="s">
        <v>1254</v>
      </c>
      <c r="Q119" s="7" t="s">
        <v>72</v>
      </c>
    </row>
    <row r="120">
      <c r="A120" s="3">
        <v>119.0</v>
      </c>
      <c r="B120" s="4" t="str">
        <f>IFERROR(__xludf.DUMMYFUNCTION("GOOGLETRANSLATE(K120, ""en"", ""bn"")"),"অংশগ্রহণকারীরা নৌকা চালানোর জন্য কোন হাতিয়ার ব্যবহার করছে?")</f>
        <v>অংশগ্রহণকারীরা নৌকা চালানোর জন্য কোন হাতিয়ার ব্যবহার করছে?</v>
      </c>
      <c r="C120" s="4" t="str">
        <f>IFERROR(__xludf.DUMMYFUNCTION("GOOGLETRANSLATE(L120, ""en"", ""bn"")"),"দাঁড়")</f>
        <v>দাঁড়</v>
      </c>
      <c r="D120" s="4" t="str">
        <f>IFERROR(__xludf.DUMMYFUNCTION("GOOGLETRANSLATE(M120, ""en"", ""bn"")"),"প্যাডেল")</f>
        <v>প্যাডেল</v>
      </c>
      <c r="E120" s="4" t="str">
        <f>IFERROR(__xludf.DUMMYFUNCTION("GOOGLETRANSLATE(N120, ""en"", ""bn"")"),"খুঁটি")</f>
        <v>খুঁটি</v>
      </c>
      <c r="F120" s="4" t="str">
        <f>IFERROR(__xludf.DUMMYFUNCTION("GOOGLETRANSLATE(O120, ""en"", ""bn"")"),"মোটর")</f>
        <v>মোটর</v>
      </c>
      <c r="G120" s="4" t="str">
        <f>IFERROR(__xludf.DUMMYFUNCTION("GOOGLETRANSLATE(P120, ""en"", ""bn"")"),"প্যাডেল")</f>
        <v>প্যাডেল</v>
      </c>
      <c r="H120" s="4" t="str">
        <f>IFERROR(__xludf.DUMMYFUNCTION("GOOGLETRANSLATE(Q120, ""en"", ""bn"")"),"ছবি7")</f>
        <v>ছবি7</v>
      </c>
      <c r="J120" s="5" t="str">
        <f>IFERROR(__xludf.DUMMYFUNCTION("GOOGLETRANSLATE(A120, ""bn"", ""en"")"),"119")</f>
        <v>119</v>
      </c>
      <c r="K120" s="16" t="s">
        <v>1283</v>
      </c>
      <c r="L120" s="16" t="s">
        <v>1165</v>
      </c>
      <c r="M120" s="16" t="s">
        <v>1162</v>
      </c>
      <c r="N120" s="16" t="s">
        <v>1284</v>
      </c>
      <c r="O120" s="16" t="s">
        <v>1285</v>
      </c>
      <c r="P120" s="16" t="s">
        <v>1162</v>
      </c>
      <c r="Q120" s="7" t="s">
        <v>72</v>
      </c>
      <c r="R120" s="18"/>
      <c r="S120" s="18"/>
    </row>
    <row r="121">
      <c r="A121" s="3">
        <v>120.0</v>
      </c>
      <c r="B121" s="4" t="str">
        <f>IFERROR(__xludf.DUMMYFUNCTION("GOOGLETRANSLATE(K121, ""en"", ""bn"")"),"নৌকাগুলির বিন্যাস প্রতিযোগিতা সম্পর্কে কী ইঙ্গিত দেয়?")</f>
        <v>নৌকাগুলির বিন্যাস প্রতিযোগিতা সম্পর্কে কী ইঙ্গিত দেয়?</v>
      </c>
      <c r="C121" s="4" t="str">
        <f>IFERROR(__xludf.DUMMYFUNCTION("GOOGLETRANSLATE(L121, ""en"", ""bn"")"),"নিরাপত্তার জন্য তাদের আলাদা করে রাখা হয়েছে")</f>
        <v>নিরাপত্তার জন্য তাদের আলাদা করে রাখা হয়েছে</v>
      </c>
      <c r="D121" s="4" t="str">
        <f>IFERROR(__xludf.DUMMYFUNCTION("GOOGLETRANSLATE(M121,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E121" s="4" t="str">
        <f>IFERROR(__xludf.DUMMYFUNCTION("GOOGLETRANSLATE(N121, ""en"", ""bn"")"),"তারা একসাথে মজা করার জন্য ভ্রমণ করছে")</f>
        <v>তারা একসাথে মজা করার জন্য ভ্রমণ করছে</v>
      </c>
      <c r="F121" s="4" t="str">
        <f>IFERROR(__xludf.DUMMYFUNCTION("GOOGLETRANSLATE(O121, ""en"", ""bn"")"),"তারা শুরু করার জন্য প্রস্তুত হচ্ছে")</f>
        <v>তারা শুরু করার জন্য প্রস্তুত হচ্ছে</v>
      </c>
      <c r="G121" s="4" t="str">
        <f>IFERROR(__xludf.DUMMYFUNCTION("GOOGLETRANSLATE(P121, ""en"", ""bn"")"),"তারা একটি প্রতিযোগিতার বিভিন্ন পর্যায়ে রয়েছে")</f>
        <v>তারা একটি প্রতিযোগিতার বিভিন্ন পর্যায়ে রয়েছে</v>
      </c>
      <c r="H121" s="4" t="str">
        <f>IFERROR(__xludf.DUMMYFUNCTION("GOOGLETRANSLATE(Q121, ""en"", ""bn"")"),"ছবি7")</f>
        <v>ছবি7</v>
      </c>
      <c r="J121" s="5" t="str">
        <f>IFERROR(__xludf.DUMMYFUNCTION("GOOGLETRANSLATE(A121, ""bn"", ""en"")"),"120")</f>
        <v>120</v>
      </c>
      <c r="K121" s="16" t="s">
        <v>1286</v>
      </c>
      <c r="L121" s="16" t="s">
        <v>1287</v>
      </c>
      <c r="M121" s="16" t="s">
        <v>1288</v>
      </c>
      <c r="N121" s="16" t="s">
        <v>1289</v>
      </c>
      <c r="O121" s="16" t="s">
        <v>1290</v>
      </c>
      <c r="P121" s="16" t="s">
        <v>1288</v>
      </c>
      <c r="Q121" s="7" t="s">
        <v>72</v>
      </c>
    </row>
    <row r="122">
      <c r="A122" s="3">
        <v>121.0</v>
      </c>
      <c r="B122" s="4" t="str">
        <f>IFERROR(__xludf.DUMMYFUNCTION("GOOGLETRANSLATE(K122, ""en"", ""bn"")"),"#VALUE!")</f>
        <v>#VALUE!</v>
      </c>
      <c r="C122" s="4" t="str">
        <f>IFERROR(__xludf.DUMMYFUNCTION("GOOGLETRANSLATE(L122, ""en"", ""bn"")"),"#VALUE!")</f>
        <v>#VALUE!</v>
      </c>
      <c r="D122" s="4" t="str">
        <f>IFERROR(__xludf.DUMMYFUNCTION("GOOGLETRANSLATE(M122, ""en"", ""bn"")"),"#VALUE!")</f>
        <v>#VALUE!</v>
      </c>
      <c r="E122" s="4" t="str">
        <f>IFERROR(__xludf.DUMMYFUNCTION("GOOGLETRANSLATE(N122, ""en"", ""bn"")"),"#VALUE!")</f>
        <v>#VALUE!</v>
      </c>
      <c r="F122" s="4" t="str">
        <f>IFERROR(__xludf.DUMMYFUNCTION("GOOGLETRANSLATE(O122, ""en"", ""bn"")"),"#VALUE!")</f>
        <v>#VALUE!</v>
      </c>
      <c r="G122" s="4" t="str">
        <f>IFERROR(__xludf.DUMMYFUNCTION("GOOGLETRANSLATE(P122, ""en"", ""bn"")"),"#VALUE!")</f>
        <v>#VALUE!</v>
      </c>
      <c r="H122" s="4" t="str">
        <f>IFERROR(__xludf.DUMMYFUNCTION("GOOGLETRANSLATE(Q122, ""en"", ""bn"")"),"#VALUE!")</f>
        <v>#VALUE!</v>
      </c>
      <c r="J122" s="5" t="str">
        <f>IFERROR(__xludf.DUMMYFUNCTION("GOOGLETRANSLATE(A122, ""bn"", ""en"")"),"121")</f>
        <v>121</v>
      </c>
      <c r="M122" s="16"/>
    </row>
    <row r="123">
      <c r="A123" s="3">
        <v>122.0</v>
      </c>
      <c r="B123" s="4" t="str">
        <f>IFERROR(__xludf.DUMMYFUNCTION("GOOGLETRANSLATE(K123, ""en"", ""bn"")"),"#VALUE!")</f>
        <v>#VALUE!</v>
      </c>
      <c r="C123" s="4" t="str">
        <f>IFERROR(__xludf.DUMMYFUNCTION("GOOGLETRANSLATE(L123, ""en"", ""bn"")"),"#VALUE!")</f>
        <v>#VALUE!</v>
      </c>
      <c r="D123" s="4" t="str">
        <f>IFERROR(__xludf.DUMMYFUNCTION("GOOGLETRANSLATE(M123, ""en"", ""bn"")"),"#VALUE!")</f>
        <v>#VALUE!</v>
      </c>
      <c r="E123" s="4" t="str">
        <f>IFERROR(__xludf.DUMMYFUNCTION("GOOGLETRANSLATE(N123, ""en"", ""bn"")"),"#VALUE!")</f>
        <v>#VALUE!</v>
      </c>
      <c r="F123" s="4" t="str">
        <f>IFERROR(__xludf.DUMMYFUNCTION("GOOGLETRANSLATE(O123, ""en"", ""bn"")"),"#VALUE!")</f>
        <v>#VALUE!</v>
      </c>
      <c r="G123" s="4" t="str">
        <f>IFERROR(__xludf.DUMMYFUNCTION("GOOGLETRANSLATE(P123, ""en"", ""bn"")"),"#VALUE!")</f>
        <v>#VALUE!</v>
      </c>
      <c r="H123" s="4" t="str">
        <f>IFERROR(__xludf.DUMMYFUNCTION("GOOGLETRANSLATE(Q123, ""en"", ""bn"")"),"#VALUE!")</f>
        <v>#VALUE!</v>
      </c>
      <c r="J123" s="5" t="str">
        <f>IFERROR(__xludf.DUMMYFUNCTION("GOOGLETRANSLATE(A123, ""bn"", ""en"")"),"122")</f>
        <v>122</v>
      </c>
      <c r="M123" s="16"/>
    </row>
    <row r="124">
      <c r="A124" s="3">
        <v>123.0</v>
      </c>
      <c r="B124" s="4" t="str">
        <f>IFERROR(__xludf.DUMMYFUNCTION("GOOGLETRANSLATE(K124, ""en"", ""bn"")"),"#VALUE!")</f>
        <v>#VALUE!</v>
      </c>
      <c r="C124" s="4" t="str">
        <f>IFERROR(__xludf.DUMMYFUNCTION("GOOGLETRANSLATE(L124, ""en"", ""bn"")"),"#VALUE!")</f>
        <v>#VALUE!</v>
      </c>
      <c r="D124" s="4" t="str">
        <f>IFERROR(__xludf.DUMMYFUNCTION("GOOGLETRANSLATE(M124, ""en"", ""bn"")"),"#VALUE!")</f>
        <v>#VALUE!</v>
      </c>
      <c r="E124" s="4" t="str">
        <f>IFERROR(__xludf.DUMMYFUNCTION("GOOGLETRANSLATE(N124, ""en"", ""bn"")"),"#VALUE!")</f>
        <v>#VALUE!</v>
      </c>
      <c r="F124" s="4" t="str">
        <f>IFERROR(__xludf.DUMMYFUNCTION("GOOGLETRANSLATE(O124, ""en"", ""bn"")"),"#VALUE!")</f>
        <v>#VALUE!</v>
      </c>
      <c r="G124" s="4" t="str">
        <f>IFERROR(__xludf.DUMMYFUNCTION("GOOGLETRANSLATE(P124, ""en"", ""bn"")"),"#VALUE!")</f>
        <v>#VALUE!</v>
      </c>
      <c r="H124" s="4" t="str">
        <f>IFERROR(__xludf.DUMMYFUNCTION("GOOGLETRANSLATE(Q124, ""en"", ""bn"")"),"#VALUE!")</f>
        <v>#VALUE!</v>
      </c>
      <c r="J124" s="5" t="str">
        <f>IFERROR(__xludf.DUMMYFUNCTION("GOOGLETRANSLATE(A124, ""bn"", ""en"")"),"123")</f>
        <v>123</v>
      </c>
      <c r="M124" s="16"/>
    </row>
    <row r="125">
      <c r="A125" s="3">
        <v>124.0</v>
      </c>
      <c r="B125" s="4" t="str">
        <f>IFERROR(__xludf.DUMMYFUNCTION("GOOGLETRANSLATE(K125, ""en"", ""bn"")"),"#VALUE!")</f>
        <v>#VALUE!</v>
      </c>
      <c r="C125" s="4" t="str">
        <f>IFERROR(__xludf.DUMMYFUNCTION("GOOGLETRANSLATE(L125, ""en"", ""bn"")"),"#VALUE!")</f>
        <v>#VALUE!</v>
      </c>
      <c r="D125" s="4" t="str">
        <f>IFERROR(__xludf.DUMMYFUNCTION("GOOGLETRANSLATE(M125, ""en"", ""bn"")"),"#VALUE!")</f>
        <v>#VALUE!</v>
      </c>
      <c r="E125" s="4" t="str">
        <f>IFERROR(__xludf.DUMMYFUNCTION("GOOGLETRANSLATE(N125, ""en"", ""bn"")"),"#VALUE!")</f>
        <v>#VALUE!</v>
      </c>
      <c r="F125" s="4" t="str">
        <f>IFERROR(__xludf.DUMMYFUNCTION("GOOGLETRANSLATE(O125, ""en"", ""bn"")"),"#VALUE!")</f>
        <v>#VALUE!</v>
      </c>
      <c r="G125" s="4" t="str">
        <f>IFERROR(__xludf.DUMMYFUNCTION("GOOGLETRANSLATE(P125, ""en"", ""bn"")"),"#VALUE!")</f>
        <v>#VALUE!</v>
      </c>
      <c r="H125" s="4" t="str">
        <f>IFERROR(__xludf.DUMMYFUNCTION("GOOGLETRANSLATE(Q125, ""en"", ""bn"")"),"#VALUE!")</f>
        <v>#VALUE!</v>
      </c>
      <c r="J125" s="5" t="str">
        <f>IFERROR(__xludf.DUMMYFUNCTION("GOOGLETRANSLATE(A125, ""bn"", ""en"")"),"124")</f>
        <v>124</v>
      </c>
      <c r="M125" s="16"/>
    </row>
    <row r="126">
      <c r="A126" s="3">
        <v>125.0</v>
      </c>
      <c r="B126" s="4" t="str">
        <f>IFERROR(__xludf.DUMMYFUNCTION("GOOGLETRANSLATE(K126, ""en"", ""bn"")"),"#VALUE!")</f>
        <v>#VALUE!</v>
      </c>
      <c r="C126" s="4" t="str">
        <f>IFERROR(__xludf.DUMMYFUNCTION("GOOGLETRANSLATE(L126, ""en"", ""bn"")"),"#VALUE!")</f>
        <v>#VALUE!</v>
      </c>
      <c r="D126" s="4" t="str">
        <f>IFERROR(__xludf.DUMMYFUNCTION("GOOGLETRANSLATE(M126, ""en"", ""bn"")"),"#VALUE!")</f>
        <v>#VALUE!</v>
      </c>
      <c r="E126" s="4" t="str">
        <f>IFERROR(__xludf.DUMMYFUNCTION("GOOGLETRANSLATE(N126, ""en"", ""bn"")"),"#VALUE!")</f>
        <v>#VALUE!</v>
      </c>
      <c r="F126" s="4" t="str">
        <f>IFERROR(__xludf.DUMMYFUNCTION("GOOGLETRANSLATE(O126, ""en"", ""bn"")"),"#VALUE!")</f>
        <v>#VALUE!</v>
      </c>
      <c r="G126" s="4" t="str">
        <f>IFERROR(__xludf.DUMMYFUNCTION("GOOGLETRANSLATE(P126, ""en"", ""bn"")"),"#VALUE!")</f>
        <v>#VALUE!</v>
      </c>
      <c r="H126" s="4" t="str">
        <f>IFERROR(__xludf.DUMMYFUNCTION("GOOGLETRANSLATE(Q126, ""en"", ""bn"")"),"#VALUE!")</f>
        <v>#VALUE!</v>
      </c>
      <c r="J126" s="5" t="str">
        <f>IFERROR(__xludf.DUMMYFUNCTION("GOOGLETRANSLATE(A126, ""bn"", ""en"")"),"125")</f>
        <v>125</v>
      </c>
      <c r="M126" s="16"/>
    </row>
    <row r="127">
      <c r="A127" s="19"/>
      <c r="B127" s="19"/>
      <c r="C127" s="19"/>
      <c r="D127" s="19"/>
      <c r="E127" s="19"/>
      <c r="F127" s="19"/>
      <c r="G127" s="19"/>
      <c r="H127" s="19"/>
      <c r="M127" s="18"/>
    </row>
    <row r="128">
      <c r="A128" s="19"/>
      <c r="B128" s="19"/>
      <c r="C128" s="19"/>
      <c r="D128" s="19"/>
      <c r="E128" s="19"/>
      <c r="F128" s="19"/>
      <c r="G128" s="19"/>
      <c r="H128" s="19"/>
      <c r="M128" s="20"/>
    </row>
    <row r="129">
      <c r="A129" s="19"/>
      <c r="B129" s="19"/>
      <c r="C129" s="19"/>
      <c r="D129" s="19"/>
      <c r="E129" s="19"/>
      <c r="F129" s="19"/>
      <c r="G129" s="19"/>
      <c r="H129" s="19"/>
      <c r="M129" s="18"/>
      <c r="N129" s="18"/>
      <c r="O129" s="18"/>
      <c r="P129" s="18"/>
      <c r="Q129" s="18"/>
      <c r="R129" s="18"/>
      <c r="S129" s="18"/>
    </row>
    <row r="130">
      <c r="A130" s="19"/>
      <c r="B130" s="19"/>
      <c r="C130" s="19"/>
      <c r="D130" s="19"/>
      <c r="E130" s="19"/>
      <c r="F130" s="19"/>
      <c r="G130" s="19"/>
      <c r="H130" s="19"/>
      <c r="M130" s="18"/>
    </row>
    <row r="131">
      <c r="A131" s="19"/>
      <c r="B131" s="19"/>
      <c r="C131" s="19"/>
      <c r="D131" s="19"/>
      <c r="E131" s="19"/>
      <c r="F131" s="19"/>
      <c r="G131" s="19"/>
      <c r="H131" s="19"/>
      <c r="M131" s="18"/>
    </row>
    <row r="132">
      <c r="A132" s="19"/>
      <c r="B132" s="19"/>
      <c r="C132" s="19"/>
      <c r="D132" s="19"/>
      <c r="E132" s="19"/>
      <c r="F132" s="19"/>
      <c r="G132" s="19"/>
      <c r="H132" s="19"/>
      <c r="M132" s="18"/>
    </row>
    <row r="133">
      <c r="A133" s="19"/>
      <c r="B133" s="19"/>
      <c r="C133" s="19"/>
      <c r="D133" s="19"/>
      <c r="E133" s="19"/>
      <c r="F133" s="19"/>
      <c r="G133" s="19"/>
      <c r="H133" s="19"/>
      <c r="M133" s="18"/>
    </row>
    <row r="134">
      <c r="A134" s="19"/>
      <c r="B134" s="19"/>
      <c r="C134" s="19"/>
      <c r="D134" s="19"/>
      <c r="E134" s="19"/>
      <c r="F134" s="19"/>
      <c r="G134" s="19"/>
      <c r="H134" s="19"/>
      <c r="M134" s="18"/>
    </row>
    <row r="135">
      <c r="A135" s="19"/>
      <c r="B135" s="19"/>
      <c r="C135" s="19"/>
      <c r="D135" s="19"/>
      <c r="E135" s="19"/>
      <c r="F135" s="19"/>
      <c r="G135" s="19"/>
      <c r="H135" s="19"/>
      <c r="M135" s="18"/>
    </row>
    <row r="136">
      <c r="A136" s="19"/>
      <c r="B136" s="19"/>
      <c r="C136" s="19"/>
      <c r="D136" s="19"/>
      <c r="E136" s="19"/>
      <c r="F136" s="19"/>
      <c r="G136" s="19"/>
      <c r="H136" s="19"/>
      <c r="M136" s="18"/>
    </row>
    <row r="137">
      <c r="A137" s="19"/>
      <c r="B137" s="19"/>
      <c r="C137" s="19"/>
      <c r="D137" s="19"/>
      <c r="E137" s="19"/>
      <c r="F137" s="19"/>
      <c r="G137" s="19"/>
      <c r="H137" s="19"/>
      <c r="M137" s="18"/>
    </row>
    <row r="138">
      <c r="A138" s="19"/>
      <c r="B138" s="19"/>
      <c r="C138" s="19"/>
      <c r="D138" s="19"/>
      <c r="E138" s="19"/>
      <c r="F138" s="19"/>
      <c r="G138" s="19"/>
      <c r="H138" s="19"/>
      <c r="M138" s="18"/>
    </row>
    <row r="139">
      <c r="A139" s="19"/>
      <c r="B139" s="19"/>
      <c r="C139" s="19"/>
      <c r="D139" s="19"/>
      <c r="E139" s="19"/>
      <c r="F139" s="19"/>
      <c r="G139" s="19"/>
      <c r="H139" s="19"/>
      <c r="M139" s="18"/>
    </row>
    <row r="140">
      <c r="A140" s="19"/>
      <c r="B140" s="19"/>
      <c r="C140" s="19"/>
      <c r="D140" s="19"/>
      <c r="E140" s="19"/>
      <c r="F140" s="19"/>
      <c r="G140" s="19"/>
      <c r="H140" s="19"/>
    </row>
    <row r="141">
      <c r="A141" s="19"/>
      <c r="B141" s="19"/>
      <c r="C141" s="19"/>
      <c r="D141" s="19"/>
      <c r="E141" s="19"/>
      <c r="F141" s="19"/>
      <c r="G141" s="19"/>
      <c r="H141" s="19"/>
    </row>
    <row r="142">
      <c r="A142" s="19"/>
      <c r="B142" s="19"/>
      <c r="C142" s="19"/>
      <c r="D142" s="19"/>
      <c r="E142" s="19"/>
      <c r="F142" s="19"/>
      <c r="G142" s="19"/>
      <c r="H142" s="19"/>
    </row>
    <row r="143">
      <c r="A143" s="19"/>
      <c r="B143" s="19"/>
      <c r="C143" s="19"/>
      <c r="D143" s="19"/>
      <c r="E143" s="19"/>
      <c r="F143" s="19"/>
      <c r="G143" s="19"/>
      <c r="H143" s="19"/>
    </row>
    <row r="144">
      <c r="A144" s="19"/>
      <c r="B144" s="19"/>
      <c r="C144" s="19"/>
      <c r="D144" s="19"/>
      <c r="E144" s="19"/>
      <c r="F144" s="19"/>
      <c r="G144" s="19"/>
      <c r="H144" s="19"/>
    </row>
    <row r="145">
      <c r="A145" s="19"/>
      <c r="B145" s="19"/>
      <c r="C145" s="19"/>
      <c r="D145" s="19"/>
      <c r="E145" s="19"/>
      <c r="F145" s="19"/>
      <c r="G145" s="19"/>
      <c r="H145" s="19"/>
    </row>
    <row r="146">
      <c r="A146" s="19"/>
      <c r="B146" s="19"/>
      <c r="C146" s="19"/>
      <c r="D146" s="19"/>
      <c r="E146" s="19"/>
      <c r="F146" s="19"/>
      <c r="G146" s="19"/>
      <c r="H146" s="19"/>
    </row>
    <row r="147">
      <c r="A147" s="19"/>
      <c r="B147" s="19"/>
      <c r="C147" s="19"/>
      <c r="D147" s="19"/>
      <c r="E147" s="19"/>
      <c r="F147" s="19"/>
      <c r="G147" s="19"/>
      <c r="H147" s="19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  <row r="959">
      <c r="A959" s="19"/>
      <c r="B959" s="19"/>
      <c r="C959" s="19"/>
      <c r="D959" s="19"/>
      <c r="E959" s="19"/>
      <c r="F959" s="19"/>
      <c r="G959" s="19"/>
      <c r="H959" s="19"/>
    </row>
    <row r="960">
      <c r="A960" s="19"/>
      <c r="B960" s="19"/>
      <c r="C960" s="19"/>
      <c r="D960" s="19"/>
      <c r="E960" s="19"/>
      <c r="F960" s="19"/>
      <c r="G960" s="19"/>
      <c r="H960" s="19"/>
    </row>
    <row r="961">
      <c r="A961" s="19"/>
      <c r="B961" s="19"/>
      <c r="C961" s="19"/>
      <c r="D961" s="19"/>
      <c r="E961" s="19"/>
      <c r="F961" s="19"/>
      <c r="G961" s="19"/>
      <c r="H961" s="19"/>
    </row>
    <row r="962">
      <c r="A962" s="19"/>
      <c r="B962" s="19"/>
      <c r="C962" s="19"/>
      <c r="D962" s="19"/>
      <c r="E962" s="19"/>
      <c r="F962" s="19"/>
      <c r="G962" s="19"/>
      <c r="H962" s="19"/>
    </row>
    <row r="963">
      <c r="A963" s="19"/>
      <c r="B963" s="19"/>
      <c r="C963" s="19"/>
      <c r="D963" s="19"/>
      <c r="E963" s="19"/>
      <c r="F963" s="19"/>
      <c r="G963" s="19"/>
      <c r="H963" s="19"/>
    </row>
    <row r="964">
      <c r="A964" s="19"/>
      <c r="B964" s="19"/>
      <c r="C964" s="19"/>
      <c r="D964" s="19"/>
      <c r="E964" s="19"/>
      <c r="F964" s="19"/>
      <c r="G964" s="19"/>
      <c r="H964" s="19"/>
    </row>
    <row r="965">
      <c r="A965" s="19"/>
      <c r="B965" s="19"/>
      <c r="C965" s="19"/>
      <c r="D965" s="19"/>
      <c r="E965" s="19"/>
      <c r="F965" s="19"/>
      <c r="G965" s="19"/>
      <c r="H965" s="19"/>
    </row>
    <row r="966">
      <c r="A966" s="19"/>
      <c r="B966" s="19"/>
      <c r="C966" s="19"/>
      <c r="D966" s="19"/>
      <c r="E966" s="19"/>
      <c r="F966" s="19"/>
      <c r="G966" s="19"/>
      <c r="H966" s="19"/>
    </row>
    <row r="967">
      <c r="A967" s="19"/>
      <c r="B967" s="19"/>
      <c r="C967" s="19"/>
      <c r="D967" s="19"/>
      <c r="E967" s="19"/>
      <c r="F967" s="19"/>
      <c r="G967" s="19"/>
      <c r="H967" s="19"/>
    </row>
    <row r="968">
      <c r="A968" s="19"/>
      <c r="B968" s="19"/>
      <c r="C968" s="19"/>
      <c r="D968" s="19"/>
      <c r="E968" s="19"/>
      <c r="F968" s="19"/>
      <c r="G968" s="19"/>
      <c r="H968" s="19"/>
    </row>
    <row r="969">
      <c r="A969" s="19"/>
      <c r="B969" s="19"/>
      <c r="C969" s="19"/>
      <c r="D969" s="19"/>
      <c r="E969" s="19"/>
      <c r="F969" s="19"/>
      <c r="G969" s="19"/>
      <c r="H969" s="19"/>
    </row>
    <row r="970">
      <c r="A970" s="19"/>
      <c r="B970" s="19"/>
      <c r="C970" s="19"/>
      <c r="D970" s="19"/>
      <c r="E970" s="19"/>
      <c r="F970" s="19"/>
      <c r="G970" s="19"/>
      <c r="H970" s="19"/>
    </row>
    <row r="971">
      <c r="A971" s="19"/>
      <c r="B971" s="19"/>
      <c r="C971" s="19"/>
      <c r="D971" s="19"/>
      <c r="E971" s="19"/>
      <c r="F971" s="19"/>
      <c r="G971" s="19"/>
      <c r="H971" s="19"/>
    </row>
    <row r="972">
      <c r="A972" s="19"/>
      <c r="B972" s="19"/>
      <c r="C972" s="19"/>
      <c r="D972" s="19"/>
      <c r="E972" s="19"/>
      <c r="F972" s="19"/>
      <c r="G972" s="19"/>
      <c r="H972" s="19"/>
    </row>
    <row r="973">
      <c r="A973" s="19"/>
      <c r="B973" s="19"/>
      <c r="C973" s="19"/>
      <c r="D973" s="19"/>
      <c r="E973" s="19"/>
      <c r="F973" s="19"/>
      <c r="G973" s="19"/>
      <c r="H973" s="19"/>
    </row>
    <row r="974">
      <c r="A974" s="19"/>
      <c r="B974" s="19"/>
      <c r="C974" s="19"/>
      <c r="D974" s="19"/>
      <c r="E974" s="19"/>
      <c r="F974" s="19"/>
      <c r="G974" s="19"/>
      <c r="H974" s="19"/>
    </row>
    <row r="975">
      <c r="A975" s="19"/>
      <c r="B975" s="19"/>
      <c r="C975" s="19"/>
      <c r="D975" s="19"/>
      <c r="E975" s="19"/>
      <c r="F975" s="19"/>
      <c r="G975" s="19"/>
      <c r="H975" s="19"/>
    </row>
    <row r="976">
      <c r="A976" s="19"/>
      <c r="B976" s="19"/>
      <c r="C976" s="19"/>
      <c r="D976" s="19"/>
      <c r="E976" s="19"/>
      <c r="F976" s="19"/>
      <c r="G976" s="19"/>
      <c r="H976" s="19"/>
    </row>
    <row r="977">
      <c r="A977" s="19"/>
      <c r="B977" s="19"/>
      <c r="C977" s="19"/>
      <c r="D977" s="19"/>
      <c r="E977" s="19"/>
      <c r="F977" s="19"/>
      <c r="G977" s="19"/>
      <c r="H977" s="19"/>
    </row>
    <row r="978">
      <c r="A978" s="19"/>
      <c r="B978" s="19"/>
      <c r="C978" s="19"/>
      <c r="D978" s="19"/>
      <c r="E978" s="19"/>
      <c r="F978" s="19"/>
      <c r="G978" s="19"/>
      <c r="H978" s="19"/>
    </row>
    <row r="979">
      <c r="A979" s="19"/>
      <c r="B979" s="19"/>
      <c r="C979" s="19"/>
      <c r="D979" s="19"/>
      <c r="E979" s="19"/>
      <c r="F979" s="19"/>
      <c r="G979" s="19"/>
      <c r="H979" s="19"/>
    </row>
    <row r="980">
      <c r="A980" s="19"/>
      <c r="B980" s="19"/>
      <c r="C980" s="19"/>
      <c r="D980" s="19"/>
      <c r="E980" s="19"/>
      <c r="F980" s="19"/>
      <c r="G980" s="19"/>
      <c r="H980" s="19"/>
    </row>
    <row r="981">
      <c r="A981" s="19"/>
      <c r="B981" s="19"/>
      <c r="C981" s="19"/>
      <c r="D981" s="19"/>
      <c r="E981" s="19"/>
      <c r="F981" s="19"/>
      <c r="G981" s="19"/>
      <c r="H981" s="19"/>
    </row>
    <row r="982">
      <c r="A982" s="19"/>
      <c r="B982" s="19"/>
      <c r="C982" s="19"/>
      <c r="D982" s="19"/>
      <c r="E982" s="19"/>
      <c r="F982" s="19"/>
      <c r="G982" s="19"/>
      <c r="H982" s="19"/>
    </row>
    <row r="983">
      <c r="A983" s="19"/>
      <c r="B983" s="19"/>
      <c r="C983" s="19"/>
      <c r="D983" s="19"/>
      <c r="E983" s="19"/>
      <c r="F983" s="19"/>
      <c r="G983" s="19"/>
      <c r="H983" s="19"/>
    </row>
    <row r="984">
      <c r="A984" s="19"/>
      <c r="B984" s="19"/>
      <c r="C984" s="19"/>
      <c r="D984" s="19"/>
      <c r="E984" s="19"/>
      <c r="F984" s="19"/>
      <c r="G984" s="19"/>
      <c r="H984" s="19"/>
    </row>
    <row r="985">
      <c r="A985" s="19"/>
      <c r="B985" s="19"/>
      <c r="C985" s="19"/>
      <c r="D985" s="19"/>
      <c r="E985" s="19"/>
      <c r="F985" s="19"/>
      <c r="G985" s="19"/>
      <c r="H985" s="19"/>
    </row>
    <row r="986">
      <c r="A986" s="19"/>
      <c r="B986" s="19"/>
      <c r="C986" s="19"/>
      <c r="D986" s="19"/>
      <c r="E986" s="19"/>
      <c r="F986" s="19"/>
      <c r="G986" s="19"/>
      <c r="H986" s="19"/>
    </row>
    <row r="987">
      <c r="A987" s="19"/>
      <c r="B987" s="19"/>
      <c r="C987" s="19"/>
      <c r="D987" s="19"/>
      <c r="E987" s="19"/>
      <c r="F987" s="19"/>
      <c r="G987" s="19"/>
      <c r="H987" s="19"/>
    </row>
    <row r="988">
      <c r="A988" s="19"/>
      <c r="B988" s="19"/>
      <c r="C988" s="19"/>
      <c r="D988" s="19"/>
      <c r="E988" s="19"/>
      <c r="F988" s="19"/>
      <c r="G988" s="19"/>
      <c r="H988" s="19"/>
    </row>
    <row r="989">
      <c r="A989" s="19"/>
      <c r="B989" s="19"/>
      <c r="C989" s="19"/>
      <c r="D989" s="19"/>
      <c r="E989" s="19"/>
      <c r="F989" s="19"/>
      <c r="G989" s="19"/>
      <c r="H989" s="19"/>
    </row>
    <row r="990">
      <c r="A990" s="19"/>
      <c r="B990" s="19"/>
      <c r="C990" s="19"/>
      <c r="D990" s="19"/>
      <c r="E990" s="19"/>
      <c r="F990" s="19"/>
      <c r="G990" s="19"/>
      <c r="H990" s="19"/>
    </row>
    <row r="991">
      <c r="A991" s="19"/>
      <c r="B991" s="19"/>
      <c r="C991" s="19"/>
      <c r="D991" s="19"/>
      <c r="E991" s="19"/>
      <c r="F991" s="19"/>
      <c r="G991" s="19"/>
      <c r="H991" s="19"/>
    </row>
    <row r="992">
      <c r="A992" s="19"/>
      <c r="B992" s="19"/>
      <c r="C992" s="19"/>
      <c r="D992" s="19"/>
      <c r="E992" s="19"/>
      <c r="F992" s="19"/>
      <c r="G992" s="19"/>
      <c r="H992" s="19"/>
    </row>
    <row r="993">
      <c r="A993" s="19"/>
      <c r="B993" s="19"/>
      <c r="C993" s="19"/>
      <c r="D993" s="19"/>
      <c r="E993" s="19"/>
      <c r="F993" s="19"/>
      <c r="G993" s="19"/>
      <c r="H993" s="19"/>
    </row>
    <row r="994">
      <c r="A994" s="19"/>
      <c r="B994" s="19"/>
      <c r="C994" s="19"/>
      <c r="D994" s="19"/>
      <c r="E994" s="19"/>
      <c r="F994" s="19"/>
      <c r="G994" s="19"/>
      <c r="H994" s="19"/>
    </row>
    <row r="995">
      <c r="A995" s="19"/>
      <c r="B995" s="19"/>
      <c r="C995" s="19"/>
      <c r="D995" s="19"/>
      <c r="E995" s="19"/>
      <c r="F995" s="19"/>
      <c r="G995" s="19"/>
      <c r="H995" s="19"/>
    </row>
    <row r="996">
      <c r="A996" s="19"/>
      <c r="B996" s="19"/>
      <c r="C996" s="19"/>
      <c r="D996" s="19"/>
      <c r="E996" s="19"/>
      <c r="F996" s="19"/>
      <c r="G996" s="19"/>
      <c r="H996" s="19"/>
    </row>
    <row r="997">
      <c r="A997" s="19"/>
      <c r="B997" s="19"/>
      <c r="C997" s="19"/>
      <c r="D997" s="19"/>
      <c r="E997" s="19"/>
      <c r="F997" s="19"/>
      <c r="G997" s="19"/>
      <c r="H997" s="19"/>
    </row>
    <row r="998">
      <c r="A998" s="19"/>
      <c r="B998" s="19"/>
      <c r="C998" s="19"/>
      <c r="D998" s="19"/>
      <c r="E998" s="19"/>
      <c r="F998" s="19"/>
      <c r="G998" s="19"/>
      <c r="H998" s="19"/>
    </row>
    <row r="999">
      <c r="A999" s="19"/>
      <c r="B999" s="19"/>
      <c r="C999" s="19"/>
      <c r="D999" s="19"/>
      <c r="E999" s="19"/>
      <c r="F999" s="19"/>
      <c r="G999" s="19"/>
      <c r="H999" s="19"/>
    </row>
    <row r="1000">
      <c r="A1000" s="19"/>
      <c r="B1000" s="19"/>
      <c r="C1000" s="19"/>
      <c r="D1000" s="19"/>
      <c r="E1000" s="19"/>
      <c r="F1000" s="19"/>
      <c r="G1000" s="19"/>
      <c r="H1000" s="19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6.88"/>
    <col customWidth="1" min="7" max="7" width="16.88"/>
    <col customWidth="1" min="10" max="10" width="14.38"/>
    <col customWidth="1" min="11" max="11" width="37.63"/>
    <col customWidth="1" min="12" max="12" width="14.38"/>
    <col customWidth="1" min="15" max="15" width="15.5"/>
    <col customWidth="1" min="16" max="1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1.0</v>
      </c>
      <c r="B2" s="4" t="s">
        <v>1311</v>
      </c>
      <c r="C2" s="4" t="s">
        <v>1312</v>
      </c>
      <c r="D2" s="4" t="s">
        <v>1313</v>
      </c>
      <c r="E2" s="4" t="s">
        <v>1314</v>
      </c>
      <c r="F2" s="4" t="s">
        <v>1315</v>
      </c>
      <c r="G2" s="4" t="s">
        <v>1312</v>
      </c>
      <c r="H2" s="4" t="s">
        <v>21</v>
      </c>
      <c r="J2" s="5" t="str">
        <f>IFERROR(__xludf.DUMMYFUNCTION("GOOGLETRANSLATE(A2, ""bn"", ""en"")"),"1")</f>
        <v>1</v>
      </c>
      <c r="K2" s="5" t="str">
        <f>IFERROR(__xludf.DUMMYFUNCTION("GOOGLETRANSLATE(B2, ""bn"", ""en"")"),"What is the goal of the participants in the raffle?")</f>
        <v>What is the goal of the participants in the raffle?</v>
      </c>
      <c r="L2" s="5" t="str">
        <f>IFERROR(__xludf.DUMMYFUNCTION("GOOGLETRANSLATE(C2, ""bn"", ""en"")"),"Reach the target")</f>
        <v>Reach the target</v>
      </c>
      <c r="M2" s="5" t="str">
        <f>IFERROR(__xludf.DUMMYFUNCTION("GOOGLETRANSLATE(D2, ""bn"", ""en"")"),"Getting the signal")</f>
        <v>Getting the signal</v>
      </c>
      <c r="N2" s="5" t="str">
        <f>IFERROR(__xludf.DUMMYFUNCTION("GOOGLETRANSLATE(E2, ""bn"", ""en"")"),"run away")</f>
        <v>run away</v>
      </c>
      <c r="O2" s="5" t="str">
        <f>IFERROR(__xludf.DUMMYFUNCTION("GOOGLETRANSLATE(F2, ""bn"", ""en"")"),"Signaling")</f>
        <v>Signaling</v>
      </c>
      <c r="P2" s="5" t="str">
        <f>IFERROR(__xludf.DUMMYFUNCTION("GOOGLETRANSLATE(G2, ""bn"", ""en"")"),"Reach the target")</f>
        <v>Reach the target</v>
      </c>
      <c r="Q2" s="5" t="str">
        <f>IFERROR(__xludf.DUMMYFUNCTION("GOOGLETRANSLATE(H2, ""bn"", ""en"")"),"pic1")</f>
        <v>pic1</v>
      </c>
    </row>
    <row r="3">
      <c r="A3" s="3">
        <v>2.0</v>
      </c>
      <c r="B3" s="4" t="s">
        <v>1059</v>
      </c>
      <c r="C3" s="4" t="s">
        <v>1077</v>
      </c>
      <c r="D3" s="4" t="s">
        <v>561</v>
      </c>
      <c r="E3" s="4" t="s">
        <v>1135</v>
      </c>
      <c r="F3" s="4" t="s">
        <v>1099</v>
      </c>
      <c r="G3" s="4" t="s">
        <v>1077</v>
      </c>
      <c r="H3" s="4" t="s">
        <v>21</v>
      </c>
      <c r="J3" s="5" t="str">
        <f>IFERROR(__xludf.DUMMYFUNCTION("GOOGLETRANSLATE(A3, ""bn"", ""en"")"),"2")</f>
        <v>2</v>
      </c>
      <c r="K3" s="5" t="str">
        <f>IFERROR(__xludf.DUMMYFUNCTION("GOOGLETRANSLATE(B3, ""bn"", ""en"")"),"How is the competition environment in the film?")</f>
        <v>How is the competition environment in the film?</v>
      </c>
      <c r="L3" s="5" t="str">
        <f>IFERROR(__xludf.DUMMYFUNCTION("GOOGLETRANSLATE(C3, ""bn"", ""en"")"),"Stimulus")</f>
        <v>Stimulus</v>
      </c>
      <c r="M3" s="5" t="str">
        <f>IFERROR(__xludf.DUMMYFUNCTION("GOOGLETRANSLATE(D3, ""bn"", ""en"")"),"calm down")</f>
        <v>calm down</v>
      </c>
      <c r="N3" s="5" t="str">
        <f>IFERROR(__xludf.DUMMYFUNCTION("GOOGLETRANSLATE(E3, ""bn"", ""en"")"),"cheerful")</f>
        <v>cheerful</v>
      </c>
      <c r="O3" s="5" t="str">
        <f>IFERROR(__xludf.DUMMYFUNCTION("GOOGLETRANSLATE(F3, ""bn"", ""en"")"),"Silent")</f>
        <v>Silent</v>
      </c>
      <c r="P3" s="5" t="str">
        <f>IFERROR(__xludf.DUMMYFUNCTION("GOOGLETRANSLATE(G3, ""bn"", ""en"")"),"Stimulus")</f>
        <v>Stimulus</v>
      </c>
      <c r="Q3" s="5" t="str">
        <f>IFERROR(__xludf.DUMMYFUNCTION("GOOGLETRANSLATE(H3, ""bn"", ""en"")"),"pic1")</f>
        <v>pic1</v>
      </c>
    </row>
    <row r="4">
      <c r="A4" s="3">
        <v>3.0</v>
      </c>
      <c r="B4" s="4" t="s">
        <v>1316</v>
      </c>
      <c r="C4" s="4" t="s">
        <v>1317</v>
      </c>
      <c r="D4" s="4" t="s">
        <v>1058</v>
      </c>
      <c r="E4" s="4" t="s">
        <v>1318</v>
      </c>
      <c r="F4" s="4" t="s">
        <v>143</v>
      </c>
      <c r="G4" s="4" t="s">
        <v>1317</v>
      </c>
      <c r="H4" s="4" t="s">
        <v>32</v>
      </c>
      <c r="J4" s="5" t="str">
        <f>IFERROR(__xludf.DUMMYFUNCTION("GOOGLETRANSLATE(A4, ""bn"", ""en"")"),"3")</f>
        <v>3</v>
      </c>
      <c r="K4" s="5" t="str">
        <f>IFERROR(__xludf.DUMMYFUNCTION("GOOGLETRANSLATE(B4, ""bn"", ""en"")"),"Which strategy is the most effective in shooting competition?")</f>
        <v>Which strategy is the most effective in shooting competition?</v>
      </c>
      <c r="L4" s="5" t="str">
        <f>IFERROR(__xludf.DUMMYFUNCTION("GOOGLETRANSLATE(C4, ""bn"", ""en"")"),"run fast")</f>
        <v>run fast</v>
      </c>
      <c r="M4" s="5" t="str">
        <f>IFERROR(__xludf.DUMMYFUNCTION("GOOGLETRANSLATE(D4, ""bn"", ""en"")"),"combination")</f>
        <v>combination</v>
      </c>
      <c r="N4" s="5" t="str">
        <f>IFERROR(__xludf.DUMMYFUNCTION("GOOGLETRANSLATE(E4, ""bn"", ""en"")"),"Patience")</f>
        <v>Patience</v>
      </c>
      <c r="O4" s="5" t="str">
        <f>IFERROR(__xludf.DUMMYFUNCTION("GOOGLETRANSLATE(F4, ""bn"", ""en"")"),"Power")</f>
        <v>Power</v>
      </c>
      <c r="P4" s="5" t="str">
        <f>IFERROR(__xludf.DUMMYFUNCTION("GOOGLETRANSLATE(G4, ""bn"", ""en"")"),"run fast")</f>
        <v>run fast</v>
      </c>
      <c r="Q4" s="5" t="str">
        <f>IFERROR(__xludf.DUMMYFUNCTION("GOOGLETRANSLATE(H4, ""bn"", ""en"")"),"pic2")</f>
        <v>pic2</v>
      </c>
    </row>
    <row r="5">
      <c r="A5" s="3">
        <v>4.0</v>
      </c>
      <c r="B5" s="4" t="s">
        <v>1319</v>
      </c>
      <c r="C5" s="4" t="s">
        <v>1320</v>
      </c>
      <c r="D5" s="4" t="s">
        <v>561</v>
      </c>
      <c r="E5" s="4" t="s">
        <v>1135</v>
      </c>
      <c r="F5" s="4" t="s">
        <v>1078</v>
      </c>
      <c r="G5" s="4" t="s">
        <v>1320</v>
      </c>
      <c r="H5" s="4" t="s">
        <v>32</v>
      </c>
      <c r="J5" s="5" t="str">
        <f>IFERROR(__xludf.DUMMYFUNCTION("GOOGLETRANSLATE(A5, ""bn"", ""en"")"),"4")</f>
        <v>4</v>
      </c>
      <c r="K5" s="5" t="str">
        <f>IFERROR(__xludf.DUMMYFUNCTION("GOOGLETRANSLATE(B5, ""bn"", ""en"")"),"How is the attitude of the contestants being displayed in the film?")</f>
        <v>How is the attitude of the contestants being displayed in the film?</v>
      </c>
      <c r="L5" s="5" t="str">
        <f>IFERROR(__xludf.DUMMYFUNCTION("GOOGLETRANSLATE(C5, ""bn"", ""en"")"),"enthusiastic")</f>
        <v>enthusiastic</v>
      </c>
      <c r="M5" s="5" t="str">
        <f>IFERROR(__xludf.DUMMYFUNCTION("GOOGLETRANSLATE(D5, ""bn"", ""en"")"),"calm down")</f>
        <v>calm down</v>
      </c>
      <c r="N5" s="5" t="str">
        <f>IFERROR(__xludf.DUMMYFUNCTION("GOOGLETRANSLATE(E5, ""bn"", ""en"")"),"cheerful")</f>
        <v>cheerful</v>
      </c>
      <c r="O5" s="5" t="str">
        <f>IFERROR(__xludf.DUMMYFUNCTION("GOOGLETRANSLATE(F5, ""bn"", ""en"")"),"without hesitation")</f>
        <v>without hesitation</v>
      </c>
      <c r="P5" s="5" t="str">
        <f>IFERROR(__xludf.DUMMYFUNCTION("GOOGLETRANSLATE(G5, ""bn"", ""en"")"),"enthusiastic")</f>
        <v>enthusiastic</v>
      </c>
      <c r="Q5" s="5" t="str">
        <f>IFERROR(__xludf.DUMMYFUNCTION("GOOGLETRANSLATE(H5, ""bn"", ""en"")"),"pic2")</f>
        <v>pic2</v>
      </c>
    </row>
    <row r="6">
      <c r="A6" s="3">
        <v>5.0</v>
      </c>
      <c r="B6" s="4" t="s">
        <v>1321</v>
      </c>
      <c r="C6" s="4" t="s">
        <v>1317</v>
      </c>
      <c r="D6" s="4" t="s">
        <v>1058</v>
      </c>
      <c r="E6" s="4" t="s">
        <v>1318</v>
      </c>
      <c r="F6" s="4" t="s">
        <v>143</v>
      </c>
      <c r="G6" s="4" t="s">
        <v>1058</v>
      </c>
      <c r="H6" s="4" t="s">
        <v>39</v>
      </c>
      <c r="J6" s="5" t="str">
        <f>IFERROR(__xludf.DUMMYFUNCTION("GOOGLETRANSLATE(A6, ""bn"", ""en"")"),"5")</f>
        <v>5</v>
      </c>
      <c r="K6" s="5" t="str">
        <f>IFERROR(__xludf.DUMMYFUNCTION("GOOGLETRANSLATE(B6, ""bn"", ""en"")"),"How are the participants working together in the shooting competition?")</f>
        <v>How are the participants working together in the shooting competition?</v>
      </c>
      <c r="L6" s="5" t="str">
        <f>IFERROR(__xludf.DUMMYFUNCTION("GOOGLETRANSLATE(C6, ""bn"", ""en"")"),"run fast")</f>
        <v>run fast</v>
      </c>
      <c r="M6" s="5" t="str">
        <f>IFERROR(__xludf.DUMMYFUNCTION("GOOGLETRANSLATE(D6, ""bn"", ""en"")"),"combination")</f>
        <v>combination</v>
      </c>
      <c r="N6" s="5" t="str">
        <f>IFERROR(__xludf.DUMMYFUNCTION("GOOGLETRANSLATE(E6, ""bn"", ""en"")"),"Patience")</f>
        <v>Patience</v>
      </c>
      <c r="O6" s="5" t="str">
        <f>IFERROR(__xludf.DUMMYFUNCTION("GOOGLETRANSLATE(F6, ""bn"", ""en"")"),"Power")</f>
        <v>Power</v>
      </c>
      <c r="P6" s="5" t="str">
        <f>IFERROR(__xludf.DUMMYFUNCTION("GOOGLETRANSLATE(G6, ""bn"", ""en"")"),"combination")</f>
        <v>combination</v>
      </c>
      <c r="Q6" s="5" t="str">
        <f>IFERROR(__xludf.DUMMYFUNCTION("GOOGLETRANSLATE(H6, ""bn"", ""en"")"),"pic3")</f>
        <v>pic3</v>
      </c>
    </row>
    <row r="7">
      <c r="A7" s="3">
        <v>6.0</v>
      </c>
      <c r="B7" s="4" t="s">
        <v>1322</v>
      </c>
      <c r="C7" s="4" t="s">
        <v>1116</v>
      </c>
      <c r="D7" s="4" t="s">
        <v>1117</v>
      </c>
      <c r="E7" s="4" t="s">
        <v>1118</v>
      </c>
      <c r="F7" s="4" t="s">
        <v>1119</v>
      </c>
      <c r="G7" s="4" t="s">
        <v>1116</v>
      </c>
      <c r="H7" s="4" t="s">
        <v>39</v>
      </c>
      <c r="J7" s="5" t="str">
        <f>IFERROR(__xludf.DUMMYFUNCTION("GOOGLETRANSLATE(A7, ""bn"", ""en"")"),"6")</f>
        <v>6</v>
      </c>
      <c r="K7" s="5" t="str">
        <f>IFERROR(__xludf.DUMMYFUNCTION("GOOGLETRANSLATE(B7, ""bn"", ""en"")"),"How is the excitement of the competition in the film?")</f>
        <v>How is the excitement of the competition in the film?</v>
      </c>
      <c r="L7" s="5" t="str">
        <f>IFERROR(__xludf.DUMMYFUNCTION("GOOGLETRANSLATE(C7, ""bn"", ""en"")"),"high")</f>
        <v>high</v>
      </c>
      <c r="M7" s="5" t="str">
        <f>IFERROR(__xludf.DUMMYFUNCTION("GOOGLETRANSLATE(D7, ""bn"", ""en"")"),"Low")</f>
        <v>Low</v>
      </c>
      <c r="N7" s="5" t="str">
        <f>IFERROR(__xludf.DUMMYFUNCTION("GOOGLETRANSLATE(E7, ""bn"", ""en"")"),"Medium")</f>
        <v>Medium</v>
      </c>
      <c r="O7" s="5" t="str">
        <f>IFERROR(__xludf.DUMMYFUNCTION("GOOGLETRANSLATE(F7, ""bn"", ""en"")"),"Variable")</f>
        <v>Variable</v>
      </c>
      <c r="P7" s="5" t="str">
        <f>IFERROR(__xludf.DUMMYFUNCTION("GOOGLETRANSLATE(G7, ""bn"", ""en"")"),"high")</f>
        <v>high</v>
      </c>
      <c r="Q7" s="5" t="str">
        <f>IFERROR(__xludf.DUMMYFUNCTION("GOOGLETRANSLATE(H7, ""bn"", ""en"")"),"pic3")</f>
        <v>pic3</v>
      </c>
    </row>
    <row r="8">
      <c r="A8" s="3">
        <v>7.0</v>
      </c>
      <c r="B8" s="4" t="s">
        <v>1316</v>
      </c>
      <c r="C8" s="4" t="s">
        <v>1317</v>
      </c>
      <c r="D8" s="4" t="s">
        <v>1058</v>
      </c>
      <c r="E8" s="4" t="s">
        <v>1318</v>
      </c>
      <c r="F8" s="4" t="s">
        <v>143</v>
      </c>
      <c r="G8" s="4" t="s">
        <v>1317</v>
      </c>
      <c r="H8" s="4" t="s">
        <v>46</v>
      </c>
      <c r="J8" s="5" t="str">
        <f>IFERROR(__xludf.DUMMYFUNCTION("GOOGLETRANSLATE(A8, ""bn"", ""en"")"),"7")</f>
        <v>7</v>
      </c>
      <c r="K8" s="5" t="str">
        <f>IFERROR(__xludf.DUMMYFUNCTION("GOOGLETRANSLATE(B8, ""bn"", ""en"")"),"Which strategy is the most effective in shooting competition?")</f>
        <v>Which strategy is the most effective in shooting competition?</v>
      </c>
      <c r="L8" s="5" t="str">
        <f>IFERROR(__xludf.DUMMYFUNCTION("GOOGLETRANSLATE(C8, ""bn"", ""en"")"),"run fast")</f>
        <v>run fast</v>
      </c>
      <c r="M8" s="5" t="str">
        <f>IFERROR(__xludf.DUMMYFUNCTION("GOOGLETRANSLATE(D8, ""bn"", ""en"")"),"combination")</f>
        <v>combination</v>
      </c>
      <c r="N8" s="5" t="str">
        <f>IFERROR(__xludf.DUMMYFUNCTION("GOOGLETRANSLATE(E8, ""bn"", ""en"")"),"Patience")</f>
        <v>Patience</v>
      </c>
      <c r="O8" s="5" t="str">
        <f>IFERROR(__xludf.DUMMYFUNCTION("GOOGLETRANSLATE(F8, ""bn"", ""en"")"),"Power")</f>
        <v>Power</v>
      </c>
      <c r="P8" s="5" t="str">
        <f>IFERROR(__xludf.DUMMYFUNCTION("GOOGLETRANSLATE(G8, ""bn"", ""en"")"),"run fast")</f>
        <v>run fast</v>
      </c>
      <c r="Q8" s="5" t="str">
        <f>IFERROR(__xludf.DUMMYFUNCTION("GOOGLETRANSLATE(H8, ""bn"", ""en"")"),"pic4")</f>
        <v>pic4</v>
      </c>
    </row>
    <row r="9">
      <c r="A9" s="3">
        <v>8.0</v>
      </c>
      <c r="B9" s="4" t="s">
        <v>1322</v>
      </c>
      <c r="C9" s="4" t="s">
        <v>1116</v>
      </c>
      <c r="D9" s="4" t="s">
        <v>1117</v>
      </c>
      <c r="E9" s="4" t="s">
        <v>1118</v>
      </c>
      <c r="F9" s="4" t="s">
        <v>1119</v>
      </c>
      <c r="G9" s="4" t="s">
        <v>1116</v>
      </c>
      <c r="H9" s="4" t="s">
        <v>46</v>
      </c>
      <c r="J9" s="5" t="str">
        <f>IFERROR(__xludf.DUMMYFUNCTION("GOOGLETRANSLATE(A9, ""bn"", ""en"")"),"8")</f>
        <v>8</v>
      </c>
      <c r="K9" s="5" t="str">
        <f>IFERROR(__xludf.DUMMYFUNCTION("GOOGLETRANSLATE(B9, ""bn"", ""en"")"),"How is the excitement of the competition in the film?")</f>
        <v>How is the excitement of the competition in the film?</v>
      </c>
      <c r="L9" s="5" t="str">
        <f>IFERROR(__xludf.DUMMYFUNCTION("GOOGLETRANSLATE(C9, ""bn"", ""en"")"),"high")</f>
        <v>high</v>
      </c>
      <c r="M9" s="5" t="str">
        <f>IFERROR(__xludf.DUMMYFUNCTION("GOOGLETRANSLATE(D9, ""bn"", ""en"")"),"Low")</f>
        <v>Low</v>
      </c>
      <c r="N9" s="5" t="str">
        <f>IFERROR(__xludf.DUMMYFUNCTION("GOOGLETRANSLATE(E9, ""bn"", ""en"")"),"Medium")</f>
        <v>Medium</v>
      </c>
      <c r="O9" s="5" t="str">
        <f>IFERROR(__xludf.DUMMYFUNCTION("GOOGLETRANSLATE(F9, ""bn"", ""en"")"),"Variable")</f>
        <v>Variable</v>
      </c>
      <c r="P9" s="5" t="str">
        <f>IFERROR(__xludf.DUMMYFUNCTION("GOOGLETRANSLATE(G9, ""bn"", ""en"")"),"high")</f>
        <v>high</v>
      </c>
      <c r="Q9" s="5" t="str">
        <f>IFERROR(__xludf.DUMMYFUNCTION("GOOGLETRANSLATE(H9, ""bn"", ""en"")"),"pic4")</f>
        <v>pic4</v>
      </c>
    </row>
    <row r="10">
      <c r="A10" s="3">
        <v>9.0</v>
      </c>
      <c r="B10" s="4" t="s">
        <v>1323</v>
      </c>
      <c r="C10" s="4" t="s">
        <v>1317</v>
      </c>
      <c r="D10" s="4" t="s">
        <v>1058</v>
      </c>
      <c r="E10" s="4" t="s">
        <v>1318</v>
      </c>
      <c r="F10" s="4" t="s">
        <v>143</v>
      </c>
      <c r="G10" s="4" t="s">
        <v>1058</v>
      </c>
      <c r="H10" s="4" t="s">
        <v>57</v>
      </c>
      <c r="J10" s="5" t="str">
        <f>IFERROR(__xludf.DUMMYFUNCTION("GOOGLETRANSLATE(A10, ""bn"", ""en"")"),"9")</f>
        <v>9</v>
      </c>
      <c r="K10" s="5" t="str">
        <f>IFERROR(__xludf.DUMMYFUNCTION("GOOGLETRANSLATE(B10, ""bn"", ""en"")"),"How are the contestants managing their strategy in the shooting competition?")</f>
        <v>How are the contestants managing their strategy in the shooting competition?</v>
      </c>
      <c r="L10" s="5" t="str">
        <f>IFERROR(__xludf.DUMMYFUNCTION("GOOGLETRANSLATE(C10, ""bn"", ""en"")"),"run fast")</f>
        <v>run fast</v>
      </c>
      <c r="M10" s="5" t="str">
        <f>IFERROR(__xludf.DUMMYFUNCTION("GOOGLETRANSLATE(D10, ""bn"", ""en"")"),"combination")</f>
        <v>combination</v>
      </c>
      <c r="N10" s="5" t="str">
        <f>IFERROR(__xludf.DUMMYFUNCTION("GOOGLETRANSLATE(E10, ""bn"", ""en"")"),"Patience")</f>
        <v>Patience</v>
      </c>
      <c r="O10" s="5" t="str">
        <f>IFERROR(__xludf.DUMMYFUNCTION("GOOGLETRANSLATE(F10, ""bn"", ""en"")"),"Power")</f>
        <v>Power</v>
      </c>
      <c r="P10" s="5" t="str">
        <f>IFERROR(__xludf.DUMMYFUNCTION("GOOGLETRANSLATE(G10, ""bn"", ""en"")"),"combination")</f>
        <v>combination</v>
      </c>
      <c r="Q10" s="5" t="str">
        <f>IFERROR(__xludf.DUMMYFUNCTION("GOOGLETRANSLATE(H10, ""bn"", ""en"")"),"pic5")</f>
        <v>pic5</v>
      </c>
    </row>
    <row r="11">
      <c r="A11" s="3">
        <v>10.0</v>
      </c>
      <c r="B11" s="4" t="s">
        <v>1059</v>
      </c>
      <c r="C11" s="4" t="s">
        <v>1077</v>
      </c>
      <c r="D11" s="4" t="s">
        <v>561</v>
      </c>
      <c r="E11" s="4" t="s">
        <v>1135</v>
      </c>
      <c r="F11" s="4" t="s">
        <v>1099</v>
      </c>
      <c r="G11" s="4" t="s">
        <v>1077</v>
      </c>
      <c r="H11" s="4" t="s">
        <v>57</v>
      </c>
      <c r="J11" s="5" t="str">
        <f>IFERROR(__xludf.DUMMYFUNCTION("GOOGLETRANSLATE(A11, ""bn"", ""en"")"),"10")</f>
        <v>10</v>
      </c>
      <c r="K11" s="5" t="str">
        <f>IFERROR(__xludf.DUMMYFUNCTION("GOOGLETRANSLATE(B11, ""bn"", ""en"")"),"How is the competition environment in the film?")</f>
        <v>How is the competition environment in the film?</v>
      </c>
      <c r="L11" s="5" t="str">
        <f>IFERROR(__xludf.DUMMYFUNCTION("GOOGLETRANSLATE(C11, ""bn"", ""en"")"),"Stimulus")</f>
        <v>Stimulus</v>
      </c>
      <c r="M11" s="5" t="str">
        <f>IFERROR(__xludf.DUMMYFUNCTION("GOOGLETRANSLATE(D11, ""bn"", ""en"")"),"calm down")</f>
        <v>calm down</v>
      </c>
      <c r="N11" s="5" t="str">
        <f>IFERROR(__xludf.DUMMYFUNCTION("GOOGLETRANSLATE(E11, ""bn"", ""en"")"),"cheerful")</f>
        <v>cheerful</v>
      </c>
      <c r="O11" s="5" t="str">
        <f>IFERROR(__xludf.DUMMYFUNCTION("GOOGLETRANSLATE(F11, ""bn"", ""en"")"),"Silent")</f>
        <v>Silent</v>
      </c>
      <c r="P11" s="5" t="str">
        <f>IFERROR(__xludf.DUMMYFUNCTION("GOOGLETRANSLATE(G11, ""bn"", ""en"")"),"Stimulus")</f>
        <v>Stimulus</v>
      </c>
      <c r="Q11" s="5" t="str">
        <f>IFERROR(__xludf.DUMMYFUNCTION("GOOGLETRANSLATE(H11, ""bn"", ""en"")"),"pic5")</f>
        <v>pic5</v>
      </c>
    </row>
    <row r="12">
      <c r="A12" s="3">
        <v>11.0</v>
      </c>
      <c r="B12" s="4" t="s">
        <v>1323</v>
      </c>
      <c r="C12" s="4" t="s">
        <v>1317</v>
      </c>
      <c r="D12" s="4" t="s">
        <v>1058</v>
      </c>
      <c r="E12" s="4" t="s">
        <v>1318</v>
      </c>
      <c r="F12" s="4" t="s">
        <v>143</v>
      </c>
      <c r="G12" s="4" t="s">
        <v>1058</v>
      </c>
      <c r="H12" s="4" t="s">
        <v>68</v>
      </c>
      <c r="J12" s="5" t="str">
        <f>IFERROR(__xludf.DUMMYFUNCTION("GOOGLETRANSLATE(A12, ""bn"", ""en"")"),"11")</f>
        <v>11</v>
      </c>
      <c r="K12" s="5" t="str">
        <f>IFERROR(__xludf.DUMMYFUNCTION("GOOGLETRANSLATE(B12, ""bn"", ""en"")"),"How are the contestants managing their strategy in the shooting competition?")</f>
        <v>How are the contestants managing their strategy in the shooting competition?</v>
      </c>
      <c r="L12" s="5" t="str">
        <f>IFERROR(__xludf.DUMMYFUNCTION("GOOGLETRANSLATE(C12, ""bn"", ""en"")"),"run fast")</f>
        <v>run fast</v>
      </c>
      <c r="M12" s="5" t="str">
        <f>IFERROR(__xludf.DUMMYFUNCTION("GOOGLETRANSLATE(D12, ""bn"", ""en"")"),"combination")</f>
        <v>combination</v>
      </c>
      <c r="N12" s="5" t="str">
        <f>IFERROR(__xludf.DUMMYFUNCTION("GOOGLETRANSLATE(E12, ""bn"", ""en"")"),"Patience")</f>
        <v>Patience</v>
      </c>
      <c r="O12" s="5" t="str">
        <f>IFERROR(__xludf.DUMMYFUNCTION("GOOGLETRANSLATE(F12, ""bn"", ""en"")"),"Power")</f>
        <v>Power</v>
      </c>
      <c r="P12" s="5" t="str">
        <f>IFERROR(__xludf.DUMMYFUNCTION("GOOGLETRANSLATE(G12, ""bn"", ""en"")"),"combination")</f>
        <v>combination</v>
      </c>
      <c r="Q12" s="5" t="str">
        <f>IFERROR(__xludf.DUMMYFUNCTION("GOOGLETRANSLATE(H12, ""bn"", ""en"")"),"pic6")</f>
        <v>pic6</v>
      </c>
    </row>
    <row r="13">
      <c r="A13" s="3">
        <v>12.0</v>
      </c>
      <c r="B13" s="4" t="s">
        <v>1059</v>
      </c>
      <c r="C13" s="4" t="s">
        <v>1077</v>
      </c>
      <c r="D13" s="4" t="s">
        <v>561</v>
      </c>
      <c r="E13" s="4" t="s">
        <v>1135</v>
      </c>
      <c r="F13" s="4" t="s">
        <v>1099</v>
      </c>
      <c r="G13" s="4" t="s">
        <v>1077</v>
      </c>
      <c r="H13" s="4" t="s">
        <v>68</v>
      </c>
      <c r="J13" s="5" t="str">
        <f>IFERROR(__xludf.DUMMYFUNCTION("GOOGLETRANSLATE(A13, ""bn"", ""en"")"),"12")</f>
        <v>12</v>
      </c>
      <c r="K13" s="5" t="str">
        <f>IFERROR(__xludf.DUMMYFUNCTION("GOOGLETRANSLATE(B13, ""bn"", ""en"")"),"How is the competition environment in the film?")</f>
        <v>How is the competition environment in the film?</v>
      </c>
      <c r="L13" s="5" t="str">
        <f>IFERROR(__xludf.DUMMYFUNCTION("GOOGLETRANSLATE(C13, ""bn"", ""en"")"),"Stimulus")</f>
        <v>Stimulus</v>
      </c>
      <c r="M13" s="5" t="str">
        <f>IFERROR(__xludf.DUMMYFUNCTION("GOOGLETRANSLATE(D13, ""bn"", ""en"")"),"calm down")</f>
        <v>calm down</v>
      </c>
      <c r="N13" s="5" t="str">
        <f>IFERROR(__xludf.DUMMYFUNCTION("GOOGLETRANSLATE(E13, ""bn"", ""en"")"),"cheerful")</f>
        <v>cheerful</v>
      </c>
      <c r="O13" s="5" t="str">
        <f>IFERROR(__xludf.DUMMYFUNCTION("GOOGLETRANSLATE(F13, ""bn"", ""en"")"),"Silent")</f>
        <v>Silent</v>
      </c>
      <c r="P13" s="5" t="str">
        <f>IFERROR(__xludf.DUMMYFUNCTION("GOOGLETRANSLATE(G13, ""bn"", ""en"")"),"Stimulus")</f>
        <v>Stimulus</v>
      </c>
      <c r="Q13" s="5" t="str">
        <f>IFERROR(__xludf.DUMMYFUNCTION("GOOGLETRANSLATE(H13, ""bn"", ""en"")"),"pic6")</f>
        <v>pic6</v>
      </c>
    </row>
    <row r="14">
      <c r="A14" s="3">
        <v>13.0</v>
      </c>
      <c r="B14" s="4" t="s">
        <v>1324</v>
      </c>
      <c r="C14" s="4" t="s">
        <v>1317</v>
      </c>
      <c r="D14" s="4" t="s">
        <v>1058</v>
      </c>
      <c r="E14" s="4" t="s">
        <v>1318</v>
      </c>
      <c r="F14" s="4" t="s">
        <v>143</v>
      </c>
      <c r="G14" s="4" t="s">
        <v>1317</v>
      </c>
      <c r="H14" s="4" t="s">
        <v>68</v>
      </c>
      <c r="J14" s="5" t="str">
        <f>IFERROR(__xludf.DUMMYFUNCTION("GOOGLETRANSLATE(A14, ""bn"", ""en"")"),"13")</f>
        <v>13</v>
      </c>
      <c r="K14" s="5" t="str">
        <f>IFERROR(__xludf.DUMMYFUNCTION("GOOGLETRANSLATE(B14, ""bn"", ""en"")"),"How are the participants in the Gollachoot competition using their techniques?")</f>
        <v>How are the participants in the Gollachoot competition using their techniques?</v>
      </c>
      <c r="L14" s="5" t="str">
        <f>IFERROR(__xludf.DUMMYFUNCTION("GOOGLETRANSLATE(C14, ""bn"", ""en"")"),"run fast")</f>
        <v>run fast</v>
      </c>
      <c r="M14" s="5" t="str">
        <f>IFERROR(__xludf.DUMMYFUNCTION("GOOGLETRANSLATE(D14, ""bn"", ""en"")"),"combination")</f>
        <v>combination</v>
      </c>
      <c r="N14" s="5" t="str">
        <f>IFERROR(__xludf.DUMMYFUNCTION("GOOGLETRANSLATE(E14, ""bn"", ""en"")"),"Patience")</f>
        <v>Patience</v>
      </c>
      <c r="O14" s="5" t="str">
        <f>IFERROR(__xludf.DUMMYFUNCTION("GOOGLETRANSLATE(F14, ""bn"", ""en"")"),"Power")</f>
        <v>Power</v>
      </c>
      <c r="P14" s="5" t="str">
        <f>IFERROR(__xludf.DUMMYFUNCTION("GOOGLETRANSLATE(G14, ""bn"", ""en"")"),"run fast")</f>
        <v>run fast</v>
      </c>
      <c r="Q14" s="5" t="str">
        <f>IFERROR(__xludf.DUMMYFUNCTION("GOOGLETRANSLATE(H14, ""bn"", ""en"")"),"pic6")</f>
        <v>pic6</v>
      </c>
    </row>
    <row r="15">
      <c r="A15" s="3">
        <v>14.0</v>
      </c>
      <c r="B15" s="4" t="s">
        <v>1325</v>
      </c>
      <c r="C15" s="4" t="s">
        <v>1116</v>
      </c>
      <c r="D15" s="4" t="s">
        <v>1117</v>
      </c>
      <c r="E15" s="4" t="s">
        <v>1118</v>
      </c>
      <c r="F15" s="4" t="s">
        <v>1119</v>
      </c>
      <c r="G15" s="4" t="s">
        <v>1116</v>
      </c>
      <c r="H15" s="4" t="s">
        <v>72</v>
      </c>
      <c r="J15" s="5" t="str">
        <f>IFERROR(__xludf.DUMMYFUNCTION("GOOGLETRANSLATE(A15, ""bn"", ""en"")"),"14")</f>
        <v>14</v>
      </c>
      <c r="K15" s="5" t="str">
        <f>IFERROR(__xludf.DUMMYFUNCTION("GOOGLETRANSLATE(B15, ""bn"", ""en"")"),"How enthusiastic are the contestants in the film?")</f>
        <v>How enthusiastic are the contestants in the film?</v>
      </c>
      <c r="L15" s="5" t="str">
        <f>IFERROR(__xludf.DUMMYFUNCTION("GOOGLETRANSLATE(C15, ""bn"", ""en"")"),"high")</f>
        <v>high</v>
      </c>
      <c r="M15" s="5" t="str">
        <f>IFERROR(__xludf.DUMMYFUNCTION("GOOGLETRANSLATE(D15, ""bn"", ""en"")"),"Low")</f>
        <v>Low</v>
      </c>
      <c r="N15" s="5" t="str">
        <f>IFERROR(__xludf.DUMMYFUNCTION("GOOGLETRANSLATE(E15, ""bn"", ""en"")"),"Medium")</f>
        <v>Medium</v>
      </c>
      <c r="O15" s="5" t="str">
        <f>IFERROR(__xludf.DUMMYFUNCTION("GOOGLETRANSLATE(F15, ""bn"", ""en"")"),"Variable")</f>
        <v>Variable</v>
      </c>
      <c r="P15" s="5" t="str">
        <f>IFERROR(__xludf.DUMMYFUNCTION("GOOGLETRANSLATE(G15, ""bn"", ""en"")"),"high")</f>
        <v>high</v>
      </c>
      <c r="Q15" s="5" t="str">
        <f>IFERROR(__xludf.DUMMYFUNCTION("GOOGLETRANSLATE(H15, ""bn"", ""en"")"),"pic7")</f>
        <v>pic7</v>
      </c>
    </row>
    <row r="16">
      <c r="A16" s="3">
        <v>15.0</v>
      </c>
      <c r="B16" s="4" t="s">
        <v>1324</v>
      </c>
      <c r="C16" s="4" t="s">
        <v>1317</v>
      </c>
      <c r="D16" s="4" t="s">
        <v>1058</v>
      </c>
      <c r="E16" s="4" t="s">
        <v>1318</v>
      </c>
      <c r="F16" s="4" t="s">
        <v>143</v>
      </c>
      <c r="G16" s="4" t="s">
        <v>1317</v>
      </c>
      <c r="H16" s="4" t="s">
        <v>72</v>
      </c>
      <c r="J16" s="5" t="str">
        <f>IFERROR(__xludf.DUMMYFUNCTION("GOOGLETRANSLATE(A16, ""bn"", ""en"")"),"15")</f>
        <v>15</v>
      </c>
      <c r="K16" s="5" t="str">
        <f>IFERROR(__xludf.DUMMYFUNCTION("GOOGLETRANSLATE(B16, ""bn"", ""en"")"),"How are the participants in the Gollachoot competition using their techniques?")</f>
        <v>How are the participants in the Gollachoot competition using their techniques?</v>
      </c>
      <c r="L16" s="5" t="str">
        <f>IFERROR(__xludf.DUMMYFUNCTION("GOOGLETRANSLATE(C16, ""bn"", ""en"")"),"run fast")</f>
        <v>run fast</v>
      </c>
      <c r="M16" s="5" t="str">
        <f>IFERROR(__xludf.DUMMYFUNCTION("GOOGLETRANSLATE(D16, ""bn"", ""en"")"),"combination")</f>
        <v>combination</v>
      </c>
      <c r="N16" s="5" t="str">
        <f>IFERROR(__xludf.DUMMYFUNCTION("GOOGLETRANSLATE(E16, ""bn"", ""en"")"),"Patience")</f>
        <v>Patience</v>
      </c>
      <c r="O16" s="5" t="str">
        <f>IFERROR(__xludf.DUMMYFUNCTION("GOOGLETRANSLATE(F16, ""bn"", ""en"")"),"Power")</f>
        <v>Power</v>
      </c>
      <c r="P16" s="5" t="str">
        <f>IFERROR(__xludf.DUMMYFUNCTION("GOOGLETRANSLATE(G16, ""bn"", ""en"")"),"run fast")</f>
        <v>run fast</v>
      </c>
      <c r="Q16" s="5" t="str">
        <f>IFERROR(__xludf.DUMMYFUNCTION("GOOGLETRANSLATE(H16, ""bn"", ""en"")"),"pic7")</f>
        <v>pic7</v>
      </c>
    </row>
    <row r="17">
      <c r="A17" s="3">
        <v>16.0</v>
      </c>
      <c r="B17" s="4" t="s">
        <v>1325</v>
      </c>
      <c r="C17" s="4" t="s">
        <v>1116</v>
      </c>
      <c r="D17" s="4" t="s">
        <v>1117</v>
      </c>
      <c r="E17" s="4" t="s">
        <v>1118</v>
      </c>
      <c r="F17" s="4" t="s">
        <v>1119</v>
      </c>
      <c r="G17" s="4" t="s">
        <v>1116</v>
      </c>
      <c r="H17" s="4" t="s">
        <v>81</v>
      </c>
      <c r="J17" s="5" t="str">
        <f>IFERROR(__xludf.DUMMYFUNCTION("GOOGLETRANSLATE(A17, ""bn"", ""en"")"),"16")</f>
        <v>16</v>
      </c>
      <c r="K17" s="5" t="str">
        <f>IFERROR(__xludf.DUMMYFUNCTION("GOOGLETRANSLATE(B17, ""bn"", ""en"")"),"How enthusiastic are the contestants in the film?")</f>
        <v>How enthusiastic are the contestants in the film?</v>
      </c>
      <c r="L17" s="5" t="str">
        <f>IFERROR(__xludf.DUMMYFUNCTION("GOOGLETRANSLATE(C17, ""bn"", ""en"")"),"high")</f>
        <v>high</v>
      </c>
      <c r="M17" s="5" t="str">
        <f>IFERROR(__xludf.DUMMYFUNCTION("GOOGLETRANSLATE(D17, ""bn"", ""en"")"),"Low")</f>
        <v>Low</v>
      </c>
      <c r="N17" s="5" t="str">
        <f>IFERROR(__xludf.DUMMYFUNCTION("GOOGLETRANSLATE(E17, ""bn"", ""en"")"),"Medium")</f>
        <v>Medium</v>
      </c>
      <c r="O17" s="5" t="str">
        <f>IFERROR(__xludf.DUMMYFUNCTION("GOOGLETRANSLATE(F17, ""bn"", ""en"")"),"Variable")</f>
        <v>Variable</v>
      </c>
      <c r="P17" s="5" t="str">
        <f>IFERROR(__xludf.DUMMYFUNCTION("GOOGLETRANSLATE(G17, ""bn"", ""en"")"),"high")</f>
        <v>high</v>
      </c>
      <c r="Q17" s="5" t="str">
        <f>IFERROR(__xludf.DUMMYFUNCTION("GOOGLETRANSLATE(H17, ""bn"", ""en"")"),"pic8")</f>
        <v>pic8</v>
      </c>
    </row>
    <row r="18">
      <c r="A18" s="3">
        <v>17.0</v>
      </c>
      <c r="B18" s="4" t="s">
        <v>1326</v>
      </c>
      <c r="C18" s="4" t="s">
        <v>1317</v>
      </c>
      <c r="D18" s="4" t="s">
        <v>1058</v>
      </c>
      <c r="E18" s="4" t="s">
        <v>1318</v>
      </c>
      <c r="F18" s="4" t="s">
        <v>143</v>
      </c>
      <c r="G18" s="4" t="s">
        <v>1317</v>
      </c>
      <c r="H18" s="4" t="s">
        <v>81</v>
      </c>
      <c r="J18" s="5" t="str">
        <f>IFERROR(__xludf.DUMMYFUNCTION("GOOGLETRANSLATE(A18, ""bn"", ""en"")"),"17")</f>
        <v>17</v>
      </c>
      <c r="K18" s="5" t="str">
        <f>IFERROR(__xludf.DUMMYFUNCTION("GOOGLETRANSLATE(B18, ""bn"", ""en"")"),"How are the participants in the shooting competition showing their best efforts?")</f>
        <v>How are the participants in the shooting competition showing their best efforts?</v>
      </c>
      <c r="L18" s="5" t="str">
        <f>IFERROR(__xludf.DUMMYFUNCTION("GOOGLETRANSLATE(C18, ""bn"", ""en"")"),"run fast")</f>
        <v>run fast</v>
      </c>
      <c r="M18" s="5" t="str">
        <f>IFERROR(__xludf.DUMMYFUNCTION("GOOGLETRANSLATE(D18, ""bn"", ""en"")"),"combination")</f>
        <v>combination</v>
      </c>
      <c r="N18" s="5" t="str">
        <f>IFERROR(__xludf.DUMMYFUNCTION("GOOGLETRANSLATE(E18, ""bn"", ""en"")"),"Patience")</f>
        <v>Patience</v>
      </c>
      <c r="O18" s="5" t="str">
        <f>IFERROR(__xludf.DUMMYFUNCTION("GOOGLETRANSLATE(F18, ""bn"", ""en"")"),"Power")</f>
        <v>Power</v>
      </c>
      <c r="P18" s="5" t="str">
        <f>IFERROR(__xludf.DUMMYFUNCTION("GOOGLETRANSLATE(G18, ""bn"", ""en"")"),"run fast")</f>
        <v>run fast</v>
      </c>
      <c r="Q18" s="5" t="str">
        <f>IFERROR(__xludf.DUMMYFUNCTION("GOOGLETRANSLATE(H18, ""bn"", ""en"")"),"pic8")</f>
        <v>pic8</v>
      </c>
    </row>
    <row r="19">
      <c r="A19" s="3">
        <v>18.0</v>
      </c>
      <c r="B19" s="4" t="s">
        <v>1059</v>
      </c>
      <c r="C19" s="4" t="s">
        <v>1077</v>
      </c>
      <c r="D19" s="4" t="s">
        <v>561</v>
      </c>
      <c r="E19" s="4" t="s">
        <v>1135</v>
      </c>
      <c r="F19" s="4" t="s">
        <v>1099</v>
      </c>
      <c r="G19" s="4" t="s">
        <v>1077</v>
      </c>
      <c r="H19" s="4" t="s">
        <v>88</v>
      </c>
      <c r="J19" s="5" t="str">
        <f>IFERROR(__xludf.DUMMYFUNCTION("GOOGLETRANSLATE(A19, ""bn"", ""en"")"),"18")</f>
        <v>18</v>
      </c>
      <c r="K19" s="5" t="str">
        <f>IFERROR(__xludf.DUMMYFUNCTION("GOOGLETRANSLATE(B19, ""bn"", ""en"")"),"How is the competition environment in the film?")</f>
        <v>How is the competition environment in the film?</v>
      </c>
      <c r="L19" s="5" t="str">
        <f>IFERROR(__xludf.DUMMYFUNCTION("GOOGLETRANSLATE(C19, ""bn"", ""en"")"),"Stimulus")</f>
        <v>Stimulus</v>
      </c>
      <c r="M19" s="5" t="str">
        <f>IFERROR(__xludf.DUMMYFUNCTION("GOOGLETRANSLATE(D19, ""bn"", ""en"")"),"calm down")</f>
        <v>calm down</v>
      </c>
      <c r="N19" s="5" t="str">
        <f>IFERROR(__xludf.DUMMYFUNCTION("GOOGLETRANSLATE(E19, ""bn"", ""en"")"),"cheerful")</f>
        <v>cheerful</v>
      </c>
      <c r="O19" s="5" t="str">
        <f>IFERROR(__xludf.DUMMYFUNCTION("GOOGLETRANSLATE(F19, ""bn"", ""en"")"),"Silent")</f>
        <v>Silent</v>
      </c>
      <c r="P19" s="5" t="str">
        <f>IFERROR(__xludf.DUMMYFUNCTION("GOOGLETRANSLATE(G19, ""bn"", ""en"")"),"Stimulus")</f>
        <v>Stimulus</v>
      </c>
      <c r="Q19" s="5" t="str">
        <f>IFERROR(__xludf.DUMMYFUNCTION("GOOGLETRANSLATE(H19, ""bn"", ""en"")"),"pic9")</f>
        <v>pic9</v>
      </c>
    </row>
    <row r="20">
      <c r="A20" s="3">
        <v>19.0</v>
      </c>
      <c r="B20" s="4" t="s">
        <v>1327</v>
      </c>
      <c r="C20" s="4" t="s">
        <v>1317</v>
      </c>
      <c r="D20" s="4" t="s">
        <v>1058</v>
      </c>
      <c r="E20" s="4" t="s">
        <v>1318</v>
      </c>
      <c r="F20" s="4" t="s">
        <v>143</v>
      </c>
      <c r="G20" s="4" t="s">
        <v>1317</v>
      </c>
      <c r="H20" s="4" t="s">
        <v>88</v>
      </c>
      <c r="J20" s="5" t="str">
        <f>IFERROR(__xludf.DUMMYFUNCTION("GOOGLETRANSLATE(A20, ""bn"", ""en"")"),"19")</f>
        <v>19</v>
      </c>
      <c r="K20" s="5" t="str">
        <f>IFERROR(__xludf.DUMMYFUNCTION("GOOGLETRANSLATE(B20, ""bn"", ""en"")"),"How are the participants controlling their speed in the shot put competition?")</f>
        <v>How are the participants controlling their speed in the shot put competition?</v>
      </c>
      <c r="L20" s="5" t="str">
        <f>IFERROR(__xludf.DUMMYFUNCTION("GOOGLETRANSLATE(C20, ""bn"", ""en"")"),"run fast")</f>
        <v>run fast</v>
      </c>
      <c r="M20" s="5" t="str">
        <f>IFERROR(__xludf.DUMMYFUNCTION("GOOGLETRANSLATE(D20, ""bn"", ""en"")"),"combination")</f>
        <v>combination</v>
      </c>
      <c r="N20" s="5" t="str">
        <f>IFERROR(__xludf.DUMMYFUNCTION("GOOGLETRANSLATE(E20, ""bn"", ""en"")"),"Patience")</f>
        <v>Patience</v>
      </c>
      <c r="O20" s="5" t="str">
        <f>IFERROR(__xludf.DUMMYFUNCTION("GOOGLETRANSLATE(F20, ""bn"", ""en"")"),"Power")</f>
        <v>Power</v>
      </c>
      <c r="P20" s="5" t="str">
        <f>IFERROR(__xludf.DUMMYFUNCTION("GOOGLETRANSLATE(G20, ""bn"", ""en"")"),"run fast")</f>
        <v>run fast</v>
      </c>
      <c r="Q20" s="5" t="str">
        <f>IFERROR(__xludf.DUMMYFUNCTION("GOOGLETRANSLATE(H20, ""bn"", ""en"")"),"pic9")</f>
        <v>pic9</v>
      </c>
    </row>
    <row r="21">
      <c r="A21" s="3">
        <v>20.0</v>
      </c>
      <c r="B21" s="4" t="s">
        <v>1059</v>
      </c>
      <c r="C21" s="4" t="s">
        <v>1077</v>
      </c>
      <c r="D21" s="4" t="s">
        <v>561</v>
      </c>
      <c r="E21" s="4" t="s">
        <v>1135</v>
      </c>
      <c r="F21" s="4" t="s">
        <v>1099</v>
      </c>
      <c r="G21" s="4" t="s">
        <v>1077</v>
      </c>
      <c r="H21" s="4" t="s">
        <v>98</v>
      </c>
      <c r="J21" s="5" t="str">
        <f>IFERROR(__xludf.DUMMYFUNCTION("GOOGLETRANSLATE(A21, ""bn"", ""en"")"),"20")</f>
        <v>20</v>
      </c>
      <c r="K21" s="5" t="str">
        <f>IFERROR(__xludf.DUMMYFUNCTION("GOOGLETRANSLATE(B21, ""bn"", ""en"")"),"How is the competition environment in the film?")</f>
        <v>How is the competition environment in the film?</v>
      </c>
      <c r="L21" s="5" t="str">
        <f>IFERROR(__xludf.DUMMYFUNCTION("GOOGLETRANSLATE(C21, ""bn"", ""en"")"),"Stimulus")</f>
        <v>Stimulus</v>
      </c>
      <c r="M21" s="5" t="str">
        <f>IFERROR(__xludf.DUMMYFUNCTION("GOOGLETRANSLATE(D21, ""bn"", ""en"")"),"calm down")</f>
        <v>calm down</v>
      </c>
      <c r="N21" s="5" t="str">
        <f>IFERROR(__xludf.DUMMYFUNCTION("GOOGLETRANSLATE(E21, ""bn"", ""en"")"),"cheerful")</f>
        <v>cheerful</v>
      </c>
      <c r="O21" s="5" t="str">
        <f>IFERROR(__xludf.DUMMYFUNCTION("GOOGLETRANSLATE(F21, ""bn"", ""en"")"),"Silent")</f>
        <v>Silent</v>
      </c>
      <c r="P21" s="5" t="str">
        <f>IFERROR(__xludf.DUMMYFUNCTION("GOOGLETRANSLATE(G21, ""bn"", ""en"")"),"Stimulus")</f>
        <v>Stimulus</v>
      </c>
      <c r="Q21" s="5" t="str">
        <f>IFERROR(__xludf.DUMMYFUNCTION("GOOGLETRANSLATE(H21, ""bn"", ""en"")"),"pic10")</f>
        <v>pic10</v>
      </c>
    </row>
    <row r="22">
      <c r="A22" s="3">
        <v>21.0</v>
      </c>
      <c r="B22" s="4" t="s">
        <v>1328</v>
      </c>
      <c r="C22" s="4" t="s">
        <v>1317</v>
      </c>
      <c r="D22" s="4" t="s">
        <v>1058</v>
      </c>
      <c r="E22" s="4" t="s">
        <v>1318</v>
      </c>
      <c r="F22" s="4" t="s">
        <v>1329</v>
      </c>
      <c r="G22" s="4" t="s">
        <v>1317</v>
      </c>
      <c r="H22" s="4" t="s">
        <v>98</v>
      </c>
      <c r="J22" s="5" t="str">
        <f>IFERROR(__xludf.DUMMYFUNCTION("GOOGLETRANSLATE(A22, ""bn"", ""en"")"),"21")</f>
        <v>21</v>
      </c>
      <c r="K22" s="5" t="str">
        <f>IFERROR(__xludf.DUMMYFUNCTION("GOOGLETRANSLATE(B22, ""bn"", ""en"")"),"How are contestants using their energy in shooting contests?")</f>
        <v>How are contestants using their energy in shooting contests?</v>
      </c>
      <c r="L22" s="5" t="str">
        <f>IFERROR(__xludf.DUMMYFUNCTION("GOOGLETRANSLATE(C22, ""bn"", ""en"")"),"run fast")</f>
        <v>run fast</v>
      </c>
      <c r="M22" s="5" t="str">
        <f>IFERROR(__xludf.DUMMYFUNCTION("GOOGLETRANSLATE(D22, ""bn"", ""en"")"),"combination")</f>
        <v>combination</v>
      </c>
      <c r="N22" s="5" t="str">
        <f>IFERROR(__xludf.DUMMYFUNCTION("GOOGLETRANSLATE(E22, ""bn"", ""en"")"),"Patience")</f>
        <v>Patience</v>
      </c>
      <c r="O22" s="5" t="str">
        <f>IFERROR(__xludf.DUMMYFUNCTION("GOOGLETRANSLATE(F22, ""bn"", ""en"")"),"energy conservation")</f>
        <v>energy conservation</v>
      </c>
      <c r="P22" s="5" t="str">
        <f>IFERROR(__xludf.DUMMYFUNCTION("GOOGLETRANSLATE(G22, ""bn"", ""en"")"),"run fast")</f>
        <v>run fast</v>
      </c>
      <c r="Q22" s="5" t="str">
        <f>IFERROR(__xludf.DUMMYFUNCTION("GOOGLETRANSLATE(H22, ""bn"", ""en"")"),"pic10")</f>
        <v>pic10</v>
      </c>
    </row>
    <row r="23">
      <c r="A23" s="3">
        <v>22.0</v>
      </c>
      <c r="B23" s="4" t="s">
        <v>1330</v>
      </c>
      <c r="C23" s="4" t="s">
        <v>1320</v>
      </c>
      <c r="D23" s="4" t="s">
        <v>561</v>
      </c>
      <c r="E23" s="4" t="s">
        <v>1135</v>
      </c>
      <c r="F23" s="4" t="s">
        <v>1099</v>
      </c>
      <c r="G23" s="4" t="s">
        <v>1320</v>
      </c>
      <c r="H23" s="4" t="s">
        <v>109</v>
      </c>
      <c r="J23" s="5" t="str">
        <f>IFERROR(__xludf.DUMMYFUNCTION("GOOGLETRANSLATE(A23, ""bn"", ""en"")"),"22")</f>
        <v>22</v>
      </c>
      <c r="K23" s="5" t="str">
        <f>IFERROR(__xludf.DUMMYFUNCTION("GOOGLETRANSLATE(B23, ""bn"", ""en"")"),"What is the attitude of the contestants in the film?")</f>
        <v>What is the attitude of the contestants in the film?</v>
      </c>
      <c r="L23" s="5" t="str">
        <f>IFERROR(__xludf.DUMMYFUNCTION("GOOGLETRANSLATE(C23, ""bn"", ""en"")"),"enthusiastic")</f>
        <v>enthusiastic</v>
      </c>
      <c r="M23" s="5" t="str">
        <f>IFERROR(__xludf.DUMMYFUNCTION("GOOGLETRANSLATE(D23, ""bn"", ""en"")"),"calm down")</f>
        <v>calm down</v>
      </c>
      <c r="N23" s="5" t="str">
        <f>IFERROR(__xludf.DUMMYFUNCTION("GOOGLETRANSLATE(E23, ""bn"", ""en"")"),"cheerful")</f>
        <v>cheerful</v>
      </c>
      <c r="O23" s="5" t="str">
        <f>IFERROR(__xludf.DUMMYFUNCTION("GOOGLETRANSLATE(F23, ""bn"", ""en"")"),"Silent")</f>
        <v>Silent</v>
      </c>
      <c r="P23" s="5" t="str">
        <f>IFERROR(__xludf.DUMMYFUNCTION("GOOGLETRANSLATE(G23, ""bn"", ""en"")"),"enthusiastic")</f>
        <v>enthusiastic</v>
      </c>
      <c r="Q23" s="5" t="str">
        <f>IFERROR(__xludf.DUMMYFUNCTION("GOOGLETRANSLATE(H23, ""bn"", ""en"")"),"pic11")</f>
        <v>pic11</v>
      </c>
    </row>
    <row r="24">
      <c r="A24" s="3">
        <v>23.0</v>
      </c>
      <c r="B24" s="4" t="s">
        <v>1331</v>
      </c>
      <c r="C24" s="4" t="s">
        <v>1317</v>
      </c>
      <c r="D24" s="4" t="s">
        <v>1058</v>
      </c>
      <c r="E24" s="4" t="s">
        <v>1318</v>
      </c>
      <c r="F24" s="4" t="s">
        <v>1329</v>
      </c>
      <c r="G24" s="4" t="s">
        <v>1329</v>
      </c>
      <c r="H24" s="4" t="s">
        <v>109</v>
      </c>
      <c r="J24" s="5" t="str">
        <f>IFERROR(__xludf.DUMMYFUNCTION("GOOGLETRANSLATE(A24, ""bn"", ""en"")"),"23")</f>
        <v>23</v>
      </c>
      <c r="K24" s="5" t="str">
        <f>IFERROR(__xludf.DUMMYFUNCTION("GOOGLETRANSLATE(B24, ""bn"", ""en"")"),"How are the contestants managing their energy in the shooting competition?")</f>
        <v>How are the contestants managing their energy in the shooting competition?</v>
      </c>
      <c r="L24" s="5" t="str">
        <f>IFERROR(__xludf.DUMMYFUNCTION("GOOGLETRANSLATE(C24, ""bn"", ""en"")"),"run fast")</f>
        <v>run fast</v>
      </c>
      <c r="M24" s="5" t="str">
        <f>IFERROR(__xludf.DUMMYFUNCTION("GOOGLETRANSLATE(D24, ""bn"", ""en"")"),"combination")</f>
        <v>combination</v>
      </c>
      <c r="N24" s="5" t="str">
        <f>IFERROR(__xludf.DUMMYFUNCTION("GOOGLETRANSLATE(E24, ""bn"", ""en"")"),"Patience")</f>
        <v>Patience</v>
      </c>
      <c r="O24" s="5" t="str">
        <f>IFERROR(__xludf.DUMMYFUNCTION("GOOGLETRANSLATE(F24, ""bn"", ""en"")"),"energy conservation")</f>
        <v>energy conservation</v>
      </c>
      <c r="P24" s="5" t="str">
        <f>IFERROR(__xludf.DUMMYFUNCTION("GOOGLETRANSLATE(G24, ""bn"", ""en"")"),"energy conservation")</f>
        <v>energy conservation</v>
      </c>
      <c r="Q24" s="5" t="str">
        <f>IFERROR(__xludf.DUMMYFUNCTION("GOOGLETRANSLATE(H24, ""bn"", ""en"")"),"pic11")</f>
        <v>pic11</v>
      </c>
    </row>
    <row r="25">
      <c r="A25" s="3">
        <v>24.0</v>
      </c>
      <c r="B25" s="4" t="s">
        <v>1059</v>
      </c>
      <c r="C25" s="4" t="s">
        <v>1116</v>
      </c>
      <c r="D25" s="4" t="s">
        <v>1117</v>
      </c>
      <c r="E25" s="4" t="s">
        <v>1118</v>
      </c>
      <c r="F25" s="4" t="s">
        <v>1119</v>
      </c>
      <c r="G25" s="4" t="s">
        <v>1116</v>
      </c>
      <c r="H25" s="4" t="s">
        <v>120</v>
      </c>
      <c r="J25" s="5" t="str">
        <f>IFERROR(__xludf.DUMMYFUNCTION("GOOGLETRANSLATE(A25, ""bn"", ""en"")"),"24")</f>
        <v>24</v>
      </c>
      <c r="K25" s="5" t="str">
        <f>IFERROR(__xludf.DUMMYFUNCTION("GOOGLETRANSLATE(B25, ""bn"", ""en"")"),"How is the competition environment in the film?")</f>
        <v>How is the competition environment in the film?</v>
      </c>
      <c r="L25" s="5" t="str">
        <f>IFERROR(__xludf.DUMMYFUNCTION("GOOGLETRANSLATE(C25, ""bn"", ""en"")"),"high")</f>
        <v>high</v>
      </c>
      <c r="M25" s="5" t="str">
        <f>IFERROR(__xludf.DUMMYFUNCTION("GOOGLETRANSLATE(D25, ""bn"", ""en"")"),"Low")</f>
        <v>Low</v>
      </c>
      <c r="N25" s="5" t="str">
        <f>IFERROR(__xludf.DUMMYFUNCTION("GOOGLETRANSLATE(E25, ""bn"", ""en"")"),"Medium")</f>
        <v>Medium</v>
      </c>
      <c r="O25" s="5" t="str">
        <f>IFERROR(__xludf.DUMMYFUNCTION("GOOGLETRANSLATE(F25, ""bn"", ""en"")"),"Variable")</f>
        <v>Variable</v>
      </c>
      <c r="P25" s="5" t="str">
        <f>IFERROR(__xludf.DUMMYFUNCTION("GOOGLETRANSLATE(G25, ""bn"", ""en"")"),"high")</f>
        <v>high</v>
      </c>
      <c r="Q25" s="5" t="str">
        <f>IFERROR(__xludf.DUMMYFUNCTION("GOOGLETRANSLATE(H25, ""bn"", ""en"")"),"pic12")</f>
        <v>pic12</v>
      </c>
    </row>
    <row r="26">
      <c r="A26" s="3">
        <v>25.0</v>
      </c>
      <c r="B26" s="4" t="s">
        <v>1332</v>
      </c>
      <c r="C26" s="4" t="s">
        <v>1317</v>
      </c>
      <c r="D26" s="4" t="s">
        <v>1058</v>
      </c>
      <c r="E26" s="4" t="s">
        <v>1318</v>
      </c>
      <c r="F26" s="4" t="s">
        <v>143</v>
      </c>
      <c r="G26" s="4" t="s">
        <v>1317</v>
      </c>
      <c r="H26" s="4" t="s">
        <v>120</v>
      </c>
      <c r="J26" s="5" t="str">
        <f>IFERROR(__xludf.DUMMYFUNCTION("GOOGLETRANSLATE(A26, ""bn"", ""en"")"),"25")</f>
        <v>25</v>
      </c>
      <c r="K26" s="5" t="str">
        <f>IFERROR(__xludf.DUMMYFUNCTION("GOOGLETRANSLATE(B26, ""bn"", ""en"")"),"How are the participants in the shot put competition using their running techniques?")</f>
        <v>How are the participants in the shot put competition using their running techniques?</v>
      </c>
      <c r="L26" s="5" t="str">
        <f>IFERROR(__xludf.DUMMYFUNCTION("GOOGLETRANSLATE(C26, ""bn"", ""en"")"),"run fast")</f>
        <v>run fast</v>
      </c>
      <c r="M26" s="5" t="str">
        <f>IFERROR(__xludf.DUMMYFUNCTION("GOOGLETRANSLATE(D26, ""bn"", ""en"")"),"combination")</f>
        <v>combination</v>
      </c>
      <c r="N26" s="5" t="str">
        <f>IFERROR(__xludf.DUMMYFUNCTION("GOOGLETRANSLATE(E26, ""bn"", ""en"")"),"Patience")</f>
        <v>Patience</v>
      </c>
      <c r="O26" s="5" t="str">
        <f>IFERROR(__xludf.DUMMYFUNCTION("GOOGLETRANSLATE(F26, ""bn"", ""en"")"),"Power")</f>
        <v>Power</v>
      </c>
      <c r="P26" s="5" t="str">
        <f>IFERROR(__xludf.DUMMYFUNCTION("GOOGLETRANSLATE(G26, ""bn"", ""en"")"),"run fast")</f>
        <v>run fast</v>
      </c>
      <c r="Q26" s="5" t="str">
        <f>IFERROR(__xludf.DUMMYFUNCTION("GOOGLETRANSLATE(H26, ""bn"", ""en"")"),"pic12")</f>
        <v>pic12</v>
      </c>
    </row>
    <row r="27">
      <c r="A27" s="3">
        <v>26.0</v>
      </c>
      <c r="B27" s="4" t="s">
        <v>1059</v>
      </c>
      <c r="C27" s="4" t="s">
        <v>1077</v>
      </c>
      <c r="D27" s="4" t="s">
        <v>561</v>
      </c>
      <c r="E27" s="4" t="s">
        <v>1135</v>
      </c>
      <c r="F27" s="4" t="s">
        <v>1099</v>
      </c>
      <c r="G27" s="4" t="s">
        <v>1077</v>
      </c>
      <c r="H27" s="4" t="s">
        <v>131</v>
      </c>
      <c r="J27" s="5" t="str">
        <f>IFERROR(__xludf.DUMMYFUNCTION("GOOGLETRANSLATE(A27, ""bn"", ""en"")"),"26")</f>
        <v>26</v>
      </c>
      <c r="K27" s="5" t="str">
        <f>IFERROR(__xludf.DUMMYFUNCTION("GOOGLETRANSLATE(B27, ""bn"", ""en"")"),"How is the competition environment in the film?")</f>
        <v>How is the competition environment in the film?</v>
      </c>
      <c r="L27" s="5" t="str">
        <f>IFERROR(__xludf.DUMMYFUNCTION("GOOGLETRANSLATE(C27, ""bn"", ""en"")"),"Stimulus")</f>
        <v>Stimulus</v>
      </c>
      <c r="M27" s="5" t="str">
        <f>IFERROR(__xludf.DUMMYFUNCTION("GOOGLETRANSLATE(D27, ""bn"", ""en"")"),"calm down")</f>
        <v>calm down</v>
      </c>
      <c r="N27" s="5" t="str">
        <f>IFERROR(__xludf.DUMMYFUNCTION("GOOGLETRANSLATE(E27, ""bn"", ""en"")"),"cheerful")</f>
        <v>cheerful</v>
      </c>
      <c r="O27" s="5" t="str">
        <f>IFERROR(__xludf.DUMMYFUNCTION("GOOGLETRANSLATE(F27, ""bn"", ""en"")"),"Silent")</f>
        <v>Silent</v>
      </c>
      <c r="P27" s="5" t="str">
        <f>IFERROR(__xludf.DUMMYFUNCTION("GOOGLETRANSLATE(G27, ""bn"", ""en"")"),"Stimulus")</f>
        <v>Stimulus</v>
      </c>
      <c r="Q27" s="5" t="str">
        <f>IFERROR(__xludf.DUMMYFUNCTION("GOOGLETRANSLATE(H27, ""bn"", ""en"")"),"pic13")</f>
        <v>pic13</v>
      </c>
    </row>
    <row r="28">
      <c r="A28" s="3">
        <v>27.0</v>
      </c>
      <c r="B28" s="4" t="s">
        <v>1333</v>
      </c>
      <c r="C28" s="4" t="s">
        <v>1317</v>
      </c>
      <c r="D28" s="4" t="s">
        <v>1058</v>
      </c>
      <c r="E28" s="4" t="s">
        <v>1318</v>
      </c>
      <c r="F28" s="4" t="s">
        <v>143</v>
      </c>
      <c r="G28" s="4" t="s">
        <v>1317</v>
      </c>
      <c r="H28" s="4" t="s">
        <v>131</v>
      </c>
      <c r="J28" s="5" t="str">
        <f>IFERROR(__xludf.DUMMYFUNCTION("GOOGLETRANSLATE(A28, ""bn"", ""en"")"),"27")</f>
        <v>27</v>
      </c>
      <c r="K28" s="5" t="str">
        <f>IFERROR(__xludf.DUMMYFUNCTION("GOOGLETRANSLATE(B28, ""bn"", ""en"")"),"How are the participants using their energy in the shooting competition?")</f>
        <v>How are the participants using their energy in the shooting competition?</v>
      </c>
      <c r="L28" s="5" t="str">
        <f>IFERROR(__xludf.DUMMYFUNCTION("GOOGLETRANSLATE(C28, ""bn"", ""en"")"),"run fast")</f>
        <v>run fast</v>
      </c>
      <c r="M28" s="5" t="str">
        <f>IFERROR(__xludf.DUMMYFUNCTION("GOOGLETRANSLATE(D28, ""bn"", ""en"")"),"combination")</f>
        <v>combination</v>
      </c>
      <c r="N28" s="5" t="str">
        <f>IFERROR(__xludf.DUMMYFUNCTION("GOOGLETRANSLATE(E28, ""bn"", ""en"")"),"Patience")</f>
        <v>Patience</v>
      </c>
      <c r="O28" s="5" t="str">
        <f>IFERROR(__xludf.DUMMYFUNCTION("GOOGLETRANSLATE(F28, ""bn"", ""en"")"),"Power")</f>
        <v>Power</v>
      </c>
      <c r="P28" s="5" t="str">
        <f>IFERROR(__xludf.DUMMYFUNCTION("GOOGLETRANSLATE(G28, ""bn"", ""en"")"),"run fast")</f>
        <v>run fast</v>
      </c>
      <c r="Q28" s="5" t="str">
        <f>IFERROR(__xludf.DUMMYFUNCTION("GOOGLETRANSLATE(H28, ""bn"", ""en"")"),"pic13")</f>
        <v>pic13</v>
      </c>
    </row>
    <row r="29">
      <c r="A29" s="3">
        <v>28.0</v>
      </c>
      <c r="B29" s="4" t="s">
        <v>1322</v>
      </c>
      <c r="C29" s="4" t="s">
        <v>1116</v>
      </c>
      <c r="D29" s="4" t="s">
        <v>1117</v>
      </c>
      <c r="E29" s="4" t="s">
        <v>1118</v>
      </c>
      <c r="F29" s="4" t="s">
        <v>1119</v>
      </c>
      <c r="G29" s="4" t="s">
        <v>1116</v>
      </c>
      <c r="H29" s="4" t="s">
        <v>131</v>
      </c>
      <c r="J29" s="5" t="str">
        <f>IFERROR(__xludf.DUMMYFUNCTION("GOOGLETRANSLATE(A29, ""bn"", ""en"")"),"28")</f>
        <v>28</v>
      </c>
      <c r="K29" s="5" t="str">
        <f>IFERROR(__xludf.DUMMYFUNCTION("GOOGLETRANSLATE(B29, ""bn"", ""en"")"),"How is the excitement of the competition in the film?")</f>
        <v>How is the excitement of the competition in the film?</v>
      </c>
      <c r="L29" s="5" t="str">
        <f>IFERROR(__xludf.DUMMYFUNCTION("GOOGLETRANSLATE(C29, ""bn"", ""en"")"),"high")</f>
        <v>high</v>
      </c>
      <c r="M29" s="5" t="str">
        <f>IFERROR(__xludf.DUMMYFUNCTION("GOOGLETRANSLATE(D29, ""bn"", ""en"")"),"Low")</f>
        <v>Low</v>
      </c>
      <c r="N29" s="5" t="str">
        <f>IFERROR(__xludf.DUMMYFUNCTION("GOOGLETRANSLATE(E29, ""bn"", ""en"")"),"Medium")</f>
        <v>Medium</v>
      </c>
      <c r="O29" s="5" t="str">
        <f>IFERROR(__xludf.DUMMYFUNCTION("GOOGLETRANSLATE(F29, ""bn"", ""en"")"),"Variable")</f>
        <v>Variable</v>
      </c>
      <c r="P29" s="5" t="str">
        <f>IFERROR(__xludf.DUMMYFUNCTION("GOOGLETRANSLATE(G29, ""bn"", ""en"")"),"high")</f>
        <v>high</v>
      </c>
      <c r="Q29" s="5" t="str">
        <f>IFERROR(__xludf.DUMMYFUNCTION("GOOGLETRANSLATE(H29, ""bn"", ""en"")"),"pic13")</f>
        <v>pic13</v>
      </c>
    </row>
    <row r="30">
      <c r="A30" s="3">
        <v>29.0</v>
      </c>
      <c r="B30" s="4" t="str">
        <f>IFERROR(__xludf.DUMMYFUNCTION("GOOGLETRANSLATE(K30, ""en"", ""bn"")"),"খেলোয়াড়রা যে কেন্দ্রীয় উপাদানটির চারপাশে ঘুরছে তা কী?")</f>
        <v>খেলোয়াড়রা যে কেন্দ্রীয় উপাদানটির চারপাশে ঘুরছে তা কী?</v>
      </c>
      <c r="C30" s="4" t="str">
        <f>IFERROR(__xludf.DUMMYFUNCTION("GOOGLETRANSLATE(L30, ""en"", ""bn"")"),"একটি গাছ")</f>
        <v>একটি গাছ</v>
      </c>
      <c r="D30" s="4" t="str">
        <f>IFERROR(__xludf.DUMMYFUNCTION("GOOGLETRANSLATE(M30, ""en"", ""bn"")"),"একটা লাঠি")</f>
        <v>একটা লাঠি</v>
      </c>
      <c r="E30" s="4" t="str">
        <f>IFERROR(__xludf.DUMMYFUNCTION("GOOGLETRANSLATE(N30, ""en"", ""bn"")"),"একজন ব্যক্তি")</f>
        <v>একজন ব্যক্তি</v>
      </c>
      <c r="F30" s="4" t="str">
        <f>IFERROR(__xludf.DUMMYFUNCTION("GOOGLETRANSLATE(O30, ""en"", ""bn"")"),"একটি পতাকা")</f>
        <v>একটি পতাকা</v>
      </c>
      <c r="G30" s="4" t="str">
        <f>IFERROR(__xludf.DUMMYFUNCTION("GOOGLETRANSLATE(P30, ""en"", ""bn"")"),"একটা লাঠি")</f>
        <v>একটা লাঠি</v>
      </c>
      <c r="H30" s="4" t="str">
        <f>IFERROR(__xludf.DUMMYFUNCTION("GOOGLETRANSLATE(Q30, ""en"", ""bn"")"),"ছবি1")</f>
        <v>ছবি1</v>
      </c>
      <c r="J30" s="5" t="str">
        <f>IFERROR(__xludf.DUMMYFUNCTION("GOOGLETRANSLATE(A30, ""bn"", ""en"")"),"29")</f>
        <v>29</v>
      </c>
      <c r="K30" s="16" t="s">
        <v>1334</v>
      </c>
      <c r="L30" s="16" t="s">
        <v>1335</v>
      </c>
      <c r="M30" s="16" t="s">
        <v>1336</v>
      </c>
      <c r="N30" s="16" t="s">
        <v>1337</v>
      </c>
      <c r="O30" s="16" t="s">
        <v>1338</v>
      </c>
      <c r="P30" s="16" t="s">
        <v>1336</v>
      </c>
      <c r="Q30" s="7" t="s">
        <v>21</v>
      </c>
    </row>
    <row r="31">
      <c r="A31" s="3">
        <v>30.0</v>
      </c>
      <c r="B31" s="4" t="str">
        <f>IFERROR(__xludf.DUMMYFUNCTION("GOOGLETRANSLATE(K31, ""en"", ""bn"")"),"লাইনের সামনের খেলোয়াড়রা কী ক্রিয়া করছে?")</f>
        <v>লাইনের সামনের খেলোয়াড়রা কী ক্রিয়া করছে?</v>
      </c>
      <c r="C31" s="4" t="str">
        <f>IFERROR(__xludf.DUMMYFUNCTION("GOOGLETRANSLATE(L31, ""en"", ""bn"")"),"দৌড়")</f>
        <v>দৌড়</v>
      </c>
      <c r="D31" s="4" t="str">
        <f>IFERROR(__xludf.DUMMYFUNCTION("GOOGLETRANSLATE(M31, ""en"", ""bn"")"),"হাঁটা")</f>
        <v>হাঁটা</v>
      </c>
      <c r="E31" s="4" t="str">
        <f>IFERROR(__xludf.DUMMYFUNCTION("GOOGLETRANSLATE(N31, ""en"", ""bn"")"),"জাম্পিং")</f>
        <v>জাম্পিং</v>
      </c>
      <c r="F31" s="4" t="str">
        <f>IFERROR(__xludf.DUMMYFUNCTION("GOOGLETRANSLATE(O31, ""en"", ""bn"")"),"স্থির হয়ে দাঁড়িয়ে আছে")</f>
        <v>স্থির হয়ে দাঁড়িয়ে আছে</v>
      </c>
      <c r="G31" s="4" t="str">
        <f>IFERROR(__xludf.DUMMYFUNCTION("GOOGLETRANSLATE(P31, ""en"", ""bn"")"),"দৌড়")</f>
        <v>দৌড়</v>
      </c>
      <c r="H31" s="4" t="str">
        <f>IFERROR(__xludf.DUMMYFUNCTION("GOOGLETRANSLATE(Q31, ""en"", ""bn"")"),"ছবি1")</f>
        <v>ছবি1</v>
      </c>
      <c r="J31" s="5" t="str">
        <f>IFERROR(__xludf.DUMMYFUNCTION("GOOGLETRANSLATE(A31, ""bn"", ""en"")"),"30")</f>
        <v>30</v>
      </c>
      <c r="K31" s="16" t="s">
        <v>1339</v>
      </c>
      <c r="L31" s="16" t="s">
        <v>1340</v>
      </c>
      <c r="M31" s="16" t="s">
        <v>1341</v>
      </c>
      <c r="N31" s="16" t="s">
        <v>750</v>
      </c>
      <c r="O31" s="16" t="s">
        <v>279</v>
      </c>
      <c r="P31" s="16" t="s">
        <v>1340</v>
      </c>
      <c r="Q31" s="7" t="s">
        <v>21</v>
      </c>
    </row>
    <row r="32">
      <c r="A32" s="3">
        <v>31.0</v>
      </c>
      <c r="B32" s="4" t="str">
        <f>IFERROR(__xludf.DUMMYFUNCTION("GOOGLETRANSLATE(K32, ""en"", ""bn"")"),"ছবিতে আবহাওয়া কেমন?")</f>
        <v>ছবিতে আবহাওয়া কেমন?</v>
      </c>
      <c r="C32" s="4" t="str">
        <f>IFERROR(__xludf.DUMMYFUNCTION("GOOGLETRANSLATE(L32, ""en"", ""bn"")"),"বৃষ্টি হচ্ছে")</f>
        <v>বৃষ্টি হচ্ছে</v>
      </c>
      <c r="D32" s="4" t="str">
        <f>IFERROR(__xludf.DUMMYFUNCTION("GOOGLETRANSLATE(M32, ""en"", ""bn"")"),"তুষারময়")</f>
        <v>তুষারময়</v>
      </c>
      <c r="E32" s="4" t="str">
        <f>IFERROR(__xludf.DUMMYFUNCTION("GOOGLETRANSLATE(N32, ""en"", ""bn"")"),"সানি")</f>
        <v>সানি</v>
      </c>
      <c r="F32" s="4" t="str">
        <f>IFERROR(__xludf.DUMMYFUNCTION("GOOGLETRANSLATE(O32, ""en"", ""bn"")"),"মেঘলা")</f>
        <v>মেঘলা</v>
      </c>
      <c r="G32" s="4" t="str">
        <f>IFERROR(__xludf.DUMMYFUNCTION("GOOGLETRANSLATE(P32, ""en"", ""bn"")"),"সানি")</f>
        <v>সানি</v>
      </c>
      <c r="H32" s="4" t="str">
        <f>IFERROR(__xludf.DUMMYFUNCTION("GOOGLETRANSLATE(Q32, ""en"", ""bn"")"),"ছবি1")</f>
        <v>ছবি1</v>
      </c>
      <c r="J32" s="5" t="str">
        <f>IFERROR(__xludf.DUMMYFUNCTION("GOOGLETRANSLATE(A32, ""bn"", ""en"")"),"31")</f>
        <v>31</v>
      </c>
      <c r="K32" s="16" t="s">
        <v>1342</v>
      </c>
      <c r="L32" s="16" t="s">
        <v>1343</v>
      </c>
      <c r="M32" s="16" t="s">
        <v>1344</v>
      </c>
      <c r="N32" s="16" t="s">
        <v>1345</v>
      </c>
      <c r="O32" s="16" t="s">
        <v>1346</v>
      </c>
      <c r="P32" s="16" t="s">
        <v>1345</v>
      </c>
      <c r="Q32" s="7" t="s">
        <v>21</v>
      </c>
    </row>
    <row r="33">
      <c r="A33" s="3">
        <v>32.0</v>
      </c>
      <c r="B33" s="4" t="str">
        <f>IFERROR(__xludf.DUMMYFUNCTION("GOOGLETRANSLATE(K33, ""en"", ""bn"")"),"বাচ্চারা কী ধরণের জুতা পরে আছে?")</f>
        <v>বাচ্চারা কী ধরণের জুতা পরে আছে?</v>
      </c>
      <c r="C33" s="4" t="str">
        <f>IFERROR(__xludf.DUMMYFUNCTION("GOOGLETRANSLATE(L33, ""en"", ""bn"")"),"স্নিকার্স")</f>
        <v>স্নিকার্স</v>
      </c>
      <c r="D33" s="4" t="str">
        <f>IFERROR(__xludf.DUMMYFUNCTION("GOOGLETRANSLATE(M33, ""en"", ""bn"")"),"বুট")</f>
        <v>বুট</v>
      </c>
      <c r="E33" s="4" t="str">
        <f>IFERROR(__xludf.DUMMYFUNCTION("GOOGLETRANSLATE(N33, ""en"", ""bn"")"),"ফ্লিপ-ফ্লপ")</f>
        <v>ফ্লিপ-ফ্লপ</v>
      </c>
      <c r="F33" s="4" t="str">
        <f>IFERROR(__xludf.DUMMYFUNCTION("GOOGLETRANSLATE(O33, ""en"", ""bn"")"),"খালি পায়ে")</f>
        <v>খালি পায়ে</v>
      </c>
      <c r="G33" s="4" t="str">
        <f>IFERROR(__xludf.DUMMYFUNCTION("GOOGLETRANSLATE(P33, ""en"", ""bn"")"),"ফ্লিপ-ফ্লপ")</f>
        <v>ফ্লিপ-ফ্লপ</v>
      </c>
      <c r="H33" s="4" t="str">
        <f>IFERROR(__xludf.DUMMYFUNCTION("GOOGLETRANSLATE(Q33, ""en"", ""bn"")"),"ছবি1")</f>
        <v>ছবি1</v>
      </c>
      <c r="J33" s="5" t="str">
        <f>IFERROR(__xludf.DUMMYFUNCTION("GOOGLETRANSLATE(A33, ""bn"", ""en"")"),"32")</f>
        <v>32</v>
      </c>
      <c r="K33" s="16" t="s">
        <v>1347</v>
      </c>
      <c r="L33" s="16" t="s">
        <v>394</v>
      </c>
      <c r="M33" s="16" t="s">
        <v>396</v>
      </c>
      <c r="N33" s="16" t="s">
        <v>1348</v>
      </c>
      <c r="O33" s="16" t="s">
        <v>1349</v>
      </c>
      <c r="P33" s="16" t="s">
        <v>1348</v>
      </c>
      <c r="Q33" s="7" t="s">
        <v>21</v>
      </c>
    </row>
    <row r="34">
      <c r="A34" s="3">
        <v>33.0</v>
      </c>
      <c r="B34" s="4" t="str">
        <f>IFERROR(__xludf.DUMMYFUNCTION("GOOGLETRANSLATE(K34, ""en"", ""bn"")"),"হাত ধরে খেলোয়াড়রা কী গঠন করছে?")</f>
        <v>হাত ধরে খেলোয়াড়রা কী গঠন করছে?</v>
      </c>
      <c r="C34" s="4" t="str">
        <f>IFERROR(__xludf.DUMMYFUNCTION("GOOGLETRANSLATE(L34, ""en"", ""bn"")"),"একটি বৃত্ত")</f>
        <v>একটি বৃত্ত</v>
      </c>
      <c r="D34" s="4" t="str">
        <f>IFERROR(__xludf.DUMMYFUNCTION("GOOGLETRANSLATE(M34, ""en"", ""bn"")"),"একটি বর্গক্ষেত্র")</f>
        <v>একটি বর্গক্ষেত্র</v>
      </c>
      <c r="E34" s="4" t="str">
        <f>IFERROR(__xludf.DUMMYFUNCTION("GOOGLETRANSLATE(N34, ""en"", ""bn"")"),"একটি লাইন")</f>
        <v>একটি লাইন</v>
      </c>
      <c r="F34" s="4" t="str">
        <f>IFERROR(__xludf.DUMMYFUNCTION("GOOGLETRANSLATE(O34, ""en"", ""bn"")"),"একটি শৃঙ্খল")</f>
        <v>একটি শৃঙ্খল</v>
      </c>
      <c r="G34" s="4" t="str">
        <f>IFERROR(__xludf.DUMMYFUNCTION("GOOGLETRANSLATE(P34, ""en"", ""bn"")"),"একটি শৃঙ্খল")</f>
        <v>একটি শৃঙ্খল</v>
      </c>
      <c r="H34" s="4" t="str">
        <f>IFERROR(__xludf.DUMMYFUNCTION("GOOGLETRANSLATE(Q34, ""en"", ""bn"")"),"ছবি1")</f>
        <v>ছবি1</v>
      </c>
      <c r="J34" s="5" t="str">
        <f>IFERROR(__xludf.DUMMYFUNCTION("GOOGLETRANSLATE(A34, ""bn"", ""en"")"),"33")</f>
        <v>33</v>
      </c>
      <c r="K34" s="16" t="s">
        <v>1350</v>
      </c>
      <c r="L34" s="16" t="s">
        <v>1351</v>
      </c>
      <c r="M34" s="16" t="s">
        <v>1352</v>
      </c>
      <c r="N34" s="16" t="s">
        <v>1353</v>
      </c>
      <c r="O34" s="16" t="s">
        <v>1354</v>
      </c>
      <c r="P34" s="16" t="s">
        <v>1354</v>
      </c>
      <c r="Q34" s="7" t="s">
        <v>21</v>
      </c>
    </row>
    <row r="35">
      <c r="A35" s="3">
        <v>34.0</v>
      </c>
      <c r="B35" s="4" t="str">
        <f>IFERROR(__xludf.DUMMYFUNCTION("GOOGLETRANSLATE(K35, ""en"", ""bn"")"),"বৃত্তের দলের উদ্দেশ্য কী?")</f>
        <v>বৃত্তের দলের উদ্দেশ্য কী?</v>
      </c>
      <c r="C35" s="4" t="str">
        <f>IFERROR(__xludf.DUMMYFUNCTION("GOOGLETRANSLATE(L35, ""en"", ""bn"")"),"বৃত্তে থাকার জন্য")</f>
        <v>বৃত্তে থাকার জন্য</v>
      </c>
      <c r="D35" s="4" t="str">
        <f>IFERROR(__xludf.DUMMYFUNCTION("GOOGLETRANSLATE(M35, ""en"", ""bn"")"),"বৃত্ত থেকে পালাতে")</f>
        <v>বৃত্ত থেকে পালাতে</v>
      </c>
      <c r="E35" s="4" t="str">
        <f>IFERROR(__xludf.DUMMYFUNCTION("GOOGLETRANSLATE(N35, ""en"", ""bn"")"),"প্রতিপক্ষকে ট্যাগ করতে")</f>
        <v>প্রতিপক্ষকে ট্যাগ করতে</v>
      </c>
      <c r="F35" s="4" t="str">
        <f>IFERROR(__xludf.DUMMYFUNCTION("GOOGLETRANSLATE(O35, ""en"", ""bn"")"),"গান গাইতে।")</f>
        <v>গান গাইতে।</v>
      </c>
      <c r="G35" s="4" t="str">
        <f>IFERROR(__xludf.DUMMYFUNCTION("GOOGLETRANSLATE(P35, ""en"", ""bn"")"),"বৃত্ত থেকে পালাতে")</f>
        <v>বৃত্ত থেকে পালাতে</v>
      </c>
      <c r="H35" s="4" t="str">
        <f>IFERROR(__xludf.DUMMYFUNCTION("GOOGLETRANSLATE(Q35, ""en"", ""bn"")"),"ছবি1")</f>
        <v>ছবি1</v>
      </c>
      <c r="J35" s="5" t="str">
        <f>IFERROR(__xludf.DUMMYFUNCTION("GOOGLETRANSLATE(A35, ""bn"", ""en"")"),"34")</f>
        <v>34</v>
      </c>
      <c r="K35" s="16" t="s">
        <v>1355</v>
      </c>
      <c r="L35" s="16" t="s">
        <v>1356</v>
      </c>
      <c r="M35" s="16" t="s">
        <v>1357</v>
      </c>
      <c r="N35" s="16" t="s">
        <v>1358</v>
      </c>
      <c r="O35" s="16" t="s">
        <v>1359</v>
      </c>
      <c r="P35" s="16" t="s">
        <v>1357</v>
      </c>
      <c r="Q35" s="7" t="s">
        <v>21</v>
      </c>
    </row>
    <row r="36">
      <c r="A36" s="3">
        <v>35.0</v>
      </c>
      <c r="B36" s="4" t="str">
        <f>IFERROR(__xludf.DUMMYFUNCTION("GOOGLETRANSLATE(K36, ""en"", ""bn"")"),"যে পরিবেশে খেলা হচ্ছে সেখানে কেমন হয়?")</f>
        <v>যে পরিবেশে খেলা হচ্ছে সেখানে কেমন হয়?</v>
      </c>
      <c r="C36" s="4" t="str">
        <f>IFERROR(__xludf.DUMMYFUNCTION("GOOGLETRANSLATE(L36, ""en"", ""bn"")"),"একটা খেলার মাঠ")</f>
        <v>একটা খেলার মাঠ</v>
      </c>
      <c r="D36" s="4" t="str">
        <f>IFERROR(__xludf.DUMMYFUNCTION("GOOGLETRANSLATE(M36, ""en"", ""bn"")"),"একটি কংক্রিট পার্ক")</f>
        <v>একটি কংক্রিট পার্ক</v>
      </c>
      <c r="E36" s="4" t="str">
        <f>IFERROR(__xludf.DUMMYFUNCTION("GOOGLETRANSLATE(N36, ""en"", ""bn"")"),"একটি স্কুল মাঠ")</f>
        <v>একটি স্কুল মাঠ</v>
      </c>
      <c r="F36" s="4" t="str">
        <f>IFERROR(__xludf.DUMMYFUNCTION("GOOGLETRANSLATE(O36, ""en"", ""bn"")"),"একটি ইনডোর জিমনেসিয়াম")</f>
        <v>একটি ইনডোর জিমনেসিয়াম</v>
      </c>
      <c r="G36" s="4" t="str">
        <f>IFERROR(__xludf.DUMMYFUNCTION("GOOGLETRANSLATE(P36, ""en"", ""bn"")"),"একটি স্কুল মাঠ")</f>
        <v>একটি স্কুল মাঠ</v>
      </c>
      <c r="H36" s="4" t="str">
        <f>IFERROR(__xludf.DUMMYFUNCTION("GOOGLETRANSLATE(Q36, ""en"", ""bn"")"),"ছবি1")</f>
        <v>ছবি1</v>
      </c>
      <c r="J36" s="5" t="str">
        <f>IFERROR(__xludf.DUMMYFUNCTION("GOOGLETRANSLATE(A36, ""bn"", ""en"")"),"35")</f>
        <v>35</v>
      </c>
      <c r="K36" s="16" t="s">
        <v>1360</v>
      </c>
      <c r="L36" s="16" t="s">
        <v>1361</v>
      </c>
      <c r="M36" s="16" t="s">
        <v>1362</v>
      </c>
      <c r="N36" s="16" t="s">
        <v>1363</v>
      </c>
      <c r="O36" s="16" t="s">
        <v>767</v>
      </c>
      <c r="P36" s="16" t="s">
        <v>1363</v>
      </c>
      <c r="Q36" s="7" t="s">
        <v>21</v>
      </c>
    </row>
    <row r="37">
      <c r="A37" s="3">
        <v>36.0</v>
      </c>
      <c r="B37" s="4" t="str">
        <f>IFERROR(__xludf.DUMMYFUNCTION("GOOGLETRANSLATE(K37, ""en"", ""bn"")"),"খেলার মূল অ্যাকশনে কতজন খেলোয়াড়কে দেখা যাবে?")</f>
        <v>খেলার মূল অ্যাকশনে কতজন খেলোয়াড়কে দেখা যাবে?</v>
      </c>
      <c r="C37" s="4" t="str">
        <f>IFERROR(__xludf.DUMMYFUNCTION("GOOGLETRANSLATE(L37, ""en"", ""bn"")"),"৫")</f>
        <v>৫</v>
      </c>
      <c r="D37" s="4" t="str">
        <f>IFERROR(__xludf.DUMMYFUNCTION("GOOGLETRANSLATE(M37, ""en"", ""bn"")"),"6")</f>
        <v>6</v>
      </c>
      <c r="E37" s="4" t="str">
        <f>IFERROR(__xludf.DUMMYFUNCTION("GOOGLETRANSLATE(N37, ""en"", ""bn"")"),"৭")</f>
        <v>৭</v>
      </c>
      <c r="F37" s="4" t="str">
        <f>IFERROR(__xludf.DUMMYFUNCTION("GOOGLETRANSLATE(O37, ""en"", ""bn"")"),"8")</f>
        <v>8</v>
      </c>
      <c r="G37" s="4" t="str">
        <f>IFERROR(__xludf.DUMMYFUNCTION("GOOGLETRANSLATE(P37, ""en"", ""bn"")"),"6")</f>
        <v>6</v>
      </c>
      <c r="H37" s="4" t="str">
        <f>IFERROR(__xludf.DUMMYFUNCTION("GOOGLETRANSLATE(Q37, ""en"", ""bn"")"),"ছবি1")</f>
        <v>ছবি1</v>
      </c>
      <c r="J37" s="5" t="str">
        <f>IFERROR(__xludf.DUMMYFUNCTION("GOOGLETRANSLATE(A37, ""bn"", ""en"")"),"36")</f>
        <v>36</v>
      </c>
      <c r="K37" s="16" t="s">
        <v>1364</v>
      </c>
      <c r="L37" s="16">
        <v>5.0</v>
      </c>
      <c r="M37" s="16">
        <v>6.0</v>
      </c>
      <c r="N37" s="16">
        <v>7.0</v>
      </c>
      <c r="O37" s="16">
        <v>8.0</v>
      </c>
      <c r="P37" s="16">
        <v>6.0</v>
      </c>
      <c r="Q37" s="7" t="s">
        <v>21</v>
      </c>
    </row>
    <row r="38">
      <c r="A38" s="3">
        <v>37.0</v>
      </c>
      <c r="B38" s="4" t="str">
        <f>IFERROR(__xludf.DUMMYFUNCTION("GOOGLETRANSLATE(K38, ""en"", ""bn"")"),"ছবিতে খেলোয়াড়দের আবেগ কেমন?")</f>
        <v>ছবিতে খেলোয়াড়দের আবেগ কেমন?</v>
      </c>
      <c r="C38" s="4" t="str">
        <f>IFERROR(__xludf.DUMMYFUNCTION("GOOGLETRANSLATE(L38, ""en"", ""bn"")"),"দুঃখ")</f>
        <v>দুঃখ</v>
      </c>
      <c r="D38" s="4" t="str">
        <f>IFERROR(__xludf.DUMMYFUNCTION("GOOGLETRANSLATE(M38, ""en"", ""bn"")"),"রাগ")</f>
        <v>রাগ</v>
      </c>
      <c r="E38" s="4" t="str">
        <f>IFERROR(__xludf.DUMMYFUNCTION("GOOGLETRANSLATE(N38, ""en"", ""bn"")"),"সুখ")</f>
        <v>সুখ</v>
      </c>
      <c r="F38" s="4" t="str">
        <f>IFERROR(__xludf.DUMMYFUNCTION("GOOGLETRANSLATE(O38, ""en"", ""bn"")"),"একঘেয়েমি")</f>
        <v>একঘেয়েমি</v>
      </c>
      <c r="G38" s="4" t="str">
        <f>IFERROR(__xludf.DUMMYFUNCTION("GOOGLETRANSLATE(P38, ""en"", ""bn"")"),"সুখ")</f>
        <v>সুখ</v>
      </c>
      <c r="H38" s="4" t="str">
        <f>IFERROR(__xludf.DUMMYFUNCTION("GOOGLETRANSLATE(Q38, ""en"", ""bn"")"),"ছবি1")</f>
        <v>ছবি1</v>
      </c>
      <c r="J38" s="5" t="str">
        <f>IFERROR(__xludf.DUMMYFUNCTION("GOOGLETRANSLATE(A38, ""bn"", ""en"")"),"37")</f>
        <v>37</v>
      </c>
      <c r="K38" s="16" t="s">
        <v>1365</v>
      </c>
      <c r="L38" s="16" t="s">
        <v>1366</v>
      </c>
      <c r="M38" s="16" t="s">
        <v>893</v>
      </c>
      <c r="N38" s="16" t="s">
        <v>1367</v>
      </c>
      <c r="O38" s="16" t="s">
        <v>890</v>
      </c>
      <c r="P38" s="16" t="s">
        <v>1367</v>
      </c>
      <c r="Q38" s="7" t="s">
        <v>21</v>
      </c>
    </row>
    <row r="39">
      <c r="A39" s="3">
        <v>38.0</v>
      </c>
      <c r="B39" s="4" t="str">
        <f>IFERROR(__xludf.DUMMYFUNCTION("GOOGLETRANSLATE(K39, ""en"", ""bn"")"),"খেলোয়াড়দের পোশাকে কোন রঙগুলি সবচেয়ে বেশি প্রাধান্য পায়?")</f>
        <v>খেলোয়াড়দের পোশাকে কোন রঙগুলি সবচেয়ে বেশি প্রাধান্য পায়?</v>
      </c>
      <c r="C39" s="4" t="str">
        <f>IFERROR(__xludf.DUMMYFUNCTION("GOOGLETRANSLATE(L39, ""en"", ""bn"")"),"লাল এবং সাদা")</f>
        <v>লাল এবং সাদা</v>
      </c>
      <c r="D39" s="4" t="str">
        <f>IFERROR(__xludf.DUMMYFUNCTION("GOOGLETRANSLATE(M39, ""en"", ""bn"")"),"নীল এবং সাদা")</f>
        <v>নীল এবং সাদা</v>
      </c>
      <c r="E39" s="4" t="str">
        <f>IFERROR(__xludf.DUMMYFUNCTION("GOOGLETRANSLATE(N39, ""en"", ""bn"")"),"হলুদ এবং সবুজ")</f>
        <v>হলুদ এবং সবুজ</v>
      </c>
      <c r="F39" s="4" t="str">
        <f>IFERROR(__xludf.DUMMYFUNCTION("GOOGLETRANSLATE(O39, ""en"", ""bn"")"),"কালো এবং ধূসর")</f>
        <v>কালো এবং ধূসর</v>
      </c>
      <c r="G39" s="4" t="str">
        <f>IFERROR(__xludf.DUMMYFUNCTION("GOOGLETRANSLATE(P39, ""en"", ""bn"")"),"নীল এবং সাদা")</f>
        <v>নীল এবং সাদা</v>
      </c>
      <c r="H39" s="4" t="str">
        <f>IFERROR(__xludf.DUMMYFUNCTION("GOOGLETRANSLATE(Q39, ""en"", ""bn"")"),"ছবি1")</f>
        <v>ছবি1</v>
      </c>
      <c r="J39" s="5" t="str">
        <f>IFERROR(__xludf.DUMMYFUNCTION("GOOGLETRANSLATE(A39, ""bn"", ""en"")"),"38")</f>
        <v>38</v>
      </c>
      <c r="K39" s="16" t="s">
        <v>1368</v>
      </c>
      <c r="L39" s="16" t="s">
        <v>1369</v>
      </c>
      <c r="M39" s="16" t="s">
        <v>336</v>
      </c>
      <c r="N39" s="16" t="s">
        <v>1370</v>
      </c>
      <c r="O39" s="16" t="s">
        <v>1371</v>
      </c>
      <c r="P39" s="16" t="s">
        <v>336</v>
      </c>
      <c r="Q39" s="7" t="s">
        <v>21</v>
      </c>
      <c r="R39" s="22"/>
    </row>
    <row r="40">
      <c r="A40" s="3">
        <v>39.0</v>
      </c>
      <c r="B40" s="4" t="str">
        <f>IFERROR(__xludf.DUMMYFUNCTION("GOOGLETRANSLATE(K40, ""en"", ""bn"")"),"বাচ্চাদের খেলার বয়স কত?")</f>
        <v>বাচ্চাদের খেলার বয়স কত?</v>
      </c>
      <c r="C40" s="4" t="str">
        <f>IFERROR(__xludf.DUMMYFUNCTION("GOOGLETRANSLATE(L40, ""en"", ""bn"")"),"ছোট বাচ্চারা")</f>
        <v>ছোট বাচ্চারা</v>
      </c>
      <c r="D40" s="4" t="str">
        <f>IFERROR(__xludf.DUMMYFUNCTION("GOOGLETRANSLATE(M40, ""en"", ""bn"")"),"প্রাথমিক স্কুল-বয়সী")</f>
        <v>প্রাথমিক স্কুল-বয়সী</v>
      </c>
      <c r="E40" s="4" t="str">
        <f>IFERROR(__xludf.DUMMYFUNCTION("GOOGLETRANSLATE(N40, ""en"", ""bn"")"),"কিশোর")</f>
        <v>কিশোর</v>
      </c>
      <c r="F40" s="4" t="str">
        <f>IFERROR(__xludf.DUMMYFUNCTION("GOOGLETRANSLATE(O40, ""en"", ""bn"")"),"তরুণ প্রাপ্তবয়স্কদের")</f>
        <v>তরুণ প্রাপ্তবয়স্কদের</v>
      </c>
      <c r="G40" s="4" t="str">
        <f>IFERROR(__xludf.DUMMYFUNCTION("GOOGLETRANSLATE(P40, ""en"", ""bn"")"),"প্রাথমিক স্কুল-বয়সী")</f>
        <v>প্রাথমিক স্কুল-বয়সী</v>
      </c>
      <c r="H40" s="4" t="str">
        <f>IFERROR(__xludf.DUMMYFUNCTION("GOOGLETRANSLATE(Q40, ""en"", ""bn"")"),"ছবি1")</f>
        <v>ছবি1</v>
      </c>
      <c r="J40" s="5" t="str">
        <f>IFERROR(__xludf.DUMMYFUNCTION("GOOGLETRANSLATE(A40, ""bn"", ""en"")"),"39")</f>
        <v>39</v>
      </c>
      <c r="K40" s="16" t="s">
        <v>1372</v>
      </c>
      <c r="L40" s="16" t="s">
        <v>1373</v>
      </c>
      <c r="M40" s="16" t="s">
        <v>1374</v>
      </c>
      <c r="N40" s="16" t="s">
        <v>771</v>
      </c>
      <c r="O40" s="16" t="s">
        <v>772</v>
      </c>
      <c r="P40" s="16" t="s">
        <v>1374</v>
      </c>
      <c r="Q40" s="7" t="s">
        <v>21</v>
      </c>
    </row>
    <row r="41">
      <c r="A41" s="3">
        <v>40.0</v>
      </c>
      <c r="B41" s="4" t="str">
        <f>IFERROR(__xludf.DUMMYFUNCTION("GOOGLETRANSLATE(K41, ""en"", ""bn"")"),"দিনের কোন সময় খেলা হচ্ছে?")</f>
        <v>দিনের কোন সময় খেলা হচ্ছে?</v>
      </c>
      <c r="C41" s="4" t="str">
        <f>IFERROR(__xludf.DUMMYFUNCTION("GOOGLETRANSLATE(L41, ""en"", ""bn"")"),"রাত্রি")</f>
        <v>রাত্রি</v>
      </c>
      <c r="D41" s="4" t="str">
        <f>IFERROR(__xludf.DUMMYFUNCTION("GOOGLETRANSLATE(M41, ""en"", ""bn"")"),"সন্ধ্যা")</f>
        <v>সন্ধ্যা</v>
      </c>
      <c r="E41" s="4" t="str">
        <f>IFERROR(__xludf.DUMMYFUNCTION("GOOGLETRANSLATE(N41, ""en"", ""bn"")"),"মিড-ডে")</f>
        <v>মিড-ডে</v>
      </c>
      <c r="F41" s="4" t="str">
        <f>IFERROR(__xludf.DUMMYFUNCTION("GOOGLETRANSLATE(O41, ""en"", ""bn"")"),"ভোরবেলা")</f>
        <v>ভোরবেলা</v>
      </c>
      <c r="G41" s="4" t="str">
        <f>IFERROR(__xludf.DUMMYFUNCTION("GOOGLETRANSLATE(P41, ""en"", ""bn"")"),"মিড-ডে")</f>
        <v>মিড-ডে</v>
      </c>
      <c r="H41" s="4" t="str">
        <f>IFERROR(__xludf.DUMMYFUNCTION("GOOGLETRANSLATE(Q41, ""en"", ""bn"")"),"ছবি1")</f>
        <v>ছবি1</v>
      </c>
      <c r="J41" s="5" t="str">
        <f>IFERROR(__xludf.DUMMYFUNCTION("GOOGLETRANSLATE(A41, ""bn"", ""en"")"),"40")</f>
        <v>40</v>
      </c>
      <c r="K41" s="16" t="s">
        <v>1375</v>
      </c>
      <c r="L41" s="16" t="s">
        <v>1376</v>
      </c>
      <c r="M41" s="16" t="s">
        <v>1377</v>
      </c>
      <c r="N41" s="16" t="s">
        <v>1378</v>
      </c>
      <c r="O41" s="16" t="s">
        <v>813</v>
      </c>
      <c r="P41" s="16" t="s">
        <v>1378</v>
      </c>
      <c r="Q41" s="7" t="s">
        <v>21</v>
      </c>
    </row>
    <row r="42">
      <c r="A42" s="3">
        <v>41.0</v>
      </c>
      <c r="B42" s="4" t="str">
        <f>IFERROR(__xludf.DUMMYFUNCTION("GOOGLETRANSLATE(K42, ""en"", ""bn"")"),"কেন্দ্রে ছেলেদের মূল কাজ কী?")</f>
        <v>কেন্দ্রে ছেলেদের মূল কাজ কী?</v>
      </c>
      <c r="C42" s="4" t="str">
        <f>IFERROR(__xludf.DUMMYFUNCTION("GOOGLETRANSLATE(L42, ""en"", ""bn"")"),"এক লাইনে চলছে")</f>
        <v>এক লাইনে চলছে</v>
      </c>
      <c r="D42" s="4" t="str">
        <f>IFERROR(__xludf.DUMMYFUNCTION("GOOGLETRANSLATE(M42, ""en"", ""bn"")"),"একটি বল কিকিং")</f>
        <v>একটি বল কিকিং</v>
      </c>
      <c r="E42" s="4" t="str">
        <f>IFERROR(__xludf.DUMMYFUNCTION("GOOGLETRANSLATE(N42, ""en"", ""bn"")"),"মাছ ধরা")</f>
        <v>মাছ ধরা</v>
      </c>
      <c r="F42" s="4" t="str">
        <f>IFERROR(__xludf.DUMMYFUNCTION("GOOGLETRANSLATE(O42, ""en"", ""bn"")"),"একটা গান গাইছে")</f>
        <v>একটা গান গাইছে</v>
      </c>
      <c r="G42" s="4" t="str">
        <f>IFERROR(__xludf.DUMMYFUNCTION("GOOGLETRANSLATE(P42, ""en"", ""bn"")"),"এক লাইনে চলছে")</f>
        <v>এক লাইনে চলছে</v>
      </c>
      <c r="H42" s="4" t="str">
        <f>IFERROR(__xludf.DUMMYFUNCTION("GOOGLETRANSLATE(Q42, ""en"", ""bn"")"),"ছবি2")</f>
        <v>ছবি2</v>
      </c>
      <c r="J42" s="5" t="str">
        <f>IFERROR(__xludf.DUMMYFUNCTION("GOOGLETRANSLATE(A42, ""bn"", ""en"")"),"41")</f>
        <v>41</v>
      </c>
      <c r="K42" s="16" t="s">
        <v>1379</v>
      </c>
      <c r="L42" s="16" t="s">
        <v>1380</v>
      </c>
      <c r="M42" s="16" t="s">
        <v>1381</v>
      </c>
      <c r="N42" s="16" t="s">
        <v>1382</v>
      </c>
      <c r="O42" s="16" t="s">
        <v>1383</v>
      </c>
      <c r="P42" s="16" t="s">
        <v>1380</v>
      </c>
      <c r="Q42" s="7" t="s">
        <v>32</v>
      </c>
    </row>
    <row r="43">
      <c r="A43" s="3">
        <v>42.0</v>
      </c>
      <c r="B43" s="4" t="str">
        <f>IFERROR(__xludf.DUMMYFUNCTION("GOOGLETRANSLATE(K43, ""en"", ""bn"")"),"ছেলেরা যেখানে খেলছে সেই মাটির গঠন কেমন?")</f>
        <v>ছেলেরা যেখানে খেলছে সেই মাটির গঠন কেমন?</v>
      </c>
      <c r="C43" s="4" t="str">
        <f>IFERROR(__xludf.DUMMYFUNCTION("GOOGLETRANSLATE(L43, ""en"", ""bn"")"),"ঘাসযুক্ত")</f>
        <v>ঘাসযুক্ত</v>
      </c>
      <c r="D43" s="4" t="str">
        <f>IFERROR(__xludf.DUMMYFUNCTION("GOOGLETRANSLATE(M43, ""en"", ""bn"")"),"বালুকাময়")</f>
        <v>বালুকাময়</v>
      </c>
      <c r="E43" s="4" t="str">
        <f>IFERROR(__xludf.DUMMYFUNCTION("GOOGLETRANSLATE(N43, ""en"", ""bn"")"),"কর্দমাক্ত")</f>
        <v>কর্দমাক্ত</v>
      </c>
      <c r="F43" s="4" t="str">
        <f>IFERROR(__xludf.DUMMYFUNCTION("GOOGLETRANSLATE(O43, ""en"", ""bn"")"),"খালি ময়লা")</f>
        <v>খালি ময়লা</v>
      </c>
      <c r="G43" s="4" t="str">
        <f>IFERROR(__xludf.DUMMYFUNCTION("GOOGLETRANSLATE(P43, ""en"", ""bn"")"),"খালি ময়লা")</f>
        <v>খালি ময়লা</v>
      </c>
      <c r="H43" s="4" t="str">
        <f>IFERROR(__xludf.DUMMYFUNCTION("GOOGLETRANSLATE(Q43, ""en"", ""bn"")"),"ছবি2")</f>
        <v>ছবি2</v>
      </c>
      <c r="J43" s="5" t="str">
        <f>IFERROR(__xludf.DUMMYFUNCTION("GOOGLETRANSLATE(A43, ""bn"", ""en"")"),"42")</f>
        <v>42</v>
      </c>
      <c r="K43" s="16" t="s">
        <v>1384</v>
      </c>
      <c r="L43" s="16" t="s">
        <v>447</v>
      </c>
      <c r="M43" s="16" t="s">
        <v>1385</v>
      </c>
      <c r="N43" s="16" t="s">
        <v>1386</v>
      </c>
      <c r="O43" s="16" t="s">
        <v>1387</v>
      </c>
      <c r="P43" s="16" t="s">
        <v>1387</v>
      </c>
      <c r="Q43" s="7" t="s">
        <v>32</v>
      </c>
    </row>
    <row r="44">
      <c r="A44" s="3">
        <v>43.0</v>
      </c>
      <c r="B44" s="4" t="str">
        <f>IFERROR(__xludf.DUMMYFUNCTION("GOOGLETRANSLATE(K44, ""en"", ""bn"")"),"ছেলেরা কি পায়ে পরে?")</f>
        <v>ছেলেরা কি পায়ে পরে?</v>
      </c>
      <c r="C44" s="4" t="str">
        <f>IFERROR(__xludf.DUMMYFUNCTION("GOOGLETRANSLATE(L44, ""en"", ""bn"")"),"স্নিকার্স")</f>
        <v>স্নিকার্স</v>
      </c>
      <c r="D44" s="4" t="str">
        <f>IFERROR(__xludf.DUMMYFUNCTION("GOOGLETRANSLATE(M44, ""en"", ""bn"")"),"ফ্লিপ-ফ্লপ")</f>
        <v>ফ্লিপ-ফ্লপ</v>
      </c>
      <c r="E44" s="4" t="str">
        <f>IFERROR(__xludf.DUMMYFUNCTION("GOOGLETRANSLATE(N44, ""en"", ""bn"")"),"স্যান্ডেল")</f>
        <v>স্যান্ডেল</v>
      </c>
      <c r="F44" s="4" t="str">
        <f>IFERROR(__xludf.DUMMYFUNCTION("GOOGLETRANSLATE(O44, ""en"", ""bn"")"),"খালি পায়ে")</f>
        <v>খালি পায়ে</v>
      </c>
      <c r="G44" s="4" t="str">
        <f>IFERROR(__xludf.DUMMYFUNCTION("GOOGLETRANSLATE(P44, ""en"", ""bn"")"),"খালি পায়ে")</f>
        <v>খালি পায়ে</v>
      </c>
      <c r="H44" s="4" t="str">
        <f>IFERROR(__xludf.DUMMYFUNCTION("GOOGLETRANSLATE(Q44, ""en"", ""bn"")"),"ছবি2")</f>
        <v>ছবি2</v>
      </c>
      <c r="J44" s="5" t="str">
        <f>IFERROR(__xludf.DUMMYFUNCTION("GOOGLETRANSLATE(A44, ""bn"", ""en"")"),"43")</f>
        <v>43</v>
      </c>
      <c r="K44" s="16" t="s">
        <v>1388</v>
      </c>
      <c r="L44" s="16" t="s">
        <v>394</v>
      </c>
      <c r="M44" s="16" t="s">
        <v>1348</v>
      </c>
      <c r="N44" s="16" t="s">
        <v>395</v>
      </c>
      <c r="O44" s="16" t="s">
        <v>1349</v>
      </c>
      <c r="P44" s="16" t="s">
        <v>1349</v>
      </c>
      <c r="Q44" s="7" t="s">
        <v>32</v>
      </c>
    </row>
    <row r="45">
      <c r="A45" s="3">
        <v>44.0</v>
      </c>
      <c r="B45" s="4" t="str">
        <f>IFERROR(__xludf.DUMMYFUNCTION("GOOGLETRANSLATE(K45, ""en"", ""bn"")"),"ছবিতে আবহাওয়া কেমন?")</f>
        <v>ছবিতে আবহাওয়া কেমন?</v>
      </c>
      <c r="C45" s="4" t="str">
        <f>IFERROR(__xludf.DUMMYFUNCTION("GOOGLETRANSLATE(L45, ""en"", ""bn"")"),"বৃষ্টি হচ্ছে")</f>
        <v>বৃষ্টি হচ্ছে</v>
      </c>
      <c r="D45" s="4" t="str">
        <f>IFERROR(__xludf.DUMMYFUNCTION("GOOGLETRANSLATE(M45, ""en"", ""bn"")"),"তুষারময়")</f>
        <v>তুষারময়</v>
      </c>
      <c r="E45" s="4" t="str">
        <f>IFERROR(__xludf.DUMMYFUNCTION("GOOGLETRANSLATE(N45, ""en"", ""bn"")"),"সানি")</f>
        <v>সানি</v>
      </c>
      <c r="F45" s="4" t="str">
        <f>IFERROR(__xludf.DUMMYFUNCTION("GOOGLETRANSLATE(O45, ""en"", ""bn"")"),"কুয়াশাচ্ছন্ন")</f>
        <v>কুয়াশাচ্ছন্ন</v>
      </c>
      <c r="G45" s="4" t="str">
        <f>IFERROR(__xludf.DUMMYFUNCTION("GOOGLETRANSLATE(P45, ""en"", ""bn"")"),"সানি")</f>
        <v>সানি</v>
      </c>
      <c r="H45" s="4" t="str">
        <f>IFERROR(__xludf.DUMMYFUNCTION("GOOGLETRANSLATE(Q45, ""en"", ""bn"")"),"ছবি2")</f>
        <v>ছবি2</v>
      </c>
      <c r="J45" s="5" t="str">
        <f>IFERROR(__xludf.DUMMYFUNCTION("GOOGLETRANSLATE(A45, ""bn"", ""en"")"),"44")</f>
        <v>44</v>
      </c>
      <c r="K45" s="16" t="s">
        <v>1342</v>
      </c>
      <c r="L45" s="16" t="s">
        <v>1343</v>
      </c>
      <c r="M45" s="16" t="s">
        <v>1344</v>
      </c>
      <c r="N45" s="16" t="s">
        <v>1345</v>
      </c>
      <c r="O45" s="16" t="s">
        <v>1389</v>
      </c>
      <c r="P45" s="16" t="s">
        <v>1345</v>
      </c>
      <c r="Q45" s="7" t="s">
        <v>32</v>
      </c>
    </row>
    <row r="46">
      <c r="A46" s="3">
        <v>45.0</v>
      </c>
      <c r="B46" s="4" t="str">
        <f>IFERROR(__xludf.DUMMYFUNCTION("GOOGLETRANSLATE(K46, ""en"", ""bn"")"),"""চেইন""-এ কতজন ছেলে সক্রিয়ভাবে অংশগ্রহণ করছে?")</f>
        <v>"চেইন"-এ কতজন ছেলে সক্রিয়ভাবে অংশগ্রহণ করছে?</v>
      </c>
      <c r="C46" s="4" t="str">
        <f>IFERROR(__xludf.DUMMYFUNCTION("GOOGLETRANSLATE(L46, ""en"", ""bn"")"),"৪")</f>
        <v>৪</v>
      </c>
      <c r="D46" s="4" t="str">
        <f>IFERROR(__xludf.DUMMYFUNCTION("GOOGLETRANSLATE(M46, ""en"", ""bn"")"),"৫")</f>
        <v>৫</v>
      </c>
      <c r="E46" s="4" t="str">
        <f>IFERROR(__xludf.DUMMYFUNCTION("GOOGLETRANSLATE(N46, ""en"", ""bn"")"),"6")</f>
        <v>6</v>
      </c>
      <c r="F46" s="4" t="str">
        <f>IFERROR(__xludf.DUMMYFUNCTION("GOOGLETRANSLATE(O46, ""en"", ""bn"")"),"৭")</f>
        <v>৭</v>
      </c>
      <c r="G46" s="4" t="str">
        <f>IFERROR(__xludf.DUMMYFUNCTION("GOOGLETRANSLATE(P46, ""en"", ""bn"")"),"৫")</f>
        <v>৫</v>
      </c>
      <c r="H46" s="4" t="str">
        <f>IFERROR(__xludf.DUMMYFUNCTION("GOOGLETRANSLATE(Q46, ""en"", ""bn"")"),"ছবি2")</f>
        <v>ছবি2</v>
      </c>
      <c r="J46" s="5" t="str">
        <f>IFERROR(__xludf.DUMMYFUNCTION("GOOGLETRANSLATE(A46, ""bn"", ""en"")"),"45")</f>
        <v>45</v>
      </c>
      <c r="K46" s="16" t="s">
        <v>1390</v>
      </c>
      <c r="L46" s="16">
        <v>4.0</v>
      </c>
      <c r="M46" s="16">
        <v>5.0</v>
      </c>
      <c r="N46" s="16">
        <v>6.0</v>
      </c>
      <c r="O46" s="16">
        <v>7.0</v>
      </c>
      <c r="P46" s="16">
        <v>5.0</v>
      </c>
      <c r="Q46" s="7" t="s">
        <v>32</v>
      </c>
    </row>
    <row r="47">
      <c r="A47" s="3">
        <v>46.0</v>
      </c>
      <c r="B47" s="4" t="str">
        <f>IFERROR(__xludf.DUMMYFUNCTION("GOOGLETRANSLATE(K47, ""en"", ""bn"")"),"খেলার পরিবেশ কী?")</f>
        <v>খেলার পরিবেশ কী?</v>
      </c>
      <c r="C47" s="4" t="str">
        <f>IFERROR(__xludf.DUMMYFUNCTION("GOOGLETRANSLATE(L47, ""en"", ""bn"")"),"একটি শহুরে পার্ক")</f>
        <v>একটি শহুরে পার্ক</v>
      </c>
      <c r="D47" s="4" t="str">
        <f>IFERROR(__xludf.DUMMYFUNCTION("GOOGLETRANSLATE(M47, ""en"", ""bn"")"),"একটি গ্রাম্য গ্রাম")</f>
        <v>একটি গ্রাম্য গ্রাম</v>
      </c>
      <c r="E47" s="4" t="str">
        <f>IFERROR(__xludf.DUMMYFUNCTION("GOOGLETRANSLATE(N47, ""en"", ""bn"")"),"স্কুলের খেলার মাঠ")</f>
        <v>স্কুলের খেলার মাঠ</v>
      </c>
      <c r="F47" s="4" t="str">
        <f>IFERROR(__xludf.DUMMYFUNCTION("GOOGLETRANSLATE(O47, ""en"", ""bn"")"),"একটি সৈকত")</f>
        <v>একটি সৈকত</v>
      </c>
      <c r="G47" s="4" t="str">
        <f>IFERROR(__xludf.DUMMYFUNCTION("GOOGLETRANSLATE(P47, ""en"", ""bn"")"),"একটি গ্রাম্য গ্রাম")</f>
        <v>একটি গ্রাম্য গ্রাম</v>
      </c>
      <c r="H47" s="4" t="str">
        <f>IFERROR(__xludf.DUMMYFUNCTION("GOOGLETRANSLATE(Q47, ""en"", ""bn"")"),"ছবি2")</f>
        <v>ছবি2</v>
      </c>
      <c r="J47" s="5" t="str">
        <f>IFERROR(__xludf.DUMMYFUNCTION("GOOGLETRANSLATE(A47, ""bn"", ""en"")"),"46")</f>
        <v>46</v>
      </c>
      <c r="K47" s="16" t="s">
        <v>1391</v>
      </c>
      <c r="L47" s="16" t="s">
        <v>1392</v>
      </c>
      <c r="M47" s="16" t="s">
        <v>1393</v>
      </c>
      <c r="N47" s="16" t="s">
        <v>1394</v>
      </c>
      <c r="O47" s="16" t="s">
        <v>1395</v>
      </c>
      <c r="P47" s="16" t="s">
        <v>1393</v>
      </c>
      <c r="Q47" s="7" t="s">
        <v>32</v>
      </c>
    </row>
    <row r="48">
      <c r="A48" s="3">
        <v>47.0</v>
      </c>
      <c r="B48" s="4" t="str">
        <f>IFERROR(__xludf.DUMMYFUNCTION("GOOGLETRANSLATE(K48, ""en"", ""bn"")"),"নীল শার্টে ছেলেটির অভিব্যক্তি কী?")</f>
        <v>নীল শার্টে ছেলেটির অভিব্যক্তি কী?</v>
      </c>
      <c r="C48" s="4" t="str">
        <f>IFERROR(__xludf.DUMMYFUNCTION("GOOGLETRANSLATE(L48, ""en"", ""bn"")"),"দুঃখজনক")</f>
        <v>দুঃখজনক</v>
      </c>
      <c r="D48" s="4" t="str">
        <f>IFERROR(__xludf.DUMMYFUNCTION("GOOGLETRANSLATE(M48, ""en"", ""bn"")"),"বিভ্রান্ত")</f>
        <v>বিভ্রান্ত</v>
      </c>
      <c r="E48" s="4" t="str">
        <f>IFERROR(__xludf.DUMMYFUNCTION("GOOGLETRANSLATE(N48, ""en"", ""bn"")"),"মনোযোগী")</f>
        <v>মনোযোগী</v>
      </c>
      <c r="F48" s="4" t="str">
        <f>IFERROR(__xludf.DUMMYFUNCTION("GOOGLETRANSLATE(O48, ""en"", ""bn"")"),"রাগ")</f>
        <v>রাগ</v>
      </c>
      <c r="G48" s="4" t="str">
        <f>IFERROR(__xludf.DUMMYFUNCTION("GOOGLETRANSLATE(P48, ""en"", ""bn"")"),"মনোযোগী")</f>
        <v>মনোযোগী</v>
      </c>
      <c r="H48" s="4" t="str">
        <f>IFERROR(__xludf.DUMMYFUNCTION("GOOGLETRANSLATE(Q48, ""en"", ""bn"")"),"ছবি2")</f>
        <v>ছবি2</v>
      </c>
      <c r="J48" s="5" t="str">
        <f>IFERROR(__xludf.DUMMYFUNCTION("GOOGLETRANSLATE(A48, ""bn"", ""en"")"),"47")</f>
        <v>47</v>
      </c>
      <c r="K48" s="16" t="s">
        <v>1396</v>
      </c>
      <c r="L48" s="16" t="s">
        <v>1397</v>
      </c>
      <c r="M48" s="16" t="s">
        <v>746</v>
      </c>
      <c r="N48" s="16" t="s">
        <v>1398</v>
      </c>
      <c r="O48" s="16" t="s">
        <v>1399</v>
      </c>
      <c r="P48" s="16" t="s">
        <v>1398</v>
      </c>
      <c r="Q48" s="7" t="s">
        <v>32</v>
      </c>
    </row>
    <row r="49">
      <c r="A49" s="3">
        <v>48.0</v>
      </c>
      <c r="B49" s="4" t="str">
        <f>IFERROR(__xludf.DUMMYFUNCTION("GOOGLETRANSLATE(K49, ""en"", ""bn"")"),"লাইনের সামনের ছেলেটির শার্টের প্রাথমিক রঙ কী?")</f>
        <v>লাইনের সামনের ছেলেটির শার্টের প্রাথমিক রঙ কী?</v>
      </c>
      <c r="C49" s="4" t="str">
        <f>IFERROR(__xludf.DUMMYFUNCTION("GOOGLETRANSLATE(L49, ""en"", ""bn"")"),"লাল")</f>
        <v>লাল</v>
      </c>
      <c r="D49" s="4" t="str">
        <f>IFERROR(__xludf.DUMMYFUNCTION("GOOGLETRANSLATE(M49, ""en"", ""bn"")"),"নীল")</f>
        <v>নীল</v>
      </c>
      <c r="E49" s="4" t="str">
        <f>IFERROR(__xludf.DUMMYFUNCTION("GOOGLETRANSLATE(N49, ""en"", ""bn"")"),"সবুজ")</f>
        <v>সবুজ</v>
      </c>
      <c r="F49" s="4" t="str">
        <f>IFERROR(__xludf.DUMMYFUNCTION("GOOGLETRANSLATE(O49, ""en"", ""bn"")"),"হলুদ")</f>
        <v>হলুদ</v>
      </c>
      <c r="G49" s="4" t="str">
        <f>IFERROR(__xludf.DUMMYFUNCTION("GOOGLETRANSLATE(P49, ""en"", ""bn"")"),"লাল")</f>
        <v>লাল</v>
      </c>
      <c r="H49" s="4" t="str">
        <f>IFERROR(__xludf.DUMMYFUNCTION("GOOGLETRANSLATE(Q49, ""en"", ""bn"")"),"ছবি2")</f>
        <v>ছবি2</v>
      </c>
      <c r="J49" s="5" t="str">
        <f>IFERROR(__xludf.DUMMYFUNCTION("GOOGLETRANSLATE(A49, ""bn"", ""en"")"),"48")</f>
        <v>48</v>
      </c>
      <c r="K49" s="16" t="s">
        <v>1400</v>
      </c>
      <c r="L49" s="16" t="s">
        <v>275</v>
      </c>
      <c r="M49" s="16" t="s">
        <v>274</v>
      </c>
      <c r="N49" s="16" t="s">
        <v>272</v>
      </c>
      <c r="O49" s="16" t="s">
        <v>287</v>
      </c>
      <c r="P49" s="16" t="s">
        <v>275</v>
      </c>
      <c r="Q49" s="7" t="s">
        <v>32</v>
      </c>
    </row>
    <row r="50">
      <c r="A50" s="3">
        <v>49.0</v>
      </c>
      <c r="B50" s="4" t="str">
        <f>IFERROR(__xludf.DUMMYFUNCTION("GOOGLETRANSLATE(K50, ""en"", ""bn"")"),"পটভূমিতে কি ধরনের কাঠামো দৃশ্যমান হয়?")</f>
        <v>পটভূমিতে কি ধরনের কাঠামো দৃশ্যমান হয়?</v>
      </c>
      <c r="C50" s="4" t="str">
        <f>IFERROR(__xludf.DUMMYFUNCTION("GOOGLETRANSLATE(L50, ""en"", ""bn"")"),"আকাশচুম্বী ভবন")</f>
        <v>আকাশচুম্বী ভবন</v>
      </c>
      <c r="D50" s="4" t="str">
        <f>IFERROR(__xludf.DUMMYFUNCTION("GOOGLETRANSLATE(M50, ""en"", ""bn"")"),"ইটের ঘর")</f>
        <v>ইটের ঘর</v>
      </c>
      <c r="E50" s="4" t="str">
        <f>IFERROR(__xludf.DUMMYFUNCTION("GOOGLETRANSLATE(N50, ""en"", ""bn"")"),"ধাতব শেড")</f>
        <v>ধাতব শেড</v>
      </c>
      <c r="F50" s="4" t="str">
        <f>IFERROR(__xludf.DUMMYFUNCTION("GOOGLETRANSLATE(O50, ""en"", ""bn"")"),"কাঠের কেবিন")</f>
        <v>কাঠের কেবিন</v>
      </c>
      <c r="G50" s="4" t="str">
        <f>IFERROR(__xludf.DUMMYFUNCTION("GOOGLETRANSLATE(P50, ""en"", ""bn"")"),"ধাতব শেড")</f>
        <v>ধাতব শেড</v>
      </c>
      <c r="H50" s="4" t="str">
        <f>IFERROR(__xludf.DUMMYFUNCTION("GOOGLETRANSLATE(Q50, ""en"", ""bn"")"),"ছবি2")</f>
        <v>ছবি2</v>
      </c>
      <c r="J50" s="5" t="str">
        <f>IFERROR(__xludf.DUMMYFUNCTION("GOOGLETRANSLATE(A50, ""bn"", ""en"")"),"49")</f>
        <v>49</v>
      </c>
      <c r="K50" s="16" t="s">
        <v>1401</v>
      </c>
      <c r="L50" s="16" t="s">
        <v>1402</v>
      </c>
      <c r="M50" s="16" t="s">
        <v>1403</v>
      </c>
      <c r="N50" s="16" t="s">
        <v>1404</v>
      </c>
      <c r="O50" s="16" t="s">
        <v>1405</v>
      </c>
      <c r="P50" s="16" t="s">
        <v>1404</v>
      </c>
      <c r="Q50" s="7" t="s">
        <v>32</v>
      </c>
    </row>
    <row r="51">
      <c r="A51" s="3">
        <v>50.0</v>
      </c>
      <c r="B51" s="4" t="str">
        <f>IFERROR(__xludf.DUMMYFUNCTION("GOOGLETRANSLATE(K51, ""en"", ""bn"")"),"গাছগুলির সবচেয়ে লক্ষণীয় বৈশিষ্ট্য কী?")</f>
        <v>গাছগুলির সবচেয়ে লক্ষণীয় বৈশিষ্ট্য কী?</v>
      </c>
      <c r="C51" s="4" t="str">
        <f>IFERROR(__xludf.DUMMYFUNCTION("GOOGLETRANSLATE(L51, ""en"", ""bn"")"),"তাদের কোন পাতা নেই")</f>
        <v>তাদের কোন পাতা নেই</v>
      </c>
      <c r="D51" s="4" t="str">
        <f>IFERROR(__xludf.DUMMYFUNCTION("GOOGLETRANSLATE(M51, ""en"", ""bn"")"),"তারা অনেক লম্বা")</f>
        <v>তারা অনেক লম্বা</v>
      </c>
      <c r="E51" s="4" t="str">
        <f>IFERROR(__xludf.DUMMYFUNCTION("GOOGLETRANSLATE(N51, ""en"", ""bn"")"),"তারা ফল পরিপূর্ণ")</f>
        <v>তারা ফল পরিপূর্ণ</v>
      </c>
      <c r="F51" s="4" t="str">
        <f>IFERROR(__xludf.DUMMYFUNCTION("GOOGLETRANSLATE(O51, ""en"", ""bn"")"),"তারা বরফে ঢাকা")</f>
        <v>তারা বরফে ঢাকা</v>
      </c>
      <c r="G51" s="4" t="str">
        <f>IFERROR(__xludf.DUMMYFUNCTION("GOOGLETRANSLATE(P51, ""en"", ""bn"")"),"তারা অনেক লম্বা")</f>
        <v>তারা অনেক লম্বা</v>
      </c>
      <c r="H51" s="4" t="str">
        <f>IFERROR(__xludf.DUMMYFUNCTION("GOOGLETRANSLATE(Q51, ""en"", ""bn"")"),"ছবি2")</f>
        <v>ছবি2</v>
      </c>
      <c r="J51" s="5" t="str">
        <f>IFERROR(__xludf.DUMMYFUNCTION("GOOGLETRANSLATE(A51, ""bn"", ""en"")"),"50")</f>
        <v>50</v>
      </c>
      <c r="K51" s="16" t="s">
        <v>1406</v>
      </c>
      <c r="L51" s="16" t="s">
        <v>1407</v>
      </c>
      <c r="M51" s="16" t="s">
        <v>1408</v>
      </c>
      <c r="N51" s="16" t="s">
        <v>1409</v>
      </c>
      <c r="O51" s="16" t="s">
        <v>1410</v>
      </c>
      <c r="P51" s="16" t="s">
        <v>1408</v>
      </c>
      <c r="Q51" s="7" t="s">
        <v>32</v>
      </c>
      <c r="R51" s="18"/>
      <c r="S51" s="18"/>
    </row>
    <row r="52">
      <c r="A52" s="3">
        <v>51.0</v>
      </c>
      <c r="B52" s="4" t="str">
        <f>IFERROR(__xludf.DUMMYFUNCTION("GOOGLETRANSLATE(K52, ""en"", ""bn"")"),"কতজন প্রতিপক্ষ দেখা যায়?")</f>
        <v>কতজন প্রতিপক্ষ দেখা যায়?</v>
      </c>
      <c r="C52" s="4" t="str">
        <f>IFERROR(__xludf.DUMMYFUNCTION("GOOGLETRANSLATE(L52, ""en"", ""bn"")"),"এক")</f>
        <v>এক</v>
      </c>
      <c r="D52" s="4" t="str">
        <f>IFERROR(__xludf.DUMMYFUNCTION("GOOGLETRANSLATE(M52, ""en"", ""bn"")"),"দুই")</f>
        <v>দুই</v>
      </c>
      <c r="E52" s="4" t="str">
        <f>IFERROR(__xludf.DUMMYFUNCTION("GOOGLETRANSLATE(N52, ""en"", ""bn"")"),"তিন")</f>
        <v>তিন</v>
      </c>
      <c r="F52" s="4" t="str">
        <f>IFERROR(__xludf.DUMMYFUNCTION("GOOGLETRANSLATE(O52, ""en"", ""bn"")"),"চার")</f>
        <v>চার</v>
      </c>
      <c r="G52" s="4" t="str">
        <f>IFERROR(__xludf.DUMMYFUNCTION("GOOGLETRANSLATE(P52, ""en"", ""bn"")"),"দুই")</f>
        <v>দুই</v>
      </c>
      <c r="H52" s="4" t="str">
        <f>IFERROR(__xludf.DUMMYFUNCTION("GOOGLETRANSLATE(Q52, ""en"", ""bn"")"),"ছবি2")</f>
        <v>ছবি2</v>
      </c>
      <c r="J52" s="5" t="str">
        <f>IFERROR(__xludf.DUMMYFUNCTION("GOOGLETRANSLATE(A52, ""bn"", ""en"")"),"51")</f>
        <v>51</v>
      </c>
      <c r="K52" s="16" t="s">
        <v>1411</v>
      </c>
      <c r="L52" s="16" t="s">
        <v>247</v>
      </c>
      <c r="M52" s="16" t="s">
        <v>249</v>
      </c>
      <c r="N52" s="16" t="s">
        <v>1412</v>
      </c>
      <c r="O52" s="16" t="s">
        <v>1413</v>
      </c>
      <c r="P52" s="16" t="s">
        <v>249</v>
      </c>
      <c r="Q52" s="7" t="s">
        <v>32</v>
      </c>
    </row>
    <row r="53">
      <c r="A53" s="3">
        <v>52.0</v>
      </c>
      <c r="B53" s="4" t="str">
        <f>IFERROR(__xludf.DUMMYFUNCTION("GOOGLETRANSLATE(K53, ""en"", ""bn"")"),"""ট্যাগার"" দলের মূল উদ্দেশ্য কি?")</f>
        <v>"ট্যাগার" দলের মূল উদ্দেশ্য কি?</v>
      </c>
      <c r="C53" s="4" t="str">
        <f>IFERROR(__xludf.DUMMYFUNCTION("GOOGLETRANSLATE(L53, ""en"", ""bn"")"),"রানারদের ট্যাগ করতে")</f>
        <v>রানারদের ট্যাগ করতে</v>
      </c>
      <c r="D53" s="4" t="str">
        <f>IFERROR(__xludf.DUMMYFUNCTION("GOOGLETRANSLATE(M53, ""en"", ""bn"")"),"পালিয়ে যেতে")</f>
        <v>পালিয়ে যেতে</v>
      </c>
      <c r="E53" s="4" t="str">
        <f>IFERROR(__xludf.DUMMYFUNCTION("GOOGLETRANSLATE(N53, ""en"", ""bn"")"),"হাত ধরার জন্য")</f>
        <v>হাত ধরার জন্য</v>
      </c>
      <c r="F53" s="4" t="str">
        <f>IFERROR(__xludf.DUMMYFUNCTION("GOOGLETRANSLATE(O53, ""en"", ""bn"")"),"বসতে")</f>
        <v>বসতে</v>
      </c>
      <c r="G53" s="4" t="str">
        <f>IFERROR(__xludf.DUMMYFUNCTION("GOOGLETRANSLATE(P53, ""en"", ""bn"")"),"রানারদের ট্যাগ করতে")</f>
        <v>রানারদের ট্যাগ করতে</v>
      </c>
      <c r="H53" s="4" t="str">
        <f>IFERROR(__xludf.DUMMYFUNCTION("GOOGLETRANSLATE(Q53, ""en"", ""bn"")"),"ছবি2")</f>
        <v>ছবি2</v>
      </c>
      <c r="J53" s="5" t="str">
        <f>IFERROR(__xludf.DUMMYFUNCTION("GOOGLETRANSLATE(A53, ""bn"", ""en"")"),"52")</f>
        <v>52</v>
      </c>
      <c r="K53" s="16" t="s">
        <v>1414</v>
      </c>
      <c r="L53" s="16" t="s">
        <v>1415</v>
      </c>
      <c r="M53" s="16" t="s">
        <v>1416</v>
      </c>
      <c r="N53" s="16" t="s">
        <v>1417</v>
      </c>
      <c r="O53" s="16" t="s">
        <v>1418</v>
      </c>
      <c r="P53" s="16" t="s">
        <v>1415</v>
      </c>
      <c r="Q53" s="7" t="s">
        <v>32</v>
      </c>
    </row>
    <row r="54">
      <c r="A54" s="3">
        <v>53.0</v>
      </c>
      <c r="B54" s="4" t="str">
        <f>IFERROR(__xludf.DUMMYFUNCTION("GOOGLETRANSLATE(K54, ""en"", ""bn"")"),"দিনের কোন সময়ে ছবিটি তোলা হয়েছে?")</f>
        <v>দিনের কোন সময়ে ছবিটি তোলা হয়েছে?</v>
      </c>
      <c r="C54" s="4" t="str">
        <f>IFERROR(__xludf.DUMMYFUNCTION("GOOGLETRANSLATE(L54, ""en"", ""bn"")"),"সকাল")</f>
        <v>সকাল</v>
      </c>
      <c r="D54" s="4" t="str">
        <f>IFERROR(__xludf.DUMMYFUNCTION("GOOGLETRANSLATE(M54, ""en"", ""bn"")"),"দুপুর")</f>
        <v>দুপুর</v>
      </c>
      <c r="E54" s="4" t="str">
        <f>IFERROR(__xludf.DUMMYFUNCTION("GOOGLETRANSLATE(N54, ""en"", ""bn"")"),"সন্ধ্যা")</f>
        <v>সন্ধ্যা</v>
      </c>
      <c r="F54" s="4" t="str">
        <f>IFERROR(__xludf.DUMMYFUNCTION("GOOGLETRANSLATE(O54, ""en"", ""bn"")"),"রাত্রি")</f>
        <v>রাত্রি</v>
      </c>
      <c r="G54" s="4" t="str">
        <f>IFERROR(__xludf.DUMMYFUNCTION("GOOGLETRANSLATE(P54, ""en"", ""bn"")"),"দুপুর")</f>
        <v>দুপুর</v>
      </c>
      <c r="H54" s="4" t="str">
        <f>IFERROR(__xludf.DUMMYFUNCTION("GOOGLETRANSLATE(Q54, ""en"", ""bn"")"),"ছবি2")</f>
        <v>ছবি2</v>
      </c>
      <c r="J54" s="5" t="str">
        <f>IFERROR(__xludf.DUMMYFUNCTION("GOOGLETRANSLATE(A54, ""bn"", ""en"")"),"53")</f>
        <v>53</v>
      </c>
      <c r="K54" s="16" t="s">
        <v>1419</v>
      </c>
      <c r="L54" s="16" t="s">
        <v>1420</v>
      </c>
      <c r="M54" s="16" t="s">
        <v>1421</v>
      </c>
      <c r="N54" s="16" t="s">
        <v>1377</v>
      </c>
      <c r="O54" s="16" t="s">
        <v>1376</v>
      </c>
      <c r="P54" s="16" t="s">
        <v>1421</v>
      </c>
      <c r="Q54" s="7" t="s">
        <v>32</v>
      </c>
    </row>
    <row r="55">
      <c r="A55" s="3">
        <v>54.0</v>
      </c>
      <c r="B55" s="4" t="str">
        <f>IFERROR(__xludf.DUMMYFUNCTION("GOOGLETRANSLATE(K55, ""en"", ""bn"")"),"ছেলেরা কি সাধারণ পোশাক পরে?")</f>
        <v>ছেলেরা কি সাধারণ পোশাক পরে?</v>
      </c>
      <c r="C55" s="4" t="str">
        <f>IFERROR(__xludf.DUMMYFUNCTION("GOOGLETRANSLATE(L55, ""en"", ""bn"")"),"জিন্স এবং শার্ট")</f>
        <v>জিন্স এবং শার্ট</v>
      </c>
      <c r="D55" s="4" t="str">
        <f>IFERROR(__xludf.DUMMYFUNCTION("GOOGLETRANSLATE(M55, ""en"", ""bn"")"),"শর্টস এবং টি-শার্ট")</f>
        <v>শর্টস এবং টি-শার্ট</v>
      </c>
      <c r="E55" s="4" t="str">
        <f>IFERROR(__xludf.DUMMYFUNCTION("GOOGLETRANSLATE(N55, ""en"", ""bn"")"),"ট্রাউজার্স এবং জ্যাকেট")</f>
        <v>ট্রাউজার্স এবং জ্যাকেট</v>
      </c>
      <c r="F55" s="4" t="str">
        <f>IFERROR(__xludf.DUMMYFUNCTION("GOOGLETRANSLATE(O55, ""en"", ""bn"")"),"স্যুট এবং টাই")</f>
        <v>স্যুট এবং টাই</v>
      </c>
      <c r="G55" s="4" t="str">
        <f>IFERROR(__xludf.DUMMYFUNCTION("GOOGLETRANSLATE(P55, ""en"", ""bn"")"),"শর্টস এবং টি-শার্ট")</f>
        <v>শর্টস এবং টি-শার্ট</v>
      </c>
      <c r="H55" s="4" t="str">
        <f>IFERROR(__xludf.DUMMYFUNCTION("GOOGLETRANSLATE(Q55, ""en"", ""bn"")"),"ছবি2")</f>
        <v>ছবি2</v>
      </c>
      <c r="J55" s="5" t="str">
        <f>IFERROR(__xludf.DUMMYFUNCTION("GOOGLETRANSLATE(A55, ""bn"", ""en"")"),"54")</f>
        <v>54</v>
      </c>
      <c r="K55" s="16" t="s">
        <v>1422</v>
      </c>
      <c r="L55" s="16" t="s">
        <v>1423</v>
      </c>
      <c r="M55" s="16" t="s">
        <v>1424</v>
      </c>
      <c r="N55" s="16" t="s">
        <v>1425</v>
      </c>
      <c r="O55" s="16" t="s">
        <v>867</v>
      </c>
      <c r="P55" s="16" t="s">
        <v>1424</v>
      </c>
      <c r="Q55" s="7" t="s">
        <v>32</v>
      </c>
    </row>
    <row r="56">
      <c r="A56" s="3">
        <v>55.0</v>
      </c>
      <c r="B56" s="4" t="str">
        <f>IFERROR(__xludf.DUMMYFUNCTION("GOOGLETRANSLATE(K56, ""en"", ""bn"")"),"ব্যাকগ্রাউন্ডে গাছের সাথে কি বাঁধা দেখা যায়?")</f>
        <v>ব্যাকগ্রাউন্ডে গাছের সাথে কি বাঁধা দেখা যায়?</v>
      </c>
      <c r="C56" s="4" t="str">
        <f>IFERROR(__xludf.DUMMYFUNCTION("GOOGLETRANSLATE(L56, ""en"", ""bn"")"),"একটি দড়ি")</f>
        <v>একটি দড়ি</v>
      </c>
      <c r="D56" s="4" t="str">
        <f>IFERROR(__xludf.DUMMYFUNCTION("GOOGLETRANSLATE(M56, ""en"", ""bn"")"),"এক টুকরো কাপড়")</f>
        <v>এক টুকরো কাপড়</v>
      </c>
      <c r="E56" s="4" t="str">
        <f>IFERROR(__xludf.DUMMYFUNCTION("GOOGLETRANSLATE(N56, ""en"", ""bn"")"),"একটি প্লাস্টিকের ব্যাগ")</f>
        <v>একটি প্লাস্টিকের ব্যাগ</v>
      </c>
      <c r="F56" s="4" t="str">
        <f>IFERROR(__xludf.DUMMYFUNCTION("GOOGLETRANSLATE(O56, ""en"", ""bn"")"),"একটি চিহ্ন")</f>
        <v>একটি চিহ্ন</v>
      </c>
      <c r="G56" s="4" t="str">
        <f>IFERROR(__xludf.DUMMYFUNCTION("GOOGLETRANSLATE(P56, ""en"", ""bn"")"),"এক টুকরো কাপড়")</f>
        <v>এক টুকরো কাপড়</v>
      </c>
      <c r="H56" s="4" t="str">
        <f>IFERROR(__xludf.DUMMYFUNCTION("GOOGLETRANSLATE(Q56, ""en"", ""bn"")"),"ছবি2")</f>
        <v>ছবি2</v>
      </c>
      <c r="J56" s="5" t="str">
        <f>IFERROR(__xludf.DUMMYFUNCTION("GOOGLETRANSLATE(A56, ""bn"", ""en"")"),"55")</f>
        <v>55</v>
      </c>
      <c r="K56" s="16" t="s">
        <v>1426</v>
      </c>
      <c r="L56" s="16" t="s">
        <v>782</v>
      </c>
      <c r="M56" s="16" t="s">
        <v>1427</v>
      </c>
      <c r="N56" s="16" t="s">
        <v>1428</v>
      </c>
      <c r="O56" s="16" t="s">
        <v>1429</v>
      </c>
      <c r="P56" s="16" t="s">
        <v>1427</v>
      </c>
      <c r="Q56" s="7" t="s">
        <v>32</v>
      </c>
    </row>
    <row r="57">
      <c r="A57" s="3">
        <v>56.0</v>
      </c>
      <c r="B57" s="4" t="str">
        <f>IFERROR(__xludf.DUMMYFUNCTION("GOOGLETRANSLATE(K57, ""en"", ""bn"")"),"গেমটি নিচের কোনটিকে প্রচার করে?")</f>
        <v>গেমটি নিচের কোনটিকে প্রচার করে?</v>
      </c>
      <c r="C57" s="4" t="str">
        <f>IFERROR(__xludf.DUMMYFUNCTION("GOOGLETRANSLATE(L57, ""en"", ""bn"")"),"সামাজিক দূরত্ব স্থাপন")</f>
        <v>সামাজিক দূরত্ব স্থাপন</v>
      </c>
      <c r="D57" s="4" t="str">
        <f>IFERROR(__xludf.DUMMYFUNCTION("GOOGLETRANSLATE(M57, ""en"", ""bn"")"),"ব্যক্তিগত প্রতিযোগিতা")</f>
        <v>ব্যক্তিগত প্রতিযোগিতা</v>
      </c>
      <c r="E57" s="4" t="str">
        <f>IFERROR(__xludf.DUMMYFUNCTION("GOOGLETRANSLATE(N57, ""en"", ""bn"")"),"দলগত কাজ এবং সহযোগিতা")</f>
        <v>দলগত কাজ এবং সহযোগিতা</v>
      </c>
      <c r="F57" s="4" t="str">
        <f>IFERROR(__xludf.DUMMYFUNCTION("GOOGLETRANSLATE(O57, ""en"", ""bn"")"),"নির্জন খেলা")</f>
        <v>নির্জন খেলা</v>
      </c>
      <c r="G57" s="4" t="str">
        <f>IFERROR(__xludf.DUMMYFUNCTION("GOOGLETRANSLATE(P57, ""en"", ""bn"")"),"দলগত কাজ এবং সহযোগিতা")</f>
        <v>দলগত কাজ এবং সহযোগিতা</v>
      </c>
      <c r="H57" s="4" t="str">
        <f>IFERROR(__xludf.DUMMYFUNCTION("GOOGLETRANSLATE(Q57, ""en"", ""bn"")"),"ছবি2")</f>
        <v>ছবি2</v>
      </c>
      <c r="J57" s="5" t="str">
        <f>IFERROR(__xludf.DUMMYFUNCTION("GOOGLETRANSLATE(A57, ""bn"", ""en"")"),"56")</f>
        <v>56</v>
      </c>
      <c r="K57" s="16" t="s">
        <v>1430</v>
      </c>
      <c r="L57" s="16" t="s">
        <v>1431</v>
      </c>
      <c r="M57" s="16" t="s">
        <v>1432</v>
      </c>
      <c r="N57" s="16" t="s">
        <v>1433</v>
      </c>
      <c r="O57" s="16" t="s">
        <v>1434</v>
      </c>
      <c r="P57" s="16" t="s">
        <v>1433</v>
      </c>
      <c r="Q57" s="7" t="s">
        <v>32</v>
      </c>
    </row>
    <row r="58">
      <c r="A58" s="3">
        <v>57.0</v>
      </c>
      <c r="B58" s="4" t="str">
        <f>IFERROR(__xludf.DUMMYFUNCTION("GOOGLETRANSLATE(K58, ""en"", ""bn"")"),"ময়লা ছাড়া আর কি মাটি ঢাকা?")</f>
        <v>ময়লা ছাড়া আর কি মাটি ঢাকা?</v>
      </c>
      <c r="C58" s="4" t="str">
        <f>IFERROR(__xludf.DUMMYFUNCTION("GOOGLETRANSLATE(L58, ""en"", ""bn"")"),"পাতা এবং ঘাস")</f>
        <v>পাতা এবং ঘাস</v>
      </c>
      <c r="D58" s="4" t="str">
        <f>IFERROR(__xludf.DUMMYFUNCTION("GOOGLETRANSLATE(M58, ""en"", ""bn"")"),"পাথর এবং লাঠি")</f>
        <v>পাথর এবং লাঠি</v>
      </c>
      <c r="E58" s="4" t="str">
        <f>IFERROR(__xludf.DUMMYFUNCTION("GOOGLETRANSLATE(N58, ""en"", ""bn"")"),"তুষার এবং বরফ")</f>
        <v>তুষার এবং বরফ</v>
      </c>
      <c r="F58" s="4" t="str">
        <f>IFERROR(__xludf.DUMMYFUNCTION("GOOGLETRANSLATE(O58, ""en"", ""bn"")"),"জল")</f>
        <v>জল</v>
      </c>
      <c r="G58" s="4" t="str">
        <f>IFERROR(__xludf.DUMMYFUNCTION("GOOGLETRANSLATE(P58, ""en"", ""bn"")"),"পাতা এবং ঘাস")</f>
        <v>পাতা এবং ঘাস</v>
      </c>
      <c r="H58" s="4" t="str">
        <f>IFERROR(__xludf.DUMMYFUNCTION("GOOGLETRANSLATE(Q58, ""en"", ""bn"")"),"ছবি2")</f>
        <v>ছবি2</v>
      </c>
      <c r="J58" s="5" t="str">
        <f>IFERROR(__xludf.DUMMYFUNCTION("GOOGLETRANSLATE(A58, ""bn"", ""en"")"),"57")</f>
        <v>57</v>
      </c>
      <c r="K58" s="16" t="s">
        <v>1435</v>
      </c>
      <c r="L58" s="16" t="s">
        <v>1436</v>
      </c>
      <c r="M58" s="16" t="s">
        <v>1437</v>
      </c>
      <c r="N58" s="16" t="s">
        <v>1438</v>
      </c>
      <c r="O58" s="16" t="s">
        <v>301</v>
      </c>
      <c r="P58" s="16" t="s">
        <v>1436</v>
      </c>
      <c r="Q58" s="7" t="s">
        <v>32</v>
      </c>
    </row>
    <row r="59">
      <c r="A59" s="3">
        <v>58.0</v>
      </c>
      <c r="B59" s="4" t="str">
        <f>IFERROR(__xludf.DUMMYFUNCTION("GOOGLETRANSLATE(K59, ""en"", ""bn"")"),"লাল শার্টে ছেলেটির পোজ কী?")</f>
        <v>লাল শার্টে ছেলেটির পোজ কী?</v>
      </c>
      <c r="C59" s="4" t="str">
        <f>IFERROR(__xludf.DUMMYFUNCTION("GOOGLETRANSLATE(L59, ""en"", ""bn"")"),"স্থির হয়ে দাঁড়িয়ে আছে")</f>
        <v>স্থির হয়ে দাঁড়িয়ে আছে</v>
      </c>
      <c r="D59" s="4" t="str">
        <f>IFERROR(__xludf.DUMMYFUNCTION("GOOGLETRANSLATE(M59, ""en"", ""bn"")"),"হাত দুলিয়ে দৌড়াচ্ছে")</f>
        <v>হাত দুলিয়ে দৌড়াচ্ছে</v>
      </c>
      <c r="E59" s="4" t="str">
        <f>IFERROR(__xludf.DUMMYFUNCTION("GOOGLETRANSLATE(N59, ""en"", ""bn"")"),"বাতাসে লাফানো")</f>
        <v>বাতাসে লাফানো</v>
      </c>
      <c r="F59" s="4" t="str">
        <f>IFERROR(__xludf.DUMMYFUNCTION("GOOGLETRANSLATE(O59, ""en"", ""bn"")"),"বসে আছি")</f>
        <v>বসে আছি</v>
      </c>
      <c r="G59" s="4" t="str">
        <f>IFERROR(__xludf.DUMMYFUNCTION("GOOGLETRANSLATE(P59, ""en"", ""bn"")"),"হাত দুলিয়ে দৌড়াচ্ছে")</f>
        <v>হাত দুলিয়ে দৌড়াচ্ছে</v>
      </c>
      <c r="H59" s="4" t="str">
        <f>IFERROR(__xludf.DUMMYFUNCTION("GOOGLETRANSLATE(Q59, ""en"", ""bn"")"),"ছবি2")</f>
        <v>ছবি2</v>
      </c>
      <c r="J59" s="5" t="str">
        <f>IFERROR(__xludf.DUMMYFUNCTION("GOOGLETRANSLATE(A59, ""bn"", ""en"")"),"58")</f>
        <v>58</v>
      </c>
      <c r="K59" s="16" t="s">
        <v>1439</v>
      </c>
      <c r="L59" s="16" t="s">
        <v>279</v>
      </c>
      <c r="M59" s="16" t="s">
        <v>1440</v>
      </c>
      <c r="N59" s="16" t="s">
        <v>1441</v>
      </c>
      <c r="O59" s="16" t="s">
        <v>314</v>
      </c>
      <c r="P59" s="16" t="s">
        <v>1440</v>
      </c>
      <c r="Q59" s="7" t="s">
        <v>32</v>
      </c>
    </row>
    <row r="60">
      <c r="A60" s="3">
        <v>59.0</v>
      </c>
      <c r="B60" s="4" t="str">
        <f>IFERROR(__xludf.DUMMYFUNCTION("GOOGLETRANSLATE(K60, ""en"", ""bn"")"),"পটভূমিতে বেড়ার মতো কাঠামোর সম্ভাব্য উদ্দেশ্য কী?")</f>
        <v>পটভূমিতে বেড়ার মতো কাঠামোর সম্ভাব্য উদ্দেশ্য কী?</v>
      </c>
      <c r="C60" s="4" t="str">
        <f>IFERROR(__xludf.DUMMYFUNCTION("GOOGLETRANSLATE(L60, ""en"", ""bn"")"),"প্রাণীদের রক্ষা করার জন্য")</f>
        <v>প্রাণীদের রক্ষা করার জন্য</v>
      </c>
      <c r="D60" s="4" t="str">
        <f>IFERROR(__xludf.DUMMYFUNCTION("GOOGLETRANSLATE(M60, ""en"", ""bn"")"),"একটি সীমানা চিহ্নিত করতে")</f>
        <v>একটি সীমানা চিহ্নিত করতে</v>
      </c>
      <c r="E60" s="4" t="str">
        <f>IFERROR(__xludf.DUMMYFUNCTION("GOOGLETRANSLATE(N60, ""en"", ""bn"")"),"রাস্তা অবরোধ করতে")</f>
        <v>রাস্তা অবরোধ করতে</v>
      </c>
      <c r="F60" s="4" t="str">
        <f>IFERROR(__xludf.DUMMYFUNCTION("GOOGLETRANSLATE(O60, ""en"", ""bn"")"),"গোলপোস্ট হিসেবে পরিবেশন করা")</f>
        <v>গোলপোস্ট হিসেবে পরিবেশন করা</v>
      </c>
      <c r="G60" s="4" t="str">
        <f>IFERROR(__xludf.DUMMYFUNCTION("GOOGLETRANSLATE(P60, ""en"", ""bn"")"),"একটি সীমানা চিহ্নিত করতে")</f>
        <v>একটি সীমানা চিহ্নিত করতে</v>
      </c>
      <c r="H60" s="4" t="str">
        <f>IFERROR(__xludf.DUMMYFUNCTION("GOOGLETRANSLATE(Q60, ""en"", ""bn"")"),"ছবি2")</f>
        <v>ছবি2</v>
      </c>
      <c r="J60" s="5" t="str">
        <f>IFERROR(__xludf.DUMMYFUNCTION("GOOGLETRANSLATE(A60, ""bn"", ""en"")"),"59")</f>
        <v>59</v>
      </c>
      <c r="K60" s="16" t="s">
        <v>1442</v>
      </c>
      <c r="L60" s="16" t="s">
        <v>1443</v>
      </c>
      <c r="M60" s="16" t="s">
        <v>1444</v>
      </c>
      <c r="N60" s="16" t="s">
        <v>1445</v>
      </c>
      <c r="O60" s="16" t="s">
        <v>1446</v>
      </c>
      <c r="P60" s="16" t="s">
        <v>1444</v>
      </c>
      <c r="Q60" s="7" t="s">
        <v>32</v>
      </c>
    </row>
    <row r="61">
      <c r="A61" s="3">
        <v>60.0</v>
      </c>
      <c r="B61" s="4" t="str">
        <f>IFERROR(__xludf.DUMMYFUNCTION("GOOGLETRANSLATE(K61, ""en"", ""bn"")"),"খেলোয়াড়দের বয়সসীমা কত?")</f>
        <v>খেলোয়াড়দের বয়সসীমা কত?</v>
      </c>
      <c r="C61" s="4" t="str">
        <f>IFERROR(__xludf.DUMMYFUNCTION("GOOGLETRANSLATE(L61, ""en"", ""bn"")"),"5-8 বছর বয়সী")</f>
        <v>5-8 বছর বয়সী</v>
      </c>
      <c r="D61" s="4" t="str">
        <f>IFERROR(__xludf.DUMMYFUNCTION("GOOGLETRANSLATE(M61, ""en"", ""bn"")"),"৯-১৪ বছর বয়সী")</f>
        <v>৯-১৪ বছর বয়সী</v>
      </c>
      <c r="E61" s="4" t="str">
        <f>IFERROR(__xludf.DUMMYFUNCTION("GOOGLETRANSLATE(N61, ""en"", ""bn"")"),"15-20 বছর বয়সী")</f>
        <v>15-20 বছর বয়সী</v>
      </c>
      <c r="F61" s="4" t="str">
        <f>IFERROR(__xludf.DUMMYFUNCTION("GOOGLETRANSLATE(O61, ""en"", ""bn"")"),"২০+ বছর বয়সী")</f>
        <v>২০+ বছর বয়সী</v>
      </c>
      <c r="G61" s="4" t="str">
        <f>IFERROR(__xludf.DUMMYFUNCTION("GOOGLETRANSLATE(P61, ""en"", ""bn"")"),"৯-১৪ বছর বয়সী")</f>
        <v>৯-১৪ বছর বয়সী</v>
      </c>
      <c r="H61" s="4" t="str">
        <f>IFERROR(__xludf.DUMMYFUNCTION("GOOGLETRANSLATE(Q61, ""en"", ""bn"")"),"ছবি2")</f>
        <v>ছবি2</v>
      </c>
      <c r="J61" s="5" t="str">
        <f>IFERROR(__xludf.DUMMYFUNCTION("GOOGLETRANSLATE(A61, ""bn"", ""en"")"),"60")</f>
        <v>60</v>
      </c>
      <c r="K61" s="16" t="s">
        <v>1447</v>
      </c>
      <c r="L61" s="16" t="s">
        <v>1448</v>
      </c>
      <c r="M61" s="16" t="s">
        <v>1449</v>
      </c>
      <c r="N61" s="16" t="s">
        <v>1450</v>
      </c>
      <c r="O61" s="16" t="s">
        <v>1451</v>
      </c>
      <c r="P61" s="16" t="s">
        <v>1449</v>
      </c>
      <c r="Q61" s="7" t="s">
        <v>32</v>
      </c>
    </row>
    <row r="62">
      <c r="A62" s="3">
        <v>61.0</v>
      </c>
      <c r="B62" s="4" t="str">
        <f>IFERROR(__xludf.DUMMYFUNCTION("GOOGLETRANSLATE(K62, ""en"", ""bn"")"),"ছবির বাচ্চারা তাদের হাত দিয়ে কী করছে?")</f>
        <v>ছবির বাচ্চারা তাদের হাত দিয়ে কী করছে?</v>
      </c>
      <c r="C62" s="4" t="str">
        <f>IFERROR(__xludf.DUMMYFUNCTION("GOOGLETRANSLATE(L62, ""en"", ""bn"")"),"দোলাচ্ছে")</f>
        <v>দোলাচ্ছে</v>
      </c>
      <c r="D62" s="4" t="str">
        <f>IFERROR(__xludf.DUMMYFUNCTION("GOOGLETRANSLATE(M62, ""en"", ""bn"")"),"হাত ধরে")</f>
        <v>হাত ধরে</v>
      </c>
      <c r="E62" s="4" t="str">
        <f>IFERROR(__xludf.DUMMYFUNCTION("GOOGLETRANSLATE(N62, ""en"", ""bn"")"),"হাততালি")</f>
        <v>হাততালি</v>
      </c>
      <c r="F62" s="4" t="str">
        <f>IFERROR(__xludf.DUMMYFUNCTION("GOOGLETRANSLATE(O62, ""en"", ""bn"")"),"হাই ফাইভ দিচ্ছে")</f>
        <v>হাই ফাইভ দিচ্ছে</v>
      </c>
      <c r="G62" s="4" t="str">
        <f>IFERROR(__xludf.DUMMYFUNCTION("GOOGLETRANSLATE(P62, ""en"", ""bn"")"),"হাত ধরে")</f>
        <v>হাত ধরে</v>
      </c>
      <c r="H62" s="4" t="str">
        <f>IFERROR(__xludf.DUMMYFUNCTION("GOOGLETRANSLATE(Q62, ""en"", ""bn"")"),"ছবি3")</f>
        <v>ছবি3</v>
      </c>
      <c r="J62" s="5" t="str">
        <f>IFERROR(__xludf.DUMMYFUNCTION("GOOGLETRANSLATE(A62, ""bn"", ""en"")"),"61")</f>
        <v>61</v>
      </c>
      <c r="K62" s="16" t="s">
        <v>1452</v>
      </c>
      <c r="L62" s="16" t="s">
        <v>1453</v>
      </c>
      <c r="M62" s="16" t="s">
        <v>1454</v>
      </c>
      <c r="N62" s="16" t="s">
        <v>1455</v>
      </c>
      <c r="O62" s="16" t="s">
        <v>1456</v>
      </c>
      <c r="P62" s="16" t="s">
        <v>1454</v>
      </c>
      <c r="Q62" s="7" t="s">
        <v>39</v>
      </c>
    </row>
    <row r="63">
      <c r="A63" s="3">
        <v>62.0</v>
      </c>
      <c r="B63" s="4" t="str">
        <f>IFERROR(__xludf.DUMMYFUNCTION("GOOGLETRANSLATE(K63, ""en"", ""bn"")"),"কয়জন শিশুকে খেলা দেখা যায়?")</f>
        <v>কয়জন শিশুকে খেলা দেখা যায়?</v>
      </c>
      <c r="C63" s="4" t="str">
        <f>IFERROR(__xludf.DUMMYFUNCTION("GOOGLETRANSLATE(L63, ""en"", ""bn"")"),"৪")</f>
        <v>৪</v>
      </c>
      <c r="D63" s="4" t="str">
        <f>IFERROR(__xludf.DUMMYFUNCTION("GOOGLETRANSLATE(M63, ""en"", ""bn"")"),"৫")</f>
        <v>৫</v>
      </c>
      <c r="E63" s="4" t="str">
        <f>IFERROR(__xludf.DUMMYFUNCTION("GOOGLETRANSLATE(N63, ""en"", ""bn"")"),"6")</f>
        <v>6</v>
      </c>
      <c r="F63" s="4" t="str">
        <f>IFERROR(__xludf.DUMMYFUNCTION("GOOGLETRANSLATE(O63, ""en"", ""bn"")"),"৭")</f>
        <v>৭</v>
      </c>
      <c r="G63" s="4" t="str">
        <f>IFERROR(__xludf.DUMMYFUNCTION("GOOGLETRANSLATE(P63, ""en"", ""bn"")"),"6")</f>
        <v>6</v>
      </c>
      <c r="H63" s="4" t="str">
        <f>IFERROR(__xludf.DUMMYFUNCTION("GOOGLETRANSLATE(Q63, ""en"", ""bn"")"),"ছবি3")</f>
        <v>ছবি3</v>
      </c>
      <c r="J63" s="5" t="str">
        <f>IFERROR(__xludf.DUMMYFUNCTION("GOOGLETRANSLATE(A63, ""bn"", ""en"")"),"62")</f>
        <v>62</v>
      </c>
      <c r="K63" s="16" t="s">
        <v>1457</v>
      </c>
      <c r="L63" s="16">
        <v>4.0</v>
      </c>
      <c r="M63" s="16">
        <v>5.0</v>
      </c>
      <c r="N63" s="16">
        <v>6.0</v>
      </c>
      <c r="O63" s="16">
        <v>7.0</v>
      </c>
      <c r="P63" s="16">
        <v>6.0</v>
      </c>
      <c r="Q63" s="7" t="s">
        <v>39</v>
      </c>
    </row>
    <row r="64">
      <c r="A64" s="3">
        <v>63.0</v>
      </c>
      <c r="B64" s="4" t="str">
        <f>IFERROR(__xludf.DUMMYFUNCTION("GOOGLETRANSLATE(K64, ""en"", ""bn"")"),"ছবির সম্ভাব্য সেটিং কী?")</f>
        <v>ছবির সম্ভাব্য সেটিং কী?</v>
      </c>
      <c r="C64" s="4" t="str">
        <f>IFERROR(__xludf.DUMMYFUNCTION("GOOGLETRANSLATE(L64, ""en"", ""bn"")"),"একটি শহরের পার্ক")</f>
        <v>একটি শহরের পার্ক</v>
      </c>
      <c r="D64" s="4" t="str">
        <f>IFERROR(__xludf.DUMMYFUNCTION("GOOGLETRANSLATE(M64, ""en"", ""bn"")"),"গ্রামের একটি উঠান")</f>
        <v>গ্রামের একটি উঠান</v>
      </c>
      <c r="E64" s="4" t="str">
        <f>IFERROR(__xludf.DUMMYFUNCTION("GOOGLETRANSLATE(N64, ""en"", ""bn"")"),"একটি স্কুল ক্যাফেটেরিয়া")</f>
        <v>একটি স্কুল ক্যাফেটেরিয়া</v>
      </c>
      <c r="F64" s="4" t="str">
        <f>IFERROR(__xludf.DUMMYFUNCTION("GOOGLETRANSLATE(O64, ""en"", ""bn"")"),"একটি ক্রীড়া স্টেডিয়াম")</f>
        <v>একটি ক্রীড়া স্টেডিয়াম</v>
      </c>
      <c r="G64" s="4" t="str">
        <f>IFERROR(__xludf.DUMMYFUNCTION("GOOGLETRANSLATE(P64, ""en"", ""bn"")"),"গ্রামের একটি উঠান")</f>
        <v>গ্রামের একটি উঠান</v>
      </c>
      <c r="H64" s="4" t="str">
        <f>IFERROR(__xludf.DUMMYFUNCTION("GOOGLETRANSLATE(Q64, ""en"", ""bn"")"),"ছবি3")</f>
        <v>ছবি3</v>
      </c>
      <c r="J64" s="5" t="str">
        <f>IFERROR(__xludf.DUMMYFUNCTION("GOOGLETRANSLATE(A64, ""bn"", ""en"")"),"63")</f>
        <v>63</v>
      </c>
      <c r="K64" s="16" t="s">
        <v>1458</v>
      </c>
      <c r="L64" s="16" t="s">
        <v>842</v>
      </c>
      <c r="M64" s="16" t="s">
        <v>509</v>
      </c>
      <c r="N64" s="16" t="s">
        <v>1459</v>
      </c>
      <c r="O64" s="16" t="s">
        <v>1460</v>
      </c>
      <c r="P64" s="16" t="s">
        <v>509</v>
      </c>
      <c r="Q64" s="7" t="s">
        <v>39</v>
      </c>
    </row>
    <row r="65">
      <c r="A65" s="3">
        <v>64.0</v>
      </c>
      <c r="B65" s="4" t="str">
        <f>IFERROR(__xludf.DUMMYFUNCTION("GOOGLETRANSLATE(K65, ""en"", ""bn"")"),"ছবির সামগ্রিক সুর কী?")</f>
        <v>ছবির সামগ্রিক সুর কী?</v>
      </c>
      <c r="C65" s="4" t="str">
        <f>IFERROR(__xludf.DUMMYFUNCTION("GOOGLETRANSLATE(L65, ""en"", ""bn"")"),"বিষণ্ণ এবং গম্ভীর")</f>
        <v>বিষণ্ণ এবং গম্ভীর</v>
      </c>
      <c r="D65" s="4" t="str">
        <f>IFERROR(__xludf.DUMMYFUNCTION("GOOGLETRANSLATE(M65, ""en"", ""bn"")"),"তীব্র এবং নিবদ্ধ")</f>
        <v>তীব্র এবং নিবদ্ধ</v>
      </c>
      <c r="E65" s="4" t="str">
        <f>IFERROR(__xludf.DUMMYFUNCTION("GOOGLETRANSLATE(N65, ""en"", ""bn"")"),"কৌতুকপূর্ণ এবং আনন্দদায়ক")</f>
        <v>কৌতুকপূর্ণ এবং আনন্দদায়ক</v>
      </c>
      <c r="F65" s="4" t="str">
        <f>IFERROR(__xludf.DUMMYFUNCTION("GOOGLETRANSLATE(O65, ""en"", ""bn"")"),"শান্ত এবং স্বাচ্ছন্দ্যময়")</f>
        <v>শান্ত এবং স্বাচ্ছন্দ্যময়</v>
      </c>
      <c r="G65" s="4" t="str">
        <f>IFERROR(__xludf.DUMMYFUNCTION("GOOGLETRANSLATE(P65, ""en"", ""bn"")"),"কৌতুকপূর্ণ এবং আনন্দদায়ক")</f>
        <v>কৌতুকপূর্ণ এবং আনন্দদায়ক</v>
      </c>
      <c r="H65" s="4" t="str">
        <f>IFERROR(__xludf.DUMMYFUNCTION("GOOGLETRANSLATE(Q65, ""en"", ""bn"")"),"ছবি3")</f>
        <v>ছবি3</v>
      </c>
      <c r="J65" s="5" t="str">
        <f>IFERROR(__xludf.DUMMYFUNCTION("GOOGLETRANSLATE(A65, ""bn"", ""en"")"),"64")</f>
        <v>64</v>
      </c>
      <c r="K65" s="16" t="s">
        <v>441</v>
      </c>
      <c r="L65" s="16" t="s">
        <v>1461</v>
      </c>
      <c r="M65" s="16" t="s">
        <v>1462</v>
      </c>
      <c r="N65" s="16" t="s">
        <v>1463</v>
      </c>
      <c r="O65" s="16" t="s">
        <v>1464</v>
      </c>
      <c r="P65" s="16" t="s">
        <v>1463</v>
      </c>
      <c r="Q65" s="7" t="s">
        <v>39</v>
      </c>
    </row>
    <row r="66">
      <c r="A66" s="3">
        <v>65.0</v>
      </c>
      <c r="B66" s="4" t="str">
        <f>IFERROR(__xludf.DUMMYFUNCTION("GOOGLETRANSLATE(K66, ""en"", ""bn"")"),"বাচ্চারা কী ধরণের পোশাক পরে?")</f>
        <v>বাচ্চারা কী ধরণের পোশাক পরে?</v>
      </c>
      <c r="C66" s="4" t="str">
        <f>IFERROR(__xludf.DUMMYFUNCTION("GOOGLETRANSLATE(L66, ""en"", ""bn"")"),"আধুনিক স্পোর্টসওয়্যার")</f>
        <v>আধুনিক স্পোর্টসওয়্যার</v>
      </c>
      <c r="D66" s="4" t="str">
        <f>IFERROR(__xludf.DUMMYFUNCTION("GOOGLETRANSLATE(M66, ""en"", ""bn"")"),"ঐতিহ্যবাহী গ্রামীণ পোশাক")</f>
        <v>ঐতিহ্যবাহী গ্রামীণ পোশাক</v>
      </c>
      <c r="E66" s="4" t="str">
        <f>IFERROR(__xludf.DUMMYFUNCTION("GOOGLETRANSLATE(N66, ""en"", ""bn"")"),"ইউনিফর্ম")</f>
        <v>ইউনিফর্ম</v>
      </c>
      <c r="F66" s="4" t="str">
        <f>IFERROR(__xludf.DUMMYFUNCTION("GOOGLETRANSLATE(O66, ""en"", ""bn"")"),"আনুষ্ঠানিক পোশাক")</f>
        <v>আনুষ্ঠানিক পোশাক</v>
      </c>
      <c r="G66" s="4" t="str">
        <f>IFERROR(__xludf.DUMMYFUNCTION("GOOGLETRANSLATE(P66, ""en"", ""bn"")"),"ঐতিহ্যবাহী গ্রামীণ পোশাক")</f>
        <v>ঐতিহ্যবাহী গ্রামীণ পোশাক</v>
      </c>
      <c r="H66" s="4" t="str">
        <f>IFERROR(__xludf.DUMMYFUNCTION("GOOGLETRANSLATE(Q66, ""en"", ""bn"")"),"ছবি3")</f>
        <v>ছবি3</v>
      </c>
      <c r="J66" s="5" t="str">
        <f>IFERROR(__xludf.DUMMYFUNCTION("GOOGLETRANSLATE(A66, ""bn"", ""en"")"),"65")</f>
        <v>65</v>
      </c>
      <c r="K66" s="16" t="s">
        <v>1465</v>
      </c>
      <c r="L66" s="16" t="s">
        <v>1466</v>
      </c>
      <c r="M66" s="16" t="s">
        <v>1467</v>
      </c>
      <c r="N66" s="16" t="s">
        <v>370</v>
      </c>
      <c r="O66" s="16" t="s">
        <v>728</v>
      </c>
      <c r="P66" s="16" t="s">
        <v>1467</v>
      </c>
      <c r="Q66" s="7" t="s">
        <v>39</v>
      </c>
    </row>
    <row r="67">
      <c r="A67" s="3">
        <v>66.0</v>
      </c>
      <c r="B67" s="4" t="str">
        <f>IFERROR(__xludf.DUMMYFUNCTION("GOOGLETRANSLATE(K67, ""en"", ""bn"")"),"বাচ্চাদের মুখের অভিব্যক্তি কেমন?")</f>
        <v>বাচ্চাদের মুখের অভিব্যক্তি কেমন?</v>
      </c>
      <c r="C67" s="4" t="str">
        <f>IFERROR(__xludf.DUMMYFUNCTION("GOOGLETRANSLATE(L67, ""en"", ""bn"")"),"নিরপেক্ষ")</f>
        <v>নিরপেক্ষ</v>
      </c>
      <c r="D67" s="4" t="str">
        <f>IFERROR(__xludf.DUMMYFUNCTION("GOOGLETRANSLATE(M67, ""en"", ""bn"")"),"ভীত")</f>
        <v>ভীত</v>
      </c>
      <c r="E67" s="4" t="str">
        <f>IFERROR(__xludf.DUMMYFUNCTION("GOOGLETRANSLATE(N67, ""en"", ""bn"")"),"খুশি এবং উত্তেজিত")</f>
        <v>খুশি এবং উত্তেজিত</v>
      </c>
      <c r="F67" s="4" t="str">
        <f>IFERROR(__xludf.DUMMYFUNCTION("GOOGLETRANSLATE(O67, ""en"", ""bn"")"),"ক্লান্ত")</f>
        <v>ক্লান্ত</v>
      </c>
      <c r="G67" s="4" t="str">
        <f>IFERROR(__xludf.DUMMYFUNCTION("GOOGLETRANSLATE(P67, ""en"", ""bn"")"),"খুশি এবং উত্তেজিত")</f>
        <v>খুশি এবং উত্তেজিত</v>
      </c>
      <c r="H67" s="4" t="str">
        <f>IFERROR(__xludf.DUMMYFUNCTION("GOOGLETRANSLATE(Q67, ""en"", ""bn"")"),"ছবি3")</f>
        <v>ছবি3</v>
      </c>
      <c r="J67" s="5" t="str">
        <f>IFERROR(__xludf.DUMMYFUNCTION("GOOGLETRANSLATE(A67, ""bn"", ""en"")"),"66")</f>
        <v>66</v>
      </c>
      <c r="K67" s="16" t="s">
        <v>1468</v>
      </c>
      <c r="L67" s="16" t="s">
        <v>1469</v>
      </c>
      <c r="M67" s="16" t="s">
        <v>788</v>
      </c>
      <c r="N67" s="16" t="s">
        <v>1470</v>
      </c>
      <c r="O67" s="16" t="s">
        <v>1471</v>
      </c>
      <c r="P67" s="16" t="s">
        <v>1470</v>
      </c>
      <c r="Q67" s="7" t="s">
        <v>39</v>
      </c>
    </row>
    <row r="68">
      <c r="A68" s="3">
        <v>67.0</v>
      </c>
      <c r="B68" s="4" t="str">
        <f>IFERROR(__xludf.DUMMYFUNCTION("GOOGLETRANSLATE(K68, ""en"", ""bn"")"),"এই ছবিতে খেলার কেন্দ্রীয় কর্ম কি?")</f>
        <v>এই ছবিতে খেলার কেন্দ্রীয় কর্ম কি?</v>
      </c>
      <c r="C68" s="4" t="str">
        <f>IFERROR(__xludf.DUMMYFUNCTION("GOOGLETRANSLATE(L68, ""en"", ""bn"")"),"একটি বৃত্তে চলছে")</f>
        <v>একটি বৃত্তে চলছে</v>
      </c>
      <c r="D68" s="4" t="str">
        <f>IFERROR(__xludf.DUMMYFUNCTION("GOOGLETRANSLATE(M68, ""en"", ""bn"")"),"একটি বাধা অতিক্রম ঝাঁপ")</f>
        <v>একটি বাধা অতিক্রম ঝাঁপ</v>
      </c>
      <c r="E68" s="4" t="str">
        <f>IFERROR(__xludf.DUMMYFUNCTION("GOOGLETRANSLATE(N68, ""en"", ""bn"")"),"একটি বল নিক্ষেপ")</f>
        <v>একটি বল নিক্ষেপ</v>
      </c>
      <c r="F68" s="4" t="str">
        <f>IFERROR(__xludf.DUMMYFUNCTION("GOOGLETRANSLATE(O68, ""en"", ""bn"")"),"প্রতিপক্ষকে তাড়া করে")</f>
        <v>প্রতিপক্ষকে তাড়া করে</v>
      </c>
      <c r="G68" s="4" t="str">
        <f>IFERROR(__xludf.DUMMYFUNCTION("GOOGLETRANSLATE(P68, ""en"", ""bn"")"),"একটি বৃত্তে চলছে")</f>
        <v>একটি বৃত্তে চলছে</v>
      </c>
      <c r="H68" s="4" t="str">
        <f>IFERROR(__xludf.DUMMYFUNCTION("GOOGLETRANSLATE(Q68, ""en"", ""bn"")"),"ছবি3")</f>
        <v>ছবি3</v>
      </c>
      <c r="J68" s="5" t="str">
        <f>IFERROR(__xludf.DUMMYFUNCTION("GOOGLETRANSLATE(A68, ""bn"", ""en"")"),"67")</f>
        <v>67</v>
      </c>
      <c r="K68" s="16" t="s">
        <v>1472</v>
      </c>
      <c r="L68" s="16" t="s">
        <v>1473</v>
      </c>
      <c r="M68" s="16" t="s">
        <v>1474</v>
      </c>
      <c r="N68" s="16" t="s">
        <v>1475</v>
      </c>
      <c r="O68" s="16" t="s">
        <v>1476</v>
      </c>
      <c r="P68" s="16" t="s">
        <v>1473</v>
      </c>
      <c r="Q68" s="7" t="s">
        <v>39</v>
      </c>
    </row>
    <row r="69">
      <c r="A69" s="3">
        <v>68.0</v>
      </c>
      <c r="B69" s="4" t="str">
        <f>IFERROR(__xludf.DUMMYFUNCTION("GOOGLETRANSLATE(K69, ""en"", ""bn"")"),"সূর্যালোকের উপর ভিত্তি করে, দিনের কোন সময়?")</f>
        <v>সূর্যালোকের উপর ভিত্তি করে, দিনের কোন সময়?</v>
      </c>
      <c r="C69" s="4" t="str">
        <f>IFERROR(__xludf.DUMMYFUNCTION("GOOGLETRANSLATE(L69, ""en"", ""bn"")"),"গভীর সন্ধ্যা")</f>
        <v>গভীর সন্ধ্যা</v>
      </c>
      <c r="D69" s="4" t="str">
        <f>IFERROR(__xludf.DUMMYFUNCTION("GOOGLETRANSLATE(M69, ""en"", ""bn"")"),"মিড-ডে")</f>
        <v>মিড-ডে</v>
      </c>
      <c r="E69" s="4" t="str">
        <f>IFERROR(__xludf.DUMMYFUNCTION("GOOGLETRANSLATE(N69, ""en"", ""bn"")"),"ভোরবেলা")</f>
        <v>ভোরবেলা</v>
      </c>
      <c r="F69" s="4" t="str">
        <f>IFERROR(__xludf.DUMMYFUNCTION("GOOGLETRANSLATE(O69, ""en"", ""bn"")"),"রাত্রি")</f>
        <v>রাত্রি</v>
      </c>
      <c r="G69" s="4" t="str">
        <f>IFERROR(__xludf.DUMMYFUNCTION("GOOGLETRANSLATE(P69, ""en"", ""bn"")"),"মিড-ডে")</f>
        <v>মিড-ডে</v>
      </c>
      <c r="H69" s="4" t="str">
        <f>IFERROR(__xludf.DUMMYFUNCTION("GOOGLETRANSLATE(Q69, ""en"", ""bn"")"),"ছবি3")</f>
        <v>ছবি3</v>
      </c>
      <c r="J69" s="5" t="str">
        <f>IFERROR(__xludf.DUMMYFUNCTION("GOOGLETRANSLATE(A69, ""bn"", ""en"")"),"68")</f>
        <v>68</v>
      </c>
      <c r="K69" s="16" t="s">
        <v>1477</v>
      </c>
      <c r="L69" s="16" t="s">
        <v>1478</v>
      </c>
      <c r="M69" s="16" t="s">
        <v>1378</v>
      </c>
      <c r="N69" s="16" t="s">
        <v>813</v>
      </c>
      <c r="O69" s="16" t="s">
        <v>1376</v>
      </c>
      <c r="P69" s="16" t="s">
        <v>1378</v>
      </c>
      <c r="Q69" s="7" t="s">
        <v>39</v>
      </c>
    </row>
    <row r="70">
      <c r="A70" s="3">
        <v>69.0</v>
      </c>
      <c r="B70" s="4" t="str">
        <f>IFERROR(__xludf.DUMMYFUNCTION("GOOGLETRANSLATE(K70, ""en"", ""bn"")"),"তারা যেখানে খেলার মত ভূখণ্ড কি?")</f>
        <v>তারা যেখানে খেলার মত ভূখণ্ড কি?</v>
      </c>
      <c r="C70" s="4" t="str">
        <f>IFERROR(__xludf.DUMMYFUNCTION("GOOGLETRANSLATE(L70, ""en"", ""bn"")"),"কংক্রিট দিয়ে পাকা")</f>
        <v>কংক্রিট দিয়ে পাকা</v>
      </c>
      <c r="D70" s="4" t="str">
        <f>IFERROR(__xludf.DUMMYFUNCTION("GOOGLETRANSLATE(M70, ""en"", ""bn"")"),"কয়েকটি গাছ সহ ঘাসযুক্ত")</f>
        <v>কয়েকটি গাছ সহ ঘাসযুক্ত</v>
      </c>
      <c r="E70" s="4" t="str">
        <f>IFERROR(__xludf.DUMMYFUNCTION("GOOGLETRANSLATE(N70, ""en"", ""bn"")"),"কিছু গাছপালা সঙ্গে ময়লা মাটি")</f>
        <v>কিছু গাছপালা সঙ্গে ময়লা মাটি</v>
      </c>
      <c r="F70" s="4" t="str">
        <f>IFERROR(__xludf.DUMMYFUNCTION("GOOGLETRANSLATE(O70, ""en"", ""bn"")"),"পাথুরে এবং অসম")</f>
        <v>পাথুরে এবং অসম</v>
      </c>
      <c r="G70" s="4" t="str">
        <f>IFERROR(__xludf.DUMMYFUNCTION("GOOGLETRANSLATE(P70, ""en"", ""bn"")"),"কিছু গাছপালা সঙ্গে ময়লা মাটি")</f>
        <v>কিছু গাছপালা সঙ্গে ময়লা মাটি</v>
      </c>
      <c r="H70" s="4" t="str">
        <f>IFERROR(__xludf.DUMMYFUNCTION("GOOGLETRANSLATE(Q70, ""en"", ""bn"")"),"ছবি3")</f>
        <v>ছবি3</v>
      </c>
      <c r="J70" s="5" t="str">
        <f>IFERROR(__xludf.DUMMYFUNCTION("GOOGLETRANSLATE(A70, ""bn"", ""en"")"),"69")</f>
        <v>69</v>
      </c>
      <c r="K70" s="16" t="s">
        <v>1479</v>
      </c>
      <c r="L70" s="16" t="s">
        <v>374</v>
      </c>
      <c r="M70" s="16" t="s">
        <v>1480</v>
      </c>
      <c r="N70" s="16" t="s">
        <v>1481</v>
      </c>
      <c r="O70" s="16" t="s">
        <v>1482</v>
      </c>
      <c r="P70" s="16" t="s">
        <v>1481</v>
      </c>
      <c r="Q70" s="7" t="s">
        <v>39</v>
      </c>
    </row>
    <row r="71">
      <c r="A71" s="3">
        <v>70.0</v>
      </c>
      <c r="B71" s="4" t="str">
        <f>IFERROR(__xludf.DUMMYFUNCTION("GOOGLETRANSLATE(K71, ""en"", ""bn"")"),"খেলাটি মূলত কোন শারীরিক সক্ষমতার উপর নির্ভর করে?")</f>
        <v>খেলাটি মূলত কোন শারীরিক সক্ষমতার উপর নির্ভর করে?</v>
      </c>
      <c r="C71" s="4" t="str">
        <f>IFERROR(__xludf.DUMMYFUNCTION("GOOGLETRANSLATE(L71, ""en"", ""bn"")"),"শক্তি")</f>
        <v>শক্তি</v>
      </c>
      <c r="D71" s="4" t="str">
        <f>IFERROR(__xludf.DUMMYFUNCTION("GOOGLETRANSLATE(M71, ""en"", ""bn"")"),"তত্পরতা এবং গতি")</f>
        <v>তত্পরতা এবং গতি</v>
      </c>
      <c r="E71" s="4" t="str">
        <f>IFERROR(__xludf.DUMMYFUNCTION("GOOGLETRANSLATE(N71, ""en"", ""bn"")"),"সহনশীলতা")</f>
        <v>সহনশীলতা</v>
      </c>
      <c r="F71" s="4" t="str">
        <f>IFERROR(__xludf.DUMMYFUNCTION("GOOGLETRANSLATE(O71, ""en"", ""bn"")"),"নমনীয়তা")</f>
        <v>নমনীয়তা</v>
      </c>
      <c r="G71" s="4" t="str">
        <f>IFERROR(__xludf.DUMMYFUNCTION("GOOGLETRANSLATE(P71, ""en"", ""bn"")"),"তত্পরতা এবং গতি")</f>
        <v>তত্পরতা এবং গতি</v>
      </c>
      <c r="H71" s="4" t="str">
        <f>IFERROR(__xludf.DUMMYFUNCTION("GOOGLETRANSLATE(Q71, ""en"", ""bn"")"),"ছবি3")</f>
        <v>ছবি3</v>
      </c>
      <c r="J71" s="5" t="str">
        <f>IFERROR(__xludf.DUMMYFUNCTION("GOOGLETRANSLATE(A71, ""bn"", ""en"")"),"70")</f>
        <v>70</v>
      </c>
      <c r="K71" s="16" t="s">
        <v>1483</v>
      </c>
      <c r="L71" s="16" t="s">
        <v>1484</v>
      </c>
      <c r="M71" s="16" t="s">
        <v>1485</v>
      </c>
      <c r="N71" s="16" t="s">
        <v>1486</v>
      </c>
      <c r="O71" s="16" t="s">
        <v>1487</v>
      </c>
      <c r="P71" s="16" t="s">
        <v>1485</v>
      </c>
      <c r="Q71" s="7" t="s">
        <v>39</v>
      </c>
    </row>
    <row r="72">
      <c r="A72" s="3">
        <v>71.0</v>
      </c>
      <c r="B72" s="4" t="str">
        <f>IFERROR(__xludf.DUMMYFUNCTION("GOOGLETRANSLATE(K72, ""en"", ""bn"")"),"ছবিতে দৃশ্যমান পরিবেশের প্রধান উপাদান কী?")</f>
        <v>ছবিতে দৃশ্যমান পরিবেশের প্রধান উপাদান কী?</v>
      </c>
      <c r="C72" s="4" t="str">
        <f>IFERROR(__xludf.DUMMYFUNCTION("GOOGLETRANSLATE(L72, ""en"", ""bn"")"),"ঘাসের মাঠ।")</f>
        <v>ঘাসের মাঠ।</v>
      </c>
      <c r="D72" s="4" t="str">
        <f>IFERROR(__xludf.DUMMYFUNCTION("GOOGLETRANSLATE(M72, ""en"", ""bn"")"),"পাকা রাস্তা।")</f>
        <v>পাকা রাস্তা।</v>
      </c>
      <c r="E72" s="4" t="str">
        <f>IFERROR(__xludf.DUMMYFUNCTION("GOOGLETRANSLATE(N72, ""en"", ""bn"")"),"কর্দমাক্ত মাঠ")</f>
        <v>কর্দমাক্ত মাঠ</v>
      </c>
      <c r="F72" s="4" t="str">
        <f>IFERROR(__xludf.DUMMYFUNCTION("GOOGLETRANSLATE(O72, ""en"", ""bn"")"),"একটি বালুকাময় সৈকত")</f>
        <v>একটি বালুকাময় সৈকত</v>
      </c>
      <c r="G72" s="4" t="str">
        <f>IFERROR(__xludf.DUMMYFUNCTION("GOOGLETRANSLATE(P72, ""en"", ""bn"")"),"কর্দমাক্ত মাঠ")</f>
        <v>কর্দমাক্ত মাঠ</v>
      </c>
      <c r="H72" s="4" t="str">
        <f>IFERROR(__xludf.DUMMYFUNCTION("GOOGLETRANSLATE(Q72, ""en"", ""bn"")"),"ছবি4")</f>
        <v>ছবি4</v>
      </c>
      <c r="J72" s="5" t="str">
        <f>IFERROR(__xludf.DUMMYFUNCTION("GOOGLETRANSLATE(A72, ""bn"", ""en"")"),"71")</f>
        <v>71</v>
      </c>
      <c r="K72" s="16" t="s">
        <v>1488</v>
      </c>
      <c r="L72" s="16" t="s">
        <v>347</v>
      </c>
      <c r="M72" s="16" t="s">
        <v>1489</v>
      </c>
      <c r="N72" s="16" t="s">
        <v>1490</v>
      </c>
      <c r="O72" s="16" t="s">
        <v>1491</v>
      </c>
      <c r="P72" s="16" t="s">
        <v>1490</v>
      </c>
      <c r="Q72" s="7" t="s">
        <v>46</v>
      </c>
    </row>
    <row r="73">
      <c r="A73" s="3">
        <v>72.0</v>
      </c>
      <c r="B73" s="4" t="str">
        <f>IFERROR(__xludf.DUMMYFUNCTION("GOOGLETRANSLATE(K73, ""en"", ""bn"")"),"মূল লাইনে কতজন শিশু খেলছে?")</f>
        <v>মূল লাইনে কতজন শিশু খেলছে?</v>
      </c>
      <c r="C73" s="4" t="str">
        <f>IFERROR(__xludf.DUMMYFUNCTION("GOOGLETRANSLATE(L73, ""en"", ""bn"")"),"৪")</f>
        <v>৪</v>
      </c>
      <c r="D73" s="4" t="str">
        <f>IFERROR(__xludf.DUMMYFUNCTION("GOOGLETRANSLATE(M73, ""en"", ""bn"")"),"৫")</f>
        <v>৫</v>
      </c>
      <c r="E73" s="4" t="str">
        <f>IFERROR(__xludf.DUMMYFUNCTION("GOOGLETRANSLATE(N73, ""en"", ""bn"")"),"6")</f>
        <v>6</v>
      </c>
      <c r="F73" s="4" t="str">
        <f>IFERROR(__xludf.DUMMYFUNCTION("GOOGLETRANSLATE(O73, ""en"", ""bn"")"),"৭")</f>
        <v>৭</v>
      </c>
      <c r="G73" s="4" t="str">
        <f>IFERROR(__xludf.DUMMYFUNCTION("GOOGLETRANSLATE(P73, ""en"", ""bn"")"),"6")</f>
        <v>6</v>
      </c>
      <c r="H73" s="4" t="str">
        <f>IFERROR(__xludf.DUMMYFUNCTION("GOOGLETRANSLATE(Q73, ""en"", ""bn"")"),"ছবি4")</f>
        <v>ছবি4</v>
      </c>
      <c r="J73" s="5" t="str">
        <f>IFERROR(__xludf.DUMMYFUNCTION("GOOGLETRANSLATE(A73, ""bn"", ""en"")"),"72")</f>
        <v>72</v>
      </c>
      <c r="K73" s="16" t="s">
        <v>1492</v>
      </c>
      <c r="L73" s="16">
        <v>4.0</v>
      </c>
      <c r="M73" s="16">
        <v>5.0</v>
      </c>
      <c r="N73" s="16">
        <v>6.0</v>
      </c>
      <c r="O73" s="16">
        <v>7.0</v>
      </c>
      <c r="P73" s="16">
        <v>6.0</v>
      </c>
      <c r="Q73" s="7" t="s">
        <v>46</v>
      </c>
    </row>
    <row r="74">
      <c r="A74" s="3">
        <v>73.0</v>
      </c>
      <c r="B74" s="4" t="str">
        <f>IFERROR(__xludf.DUMMYFUNCTION("GOOGLETRANSLATE(K74, ""en"", ""bn"")"),"শিশুদের পা কি আবৃত?")</f>
        <v>শিশুদের পা কি আবৃত?</v>
      </c>
      <c r="C74" s="4" t="str">
        <f>IFERROR(__xludf.DUMMYFUNCTION("GOOGLETRANSLATE(L74, ""en"", ""bn"")"),"ঘাসের দাগ")</f>
        <v>ঘাসের দাগ</v>
      </c>
      <c r="D74" s="4" t="str">
        <f>IFERROR(__xludf.DUMMYFUNCTION("GOOGLETRANSLATE(M74, ""en"", ""bn"")"),"কাদা")</f>
        <v>কাদা</v>
      </c>
      <c r="E74" s="4" t="str">
        <f>IFERROR(__xludf.DUMMYFUNCTION("GOOGLETRANSLATE(N74, ""en"", ""bn"")"),"বালি")</f>
        <v>বালি</v>
      </c>
      <c r="F74" s="4" t="str">
        <f>IFERROR(__xludf.DUMMYFUNCTION("GOOGLETRANSLATE(O74, ""en"", ""bn"")"),"জল")</f>
        <v>জল</v>
      </c>
      <c r="G74" s="4" t="str">
        <f>IFERROR(__xludf.DUMMYFUNCTION("GOOGLETRANSLATE(P74, ""en"", ""bn"")"),"কাদা")</f>
        <v>কাদা</v>
      </c>
      <c r="H74" s="4" t="str">
        <f>IFERROR(__xludf.DUMMYFUNCTION("GOOGLETRANSLATE(Q74, ""en"", ""bn"")"),"ছবি4")</f>
        <v>ছবি4</v>
      </c>
      <c r="J74" s="5" t="str">
        <f>IFERROR(__xludf.DUMMYFUNCTION("GOOGLETRANSLATE(A74, ""bn"", ""en"")"),"73")</f>
        <v>73</v>
      </c>
      <c r="K74" s="16" t="s">
        <v>1493</v>
      </c>
      <c r="L74" s="16" t="s">
        <v>1494</v>
      </c>
      <c r="M74" s="16" t="s">
        <v>299</v>
      </c>
      <c r="N74" s="16" t="s">
        <v>300</v>
      </c>
      <c r="O74" s="16" t="s">
        <v>301</v>
      </c>
      <c r="P74" s="16" t="s">
        <v>299</v>
      </c>
      <c r="Q74" s="7" t="s">
        <v>46</v>
      </c>
    </row>
    <row r="75">
      <c r="A75" s="3">
        <v>74.0</v>
      </c>
      <c r="B75" s="4" t="str">
        <f>IFERROR(__xludf.DUMMYFUNCTION("GOOGLETRANSLATE(K75, ""en"", ""bn"")"),"পরিবেশের উপর নির্ভর করে আবহাওয়া কেমন হতে পারে?")</f>
        <v>পরিবেশের উপর নির্ভর করে আবহাওয়া কেমন হতে পারে?</v>
      </c>
      <c r="C75" s="4" t="str">
        <f>IFERROR(__xludf.DUMMYFUNCTION("GOOGLETRANSLATE(L75, ""en"", ""bn"")"),"সানি")</f>
        <v>সানি</v>
      </c>
      <c r="D75" s="4" t="str">
        <f>IFERROR(__xludf.DUMMYFUNCTION("GOOGLETRANSLATE(M75, ""en"", ""bn"")"),"বর্ষা")</f>
        <v>বর্ষা</v>
      </c>
      <c r="E75" s="4" t="str">
        <f>IFERROR(__xludf.DUMMYFUNCTION("GOOGLETRANSLATE(N75, ""en"", ""bn"")"),"তুষারময়")</f>
        <v>তুষারময়</v>
      </c>
      <c r="F75" s="4" t="str">
        <f>IFERROR(__xludf.DUMMYFUNCTION("GOOGLETRANSLATE(O75, ""en"", ""bn"")"),"ঝড়ো")</f>
        <v>ঝড়ো</v>
      </c>
      <c r="G75" s="4" t="str">
        <f>IFERROR(__xludf.DUMMYFUNCTION("GOOGLETRANSLATE(P75, ""en"", ""bn"")"),"বর্ষা")</f>
        <v>বর্ষা</v>
      </c>
      <c r="H75" s="4" t="str">
        <f>IFERROR(__xludf.DUMMYFUNCTION("GOOGLETRANSLATE(Q75, ""en"", ""bn"")"),"ছবি4")</f>
        <v>ছবি4</v>
      </c>
      <c r="J75" s="5" t="str">
        <f>IFERROR(__xludf.DUMMYFUNCTION("GOOGLETRANSLATE(A75, ""bn"", ""en"")"),"74")</f>
        <v>74</v>
      </c>
      <c r="K75" s="16" t="s">
        <v>1495</v>
      </c>
      <c r="L75" s="16" t="s">
        <v>1345</v>
      </c>
      <c r="M75" s="16" t="s">
        <v>1496</v>
      </c>
      <c r="N75" s="16" t="s">
        <v>1344</v>
      </c>
      <c r="O75" s="16" t="s">
        <v>1497</v>
      </c>
      <c r="P75" s="16" t="s">
        <v>1496</v>
      </c>
      <c r="Q75" s="7" t="s">
        <v>46</v>
      </c>
    </row>
    <row r="76">
      <c r="A76" s="3">
        <v>75.0</v>
      </c>
      <c r="B76" s="4" t="str">
        <f>IFERROR(__xludf.DUMMYFUNCTION("GOOGLETRANSLATE(K76, ""en"", ""bn"")"),"চিত্রের অগ্রভাগে কী ধরনের গাছপালা দৃশ্যমান?")</f>
        <v>চিত্রের অগ্রভাগে কী ধরনের গাছপালা দৃশ্যমান?</v>
      </c>
      <c r="C76" s="4" t="str">
        <f>IFERROR(__xludf.DUMMYFUNCTION("GOOGLETRANSLATE(L76, ""en"", ""bn"")"),"ছোট ঘাস")</f>
        <v>ছোট ঘাস</v>
      </c>
      <c r="D76" s="4" t="str">
        <f>IFERROR(__xludf.DUMMYFUNCTION("GOOGLETRANSLATE(M76, ""en"", ""bn"")"),"খেজুর গাছের ডালপালা এবং লম্বা ঘাস")</f>
        <v>খেজুর গাছের ডালপালা এবং লম্বা ঘাস</v>
      </c>
      <c r="E76" s="4" t="str">
        <f>IFERROR(__xludf.DUMMYFUNCTION("GOOGLETRANSLATE(N76, ""en"", ""bn"")"),"ফুল")</f>
        <v>ফুল</v>
      </c>
      <c r="F76" s="4" t="str">
        <f>IFERROR(__xludf.DUMMYFUNCTION("GOOGLETRANSLATE(O76, ""en"", ""bn"")"),"ক্যাকটাস")</f>
        <v>ক্যাকটাস</v>
      </c>
      <c r="G76" s="4" t="str">
        <f>IFERROR(__xludf.DUMMYFUNCTION("GOOGLETRANSLATE(P76, ""en"", ""bn"")"),"খেজুর গাছের ডালপালা এবং লম্বা ঘাস")</f>
        <v>খেজুর গাছের ডালপালা এবং লম্বা ঘাস</v>
      </c>
      <c r="H76" s="4" t="str">
        <f>IFERROR(__xludf.DUMMYFUNCTION("GOOGLETRANSLATE(Q76, ""en"", ""bn"")"),"ছবি4")</f>
        <v>ছবি4</v>
      </c>
      <c r="J76" s="5" t="str">
        <f>IFERROR(__xludf.DUMMYFUNCTION("GOOGLETRANSLATE(A76, ""bn"", ""en"")"),"75")</f>
        <v>75</v>
      </c>
      <c r="K76" s="16" t="s">
        <v>1498</v>
      </c>
      <c r="L76" s="16" t="s">
        <v>1499</v>
      </c>
      <c r="M76" s="16" t="s">
        <v>1500</v>
      </c>
      <c r="N76" s="16" t="s">
        <v>1501</v>
      </c>
      <c r="O76" s="16" t="s">
        <v>1502</v>
      </c>
      <c r="P76" s="16" t="s">
        <v>1500</v>
      </c>
      <c r="Q76" s="7" t="s">
        <v>46</v>
      </c>
    </row>
    <row r="77">
      <c r="A77" s="3">
        <v>76.0</v>
      </c>
      <c r="B77" s="4" t="str">
        <f>IFERROR(__xludf.DUMMYFUNCTION("GOOGLETRANSLATE(K77, ""en"", ""bn"")"),"শিশুদের সম্ভাব্য বয়সসীমা কত?")</f>
        <v>শিশুদের সম্ভাব্য বয়সসীমা কত?</v>
      </c>
      <c r="C77" s="4" t="str">
        <f>IFERROR(__xludf.DUMMYFUNCTION("GOOGLETRANSLATE(L77, ""en"", ""bn"")"),"ছোট বাচ্চারা")</f>
        <v>ছোট বাচ্চারা</v>
      </c>
      <c r="D77" s="4" t="str">
        <f>IFERROR(__xludf.DUMMYFUNCTION("GOOGLETRANSLATE(M77, ""en"", ""bn"")"),"প্রাথমিক স্কুল-বয়সী")</f>
        <v>প্রাথমিক স্কুল-বয়সী</v>
      </c>
      <c r="E77" s="4" t="str">
        <f>IFERROR(__xludf.DUMMYFUNCTION("GOOGLETRANSLATE(N77, ""en"", ""bn"")"),"কিশোর")</f>
        <v>কিশোর</v>
      </c>
      <c r="F77" s="4" t="str">
        <f>IFERROR(__xludf.DUMMYFUNCTION("GOOGLETRANSLATE(O77, ""en"", ""bn"")"),"তরুণ প্রাপ্তবয়স্কদের")</f>
        <v>তরুণ প্রাপ্তবয়স্কদের</v>
      </c>
      <c r="G77" s="4" t="str">
        <f>IFERROR(__xludf.DUMMYFUNCTION("GOOGLETRANSLATE(P77, ""en"", ""bn"")"),"প্রাথমিক স্কুল-বয়সী")</f>
        <v>প্রাথমিক স্কুল-বয়সী</v>
      </c>
      <c r="H77" s="4" t="str">
        <f>IFERROR(__xludf.DUMMYFUNCTION("GOOGLETRANSLATE(Q77, ""en"", ""bn"")"),"ছবি4")</f>
        <v>ছবি4</v>
      </c>
      <c r="J77" s="5" t="str">
        <f>IFERROR(__xludf.DUMMYFUNCTION("GOOGLETRANSLATE(A77, ""bn"", ""en"")"),"76")</f>
        <v>76</v>
      </c>
      <c r="K77" s="16" t="s">
        <v>1503</v>
      </c>
      <c r="L77" s="16" t="s">
        <v>1373</v>
      </c>
      <c r="M77" s="16" t="s">
        <v>1374</v>
      </c>
      <c r="N77" s="16" t="s">
        <v>771</v>
      </c>
      <c r="O77" s="16" t="s">
        <v>772</v>
      </c>
      <c r="P77" s="16" t="s">
        <v>1374</v>
      </c>
      <c r="Q77" s="7" t="s">
        <v>46</v>
      </c>
    </row>
    <row r="78">
      <c r="A78" s="3">
        <v>77.0</v>
      </c>
      <c r="B78" s="4" t="str">
        <f>IFERROR(__xludf.DUMMYFUNCTION("GOOGLETRANSLATE(K78, ""en"", ""bn"")"),"বাম দিক থেকে দ্বিতীয় ছেলেটির অভিব্যক্তি কী?")</f>
        <v>বাম দিক থেকে দ্বিতীয় ছেলেটির অভিব্যক্তি কী?</v>
      </c>
      <c r="C78" s="4" t="str">
        <f>IFERROR(__xludf.DUMMYFUNCTION("GOOGLETRANSLATE(L78, ""en"", ""bn"")"),"ক্লান্ত")</f>
        <v>ক্লান্ত</v>
      </c>
      <c r="D78" s="4" t="str">
        <f>IFERROR(__xludf.DUMMYFUNCTION("GOOGLETRANSLATE(M78, ""en"", ""bn"")"),"সুখী এবং উদ্যমী")</f>
        <v>সুখী এবং উদ্যমী</v>
      </c>
      <c r="E78" s="4" t="str">
        <f>IFERROR(__xludf.DUMMYFUNCTION("GOOGLETRANSLATE(N78, ""en"", ""bn"")"),"দুঃখজনক")</f>
        <v>দুঃখজনক</v>
      </c>
      <c r="F78" s="4" t="str">
        <f>IFERROR(__xludf.DUMMYFUNCTION("GOOGLETRANSLATE(O78, ""en"", ""bn"")"),"বিভ্রান্ত")</f>
        <v>বিভ্রান্ত</v>
      </c>
      <c r="G78" s="4" t="str">
        <f>IFERROR(__xludf.DUMMYFUNCTION("GOOGLETRANSLATE(P78, ""en"", ""bn"")"),"সুখী এবং উদ্যমী")</f>
        <v>সুখী এবং উদ্যমী</v>
      </c>
      <c r="H78" s="4" t="str">
        <f>IFERROR(__xludf.DUMMYFUNCTION("GOOGLETRANSLATE(Q78, ""en"", ""bn"")"),"ছবি4")</f>
        <v>ছবি4</v>
      </c>
      <c r="J78" s="5" t="str">
        <f>IFERROR(__xludf.DUMMYFUNCTION("GOOGLETRANSLATE(A78, ""bn"", ""en"")"),"77")</f>
        <v>77</v>
      </c>
      <c r="K78" s="16" t="s">
        <v>1504</v>
      </c>
      <c r="L78" s="16" t="s">
        <v>1471</v>
      </c>
      <c r="M78" s="16" t="s">
        <v>1505</v>
      </c>
      <c r="N78" s="16" t="s">
        <v>1397</v>
      </c>
      <c r="O78" s="16" t="s">
        <v>746</v>
      </c>
      <c r="P78" s="16" t="s">
        <v>1505</v>
      </c>
      <c r="Q78" s="7" t="s">
        <v>46</v>
      </c>
    </row>
    <row r="79">
      <c r="A79" s="3">
        <v>78.0</v>
      </c>
      <c r="B79" s="4" t="str">
        <f>IFERROR(__xludf.DUMMYFUNCTION("GOOGLETRANSLATE(K79, ""en"", ""bn"")"),"ডানদিকে লাইনের শেষে ছেলেটির শার্টের রঙ কী?")</f>
        <v>ডানদিকে লাইনের শেষে ছেলেটির শার্টের রঙ কী?</v>
      </c>
      <c r="C79" s="4" t="str">
        <f>IFERROR(__xludf.DUMMYFUNCTION("GOOGLETRANSLATE(L79, ""en"", ""bn"")"),"লাল")</f>
        <v>লাল</v>
      </c>
      <c r="D79" s="4" t="str">
        <f>IFERROR(__xludf.DUMMYFUNCTION("GOOGLETRANSLATE(M79, ""en"", ""bn"")"),"কমলা")</f>
        <v>কমলা</v>
      </c>
      <c r="E79" s="4" t="str">
        <f>IFERROR(__xludf.DUMMYFUNCTION("GOOGLETRANSLATE(N79, ""en"", ""bn"")"),"সবুজ")</f>
        <v>সবুজ</v>
      </c>
      <c r="F79" s="4" t="str">
        <f>IFERROR(__xludf.DUMMYFUNCTION("GOOGLETRANSLATE(O79, ""en"", ""bn"")"),"নীল")</f>
        <v>নীল</v>
      </c>
      <c r="G79" s="4" t="str">
        <f>IFERROR(__xludf.DUMMYFUNCTION("GOOGLETRANSLATE(P79, ""en"", ""bn"")"),"কমলা")</f>
        <v>কমলা</v>
      </c>
      <c r="H79" s="4" t="str">
        <f>IFERROR(__xludf.DUMMYFUNCTION("GOOGLETRANSLATE(Q79, ""en"", ""bn"")"),"ছবি4")</f>
        <v>ছবি4</v>
      </c>
      <c r="J79" s="5" t="str">
        <f>IFERROR(__xludf.DUMMYFUNCTION("GOOGLETRANSLATE(A79, ""bn"", ""en"")"),"78")</f>
        <v>78</v>
      </c>
      <c r="K79" s="16" t="s">
        <v>1506</v>
      </c>
      <c r="L79" s="16" t="s">
        <v>275</v>
      </c>
      <c r="M79" s="16" t="s">
        <v>1266</v>
      </c>
      <c r="N79" s="16" t="s">
        <v>272</v>
      </c>
      <c r="O79" s="16" t="s">
        <v>274</v>
      </c>
      <c r="P79" s="16" t="s">
        <v>1266</v>
      </c>
      <c r="Q79" s="7" t="s">
        <v>46</v>
      </c>
    </row>
    <row r="80">
      <c r="A80" s="3">
        <v>79.0</v>
      </c>
      <c r="B80" s="4" t="str">
        <f>IFERROR(__xludf.DUMMYFUNCTION("GOOGLETRANSLATE(K80, ""en"", ""bn"")"),"এই মাঠে খেলার সবচেয়ে উল্লেখযোগ্য চ্যালেঞ্জ কি?")</f>
        <v>এই মাঠে খেলার সবচেয়ে উল্লেখযোগ্য চ্যালেঞ্জ কি?</v>
      </c>
      <c r="C80" s="4" t="str">
        <f>IFERROR(__xludf.DUMMYFUNCTION("GOOGLETRANSLATE(L80, ""en"", ""bn"")"),"সূর্যালোক")</f>
        <v>সূর্যালোক</v>
      </c>
      <c r="D80" s="4" t="str">
        <f>IFERROR(__xludf.DUMMYFUNCTION("GOOGLETRANSLATE(M80, ""en"", ""bn"")"),"কর্দমাক্ত মাটি")</f>
        <v>কর্দমাক্ত মাটি</v>
      </c>
      <c r="E80" s="4" t="str">
        <f>IFERROR(__xludf.DUMMYFUNCTION("GOOGLETRANSLATE(N80, ""en"", ""bn"")"),"বাতাস")</f>
        <v>বাতাস</v>
      </c>
      <c r="F80" s="4" t="str">
        <f>IFERROR(__xludf.DUMMYFUNCTION("GOOGLETRANSLATE(O80, ""en"", ""bn"")"),"ঠান্ডা")</f>
        <v>ঠান্ডা</v>
      </c>
      <c r="G80" s="4" t="str">
        <f>IFERROR(__xludf.DUMMYFUNCTION("GOOGLETRANSLATE(P80, ""en"", ""bn"")"),"কর্দমাক্ত মাটি")</f>
        <v>কর্দমাক্ত মাটি</v>
      </c>
      <c r="H80" s="4" t="str">
        <f>IFERROR(__xludf.DUMMYFUNCTION("GOOGLETRANSLATE(Q80, ""en"", ""bn"")"),"ছবি4")</f>
        <v>ছবি4</v>
      </c>
      <c r="J80" s="5" t="str">
        <f>IFERROR(__xludf.DUMMYFUNCTION("GOOGLETRANSLATE(A80, ""bn"", ""en"")"),"79")</f>
        <v>79</v>
      </c>
      <c r="K80" s="16" t="s">
        <v>1507</v>
      </c>
      <c r="L80" s="16" t="s">
        <v>1508</v>
      </c>
      <c r="M80" s="16" t="s">
        <v>1509</v>
      </c>
      <c r="N80" s="16" t="s">
        <v>1510</v>
      </c>
      <c r="O80" s="16" t="s">
        <v>1511</v>
      </c>
      <c r="P80" s="16" t="s">
        <v>1509</v>
      </c>
      <c r="Q80" s="7" t="s">
        <v>46</v>
      </c>
    </row>
    <row r="81">
      <c r="A81" s="3">
        <v>80.0</v>
      </c>
      <c r="B81" s="4" t="str">
        <f>IFERROR(__xludf.DUMMYFUNCTION("GOOGLETRANSLATE(K81, ""en"", ""bn"")"),"বাচ্চাদের পোশাকের সামগ্রিক অবস্থাকে আপনি কীভাবে বর্ণনা করবেন?")</f>
        <v>বাচ্চাদের পোশাকের সামগ্রিক অবস্থাকে আপনি কীভাবে বর্ণনা করবেন?</v>
      </c>
      <c r="C81" s="4" t="str">
        <f>IFERROR(__xludf.DUMMYFUNCTION("GOOGLETRANSLATE(L81, ""en"", ""bn"")"),"পরিষ্কার-পরিচ্ছন্ন")</f>
        <v>পরিষ্কার-পরিচ্ছন্ন</v>
      </c>
      <c r="D81" s="4" t="str">
        <f>IFERROR(__xludf.DUMMYFUNCTION("GOOGLETRANSLATE(M81, ""en"", ""bn"")"),"নতুন এবং প্রাণবন্ত")</f>
        <v>নতুন এবং প্রাণবন্ত</v>
      </c>
      <c r="E81" s="4" t="str">
        <f>IFERROR(__xludf.DUMMYFUNCTION("GOOGLETRANSLATE(N81, ""en"", ""bn"")"),"জীর্ণ ও নোংরা")</f>
        <v>জীর্ণ ও নোংরা</v>
      </c>
      <c r="F81" s="4" t="str">
        <f>IFERROR(__xludf.DUMMYFUNCTION("GOOGLETRANSLATE(O81, ""en"", ""bn"")"),"পুরানো কিন্তু ভাল রাখা")</f>
        <v>পুরানো কিন্তু ভাল রাখা</v>
      </c>
      <c r="G81" s="4" t="str">
        <f>IFERROR(__xludf.DUMMYFUNCTION("GOOGLETRANSLATE(P81, ""en"", ""bn"")"),"জীর্ণ ও নোংরা")</f>
        <v>জীর্ণ ও নোংরা</v>
      </c>
      <c r="H81" s="4" t="str">
        <f>IFERROR(__xludf.DUMMYFUNCTION("GOOGLETRANSLATE(Q81, ""en"", ""bn"")"),"ছবি4")</f>
        <v>ছবি4</v>
      </c>
      <c r="J81" s="5" t="str">
        <f>IFERROR(__xludf.DUMMYFUNCTION("GOOGLETRANSLATE(A81, ""bn"", ""en"")"),"80")</f>
        <v>80</v>
      </c>
      <c r="K81" s="16" t="s">
        <v>1512</v>
      </c>
      <c r="L81" s="16" t="s">
        <v>1513</v>
      </c>
      <c r="M81" s="16" t="s">
        <v>1514</v>
      </c>
      <c r="N81" s="16" t="s">
        <v>1515</v>
      </c>
      <c r="O81" s="16" t="s">
        <v>1516</v>
      </c>
      <c r="P81" s="16" t="s">
        <v>1515</v>
      </c>
      <c r="Q81" s="7" t="s">
        <v>46</v>
      </c>
    </row>
    <row r="82">
      <c r="A82" s="3">
        <v>81.0</v>
      </c>
      <c r="B82" s="4" t="str">
        <f>IFERROR(__xludf.DUMMYFUNCTION("GOOGLETRANSLATE(K82, ""en"", ""bn"")"),"বাচ্চারা খেলার সেটিং কি?")</f>
        <v>বাচ্চারা খেলার সেটিং কি?</v>
      </c>
      <c r="C82" s="4" t="str">
        <f>IFERROR(__xludf.DUMMYFUNCTION("GOOGLETRANSLATE(L82, ""en"", ""bn"")"),"পাকা রাস্তা।")</f>
        <v>পাকা রাস্তা।</v>
      </c>
      <c r="D82" s="4" t="str">
        <f>IFERROR(__xludf.DUMMYFUNCTION("GOOGLETRANSLATE(M82, ""en"", ""bn"")"),"কর্দমাক্ত মাঠ")</f>
        <v>কর্দমাক্ত মাঠ</v>
      </c>
      <c r="E82" s="4" t="str">
        <f>IFERROR(__xludf.DUMMYFUNCTION("GOOGLETRANSLATE(N82, ""en"", ""bn"")"),"কাটা ফসলের মাঠ")</f>
        <v>কাটা ফসলের মাঠ</v>
      </c>
      <c r="F82" s="4" t="str">
        <f>IFERROR(__xludf.DUMMYFUNCTION("GOOGLETRANSLATE(O82, ""en"", ""bn"")"),"একটি স্কুলের উঠোন")</f>
        <v>একটি স্কুলের উঠোন</v>
      </c>
      <c r="G82" s="4" t="str">
        <f>IFERROR(__xludf.DUMMYFUNCTION("GOOGLETRANSLATE(P82, ""en"", ""bn"")"),"কাটা ফসলের মাঠ")</f>
        <v>কাটা ফসলের মাঠ</v>
      </c>
      <c r="H82" s="4" t="str">
        <f>IFERROR(__xludf.DUMMYFUNCTION("GOOGLETRANSLATE(Q82, ""en"", ""bn"")"),"ছবি ৫")</f>
        <v>ছবি ৫</v>
      </c>
      <c r="J82" s="5" t="str">
        <f>IFERROR(__xludf.DUMMYFUNCTION("GOOGLETRANSLATE(A82, ""bn"", ""en"")"),"81")</f>
        <v>81</v>
      </c>
      <c r="K82" s="16" t="s">
        <v>1517</v>
      </c>
      <c r="L82" s="16" t="s">
        <v>1489</v>
      </c>
      <c r="M82" s="16" t="s">
        <v>1490</v>
      </c>
      <c r="N82" s="16" t="s">
        <v>1518</v>
      </c>
      <c r="O82" s="16" t="s">
        <v>1519</v>
      </c>
      <c r="P82" s="16" t="s">
        <v>1518</v>
      </c>
      <c r="Q82" s="7" t="s">
        <v>57</v>
      </c>
    </row>
    <row r="83">
      <c r="A83" s="3">
        <v>82.0</v>
      </c>
      <c r="B83" s="4" t="str">
        <f>IFERROR(__xludf.DUMMYFUNCTION("GOOGLETRANSLATE(K83, ""en"", ""bn"")"),"লেখাটিতে উল্লিখিত বইটির মূল উদ্দেশ্য কী?")</f>
        <v>লেখাটিতে উল্লিখিত বইটির মূল উদ্দেশ্য কী?</v>
      </c>
      <c r="C83" s="4" t="str">
        <f>IFERROR(__xludf.DUMMYFUNCTION("GOOGLETRANSLATE(L83, ""en"", ""bn"")"),"ঐতিহ্যবাহী খেলা বিক্রি করতে")</f>
        <v>ঐতিহ্যবাহী খেলা বিক্রি করতে</v>
      </c>
      <c r="D83" s="4" t="str">
        <f>IFERROR(__xludf.DUMMYFUNCTION("GOOGLETRANSLATE(M83, ""en"", ""bn"")"),"ঐতিহ্যবাহী খেলাগুলি নথিভুক্ত করার জন্য")</f>
        <v>ঐতিহ্যবাহী খেলাগুলি নথিভুক্ত করার জন্য</v>
      </c>
      <c r="E83" s="4" t="str">
        <f>IFERROR(__xludf.DUMMYFUNCTION("GOOGLETRANSLATE(N83, ""en"", ""bn"")"),"ইংরেজি শেখানোর জন্য")</f>
        <v>ইংরেজি শেখানোর জন্য</v>
      </c>
      <c r="F83" s="4" t="str">
        <f>IFERROR(__xludf.DUMMYFUNCTION("GOOGLETRANSLATE(O83, ""en"", ""bn"")"),"পর্যটন প্রচারের জন্য")</f>
        <v>পর্যটন প্রচারের জন্য</v>
      </c>
      <c r="G83" s="4" t="str">
        <f>IFERROR(__xludf.DUMMYFUNCTION("GOOGLETRANSLATE(P83, ""en"", ""bn"")"),"ঐতিহ্যবাহী খেলাগুলি নথিভুক্ত করার জন্য")</f>
        <v>ঐতিহ্যবাহী খেলাগুলি নথিভুক্ত করার জন্য</v>
      </c>
      <c r="H83" s="4" t="str">
        <f>IFERROR(__xludf.DUMMYFUNCTION("GOOGLETRANSLATE(Q83, ""en"", ""bn"")"),"ছবি ৫")</f>
        <v>ছবি ৫</v>
      </c>
      <c r="J83" s="5" t="str">
        <f>IFERROR(__xludf.DUMMYFUNCTION("GOOGLETRANSLATE(A83, ""bn"", ""en"")"),"82")</f>
        <v>82</v>
      </c>
      <c r="K83" s="16" t="s">
        <v>1520</v>
      </c>
      <c r="L83" s="16" t="s">
        <v>1521</v>
      </c>
      <c r="M83" s="16" t="s">
        <v>1522</v>
      </c>
      <c r="N83" s="16" t="s">
        <v>1523</v>
      </c>
      <c r="O83" s="16" t="s">
        <v>1524</v>
      </c>
      <c r="P83" s="16" t="s">
        <v>1522</v>
      </c>
      <c r="Q83" s="7" t="s">
        <v>57</v>
      </c>
    </row>
    <row r="84">
      <c r="A84" s="3">
        <v>83.0</v>
      </c>
      <c r="B84" s="4" t="str">
        <f>IFERROR(__xludf.DUMMYFUNCTION("GOOGLETRANSLATE(K84, ""en"", ""bn"")"),"মূল গ্রুপ অ্যাকশনে কতজন শিশু অংশগ্রহণ করছে?")</f>
        <v>মূল গ্রুপ অ্যাকশনে কতজন শিশু অংশগ্রহণ করছে?</v>
      </c>
      <c r="C84" s="4" t="str">
        <f>IFERROR(__xludf.DUMMYFUNCTION("GOOGLETRANSLATE(L84, ""en"", ""bn"")"),"৫")</f>
        <v>৫</v>
      </c>
      <c r="D84" s="4" t="str">
        <f>IFERROR(__xludf.DUMMYFUNCTION("GOOGLETRANSLATE(M84, ""en"", ""bn"")"),"6")</f>
        <v>6</v>
      </c>
      <c r="E84" s="4" t="str">
        <f>IFERROR(__xludf.DUMMYFUNCTION("GOOGLETRANSLATE(N84, ""en"", ""bn"")"),"৭")</f>
        <v>৭</v>
      </c>
      <c r="F84" s="4" t="str">
        <f>IFERROR(__xludf.DUMMYFUNCTION("GOOGLETRANSLATE(O84, ""en"", ""bn"")"),"8")</f>
        <v>8</v>
      </c>
      <c r="G84" s="4" t="str">
        <f>IFERROR(__xludf.DUMMYFUNCTION("GOOGLETRANSLATE(P84, ""en"", ""bn"")"),"8")</f>
        <v>8</v>
      </c>
      <c r="H84" s="4" t="str">
        <f>IFERROR(__xludf.DUMMYFUNCTION("GOOGLETRANSLATE(Q84, ""en"", ""bn"")"),"ছবি ৫")</f>
        <v>ছবি ৫</v>
      </c>
      <c r="J84" s="5" t="str">
        <f>IFERROR(__xludf.DUMMYFUNCTION("GOOGLETRANSLATE(A84, ""bn"", ""en"")"),"83")</f>
        <v>83</v>
      </c>
      <c r="K84" s="16" t="s">
        <v>1525</v>
      </c>
      <c r="L84" s="16">
        <v>5.0</v>
      </c>
      <c r="M84" s="16">
        <v>6.0</v>
      </c>
      <c r="N84" s="16">
        <v>7.0</v>
      </c>
      <c r="O84" s="16">
        <v>8.0</v>
      </c>
      <c r="P84" s="16">
        <v>8.0</v>
      </c>
      <c r="Q84" s="7" t="s">
        <v>57</v>
      </c>
    </row>
    <row r="85">
      <c r="A85" s="3">
        <v>84.0</v>
      </c>
      <c r="B85" s="4" t="str">
        <f>IFERROR(__xludf.DUMMYFUNCTION("GOOGLETRANSLATE(K85, ""en"", ""bn"")"),"লেখাটি অনুসারে, কোন আন্তর্জাতিক সংস্থা এই প্রকল্পে সহযোগিতা করছে?")</f>
        <v>লেখাটি অনুসারে, কোন আন্তর্জাতিক সংস্থা এই প্রকল্পে সহযোগিতা করছে?</v>
      </c>
      <c r="C85" s="4" t="str">
        <f>IFERROR(__xludf.DUMMYFUNCTION("GOOGLETRANSLATE(L85, ""en"", ""bn"")"),"ইউনেস্কো")</f>
        <v>ইউনেস্কো</v>
      </c>
      <c r="D85" s="4" t="str">
        <f>IFERROR(__xludf.DUMMYFUNCTION("GOOGLETRANSLATE(M85, ""en"", ""bn"")"),"ইউনিসেফ")</f>
        <v>ইউনিসেফ</v>
      </c>
      <c r="E85" s="4" t="str">
        <f>IFERROR(__xludf.DUMMYFUNCTION("GOOGLETRANSLATE(N85, ""en"", ""bn"")"),"WHO")</f>
        <v>WHO</v>
      </c>
      <c r="F85" s="4" t="str">
        <f>IFERROR(__xludf.DUMMYFUNCTION("GOOGLETRANSLATE(O85, ""en"", ""bn"")"),"WWF")</f>
        <v>WWF</v>
      </c>
      <c r="G85" s="4" t="str">
        <f>IFERROR(__xludf.DUMMYFUNCTION("GOOGLETRANSLATE(P85, ""en"", ""bn"")"),"ইউনেস্কো")</f>
        <v>ইউনেস্কো</v>
      </c>
      <c r="H85" s="4" t="str">
        <f>IFERROR(__xludf.DUMMYFUNCTION("GOOGLETRANSLATE(Q85, ""en"", ""bn"")"),"ছবি ৫")</f>
        <v>ছবি ৫</v>
      </c>
      <c r="J85" s="5" t="str">
        <f>IFERROR(__xludf.DUMMYFUNCTION("GOOGLETRANSLATE(A85, ""bn"", ""en"")"),"84")</f>
        <v>84</v>
      </c>
      <c r="K85" s="16" t="s">
        <v>1526</v>
      </c>
      <c r="L85" s="16" t="s">
        <v>1527</v>
      </c>
      <c r="M85" s="16" t="s">
        <v>1528</v>
      </c>
      <c r="N85" s="16" t="s">
        <v>1529</v>
      </c>
      <c r="O85" s="16" t="s">
        <v>1530</v>
      </c>
      <c r="P85" s="16" t="s">
        <v>1527</v>
      </c>
      <c r="Q85" s="7" t="s">
        <v>57</v>
      </c>
    </row>
    <row r="86">
      <c r="A86" s="3">
        <v>85.0</v>
      </c>
      <c r="B86" s="4" t="str">
        <f>IFERROR(__xludf.DUMMYFUNCTION("GOOGLETRANSLATE(K86, ""en"", ""bn"")"),"বইটি কী প্রতিষ্ঠা করার লক্ষ্য রাখে?")</f>
        <v>বইটি কী প্রতিষ্ঠা করার লক্ষ্য রাখে?</v>
      </c>
      <c r="C86" s="4" t="str">
        <f>IFERROR(__xludf.DUMMYFUNCTION("GOOGLETRANSLATE(L86, ""en"", ""bn"")"),"একটি নতুন গেম লিগ")</f>
        <v>একটি নতুন গেম লিগ</v>
      </c>
      <c r="D86" s="4" t="str">
        <f>IFERROR(__xludf.DUMMYFUNCTION("GOOGLETRANSLATE(M86, ""en"", ""bn"")"),"একটি অনলাইন ডিজিটাল লাইব্রেরি")</f>
        <v>একটি অনলাইন ডিজিটাল লাইব্রেরি</v>
      </c>
      <c r="E86" s="4" t="str">
        <f>IFERROR(__xludf.DUMMYFUNCTION("GOOGLETRANSLATE(N86, ""en"", ""bn"")"),"একটি টেলিভিশন অনুষ্ঠান")</f>
        <v>একটি টেলিভিশন অনুষ্ঠান</v>
      </c>
      <c r="F86" s="4" t="str">
        <f>IFERROR(__xludf.DUMMYFUNCTION("GOOGLETRANSLATE(O86, ""en"", ""bn"")"),"একটি জাদুঘর")</f>
        <v>একটি জাদুঘর</v>
      </c>
      <c r="G86" s="4" t="str">
        <f>IFERROR(__xludf.DUMMYFUNCTION("GOOGLETRANSLATE(P86, ""en"", ""bn"")"),"একটি অনলাইন ডিজিটাল লাইব্রেরি")</f>
        <v>একটি অনলাইন ডিজিটাল লাইব্রেরি</v>
      </c>
      <c r="H86" s="4" t="str">
        <f>IFERROR(__xludf.DUMMYFUNCTION("GOOGLETRANSLATE(Q86, ""en"", ""bn"")"),"ছবি ৫")</f>
        <v>ছবি ৫</v>
      </c>
      <c r="J86" s="5" t="str">
        <f>IFERROR(__xludf.DUMMYFUNCTION("GOOGLETRANSLATE(A86, ""bn"", ""en"")"),"85")</f>
        <v>85</v>
      </c>
      <c r="K86" s="16" t="s">
        <v>1531</v>
      </c>
      <c r="L86" s="16" t="s">
        <v>1532</v>
      </c>
      <c r="M86" s="16" t="s">
        <v>1533</v>
      </c>
      <c r="N86" s="16" t="s">
        <v>1534</v>
      </c>
      <c r="O86" s="16" t="s">
        <v>1535</v>
      </c>
      <c r="P86" s="16" t="s">
        <v>1533</v>
      </c>
      <c r="Q86" s="7" t="s">
        <v>57</v>
      </c>
    </row>
    <row r="87">
      <c r="A87" s="3">
        <v>86.0</v>
      </c>
      <c r="B87" s="4" t="str">
        <f>IFERROR(__xludf.DUMMYFUNCTION("GOOGLETRANSLATE(K87, ""en"", ""bn"")"),"বইয়ের প্রচ্ছদে থাকা ছবির সামগ্রিক মেজাজ বা পরিবেশ কেমন?")</f>
        <v>বইয়ের প্রচ্ছদে থাকা ছবির সামগ্রিক মেজাজ বা পরিবেশ কেমন?</v>
      </c>
      <c r="C87" s="4" t="str">
        <f>IFERROR(__xludf.DUMMYFUNCTION("GOOGLETRANSLATE(L87, ""en"", ""bn"")"),"সোম্বার")</f>
        <v>সোম্বার</v>
      </c>
      <c r="D87" s="4" t="str">
        <f>IFERROR(__xludf.DUMMYFUNCTION("GOOGLETRANSLATE(M87, ""en"", ""bn"")"),"উদ্যমী এবং আনন্দদায়ক")</f>
        <v>উদ্যমী এবং আনন্দদায়ক</v>
      </c>
      <c r="E87" s="4" t="str">
        <f>IFERROR(__xludf.DUMMYFUNCTION("GOOGLETRANSLATE(N87, ""en"", ""bn"")"),"বিভ্রান্ত")</f>
        <v>বিভ্রান্ত</v>
      </c>
      <c r="F87" s="4" t="str">
        <f>IFERROR(__xludf.DUMMYFUNCTION("GOOGLETRANSLATE(O87, ""en"", ""bn"")"),"শান্ত এবং স্বাচ্ছন্দ্যময়")</f>
        <v>শান্ত এবং স্বাচ্ছন্দ্যময়</v>
      </c>
      <c r="G87" s="4" t="str">
        <f>IFERROR(__xludf.DUMMYFUNCTION("GOOGLETRANSLATE(P87, ""en"", ""bn"")"),"উদ্যমী এবং আনন্দদায়ক")</f>
        <v>উদ্যমী এবং আনন্দদায়ক</v>
      </c>
      <c r="H87" s="4" t="str">
        <f>IFERROR(__xludf.DUMMYFUNCTION("GOOGLETRANSLATE(Q87, ""en"", ""bn"")"),"ছবি ৫")</f>
        <v>ছবি ৫</v>
      </c>
      <c r="J87" s="5" t="str">
        <f>IFERROR(__xludf.DUMMYFUNCTION("GOOGLETRANSLATE(A87, ""bn"", ""en"")"),"86")</f>
        <v>86</v>
      </c>
      <c r="K87" s="16" t="s">
        <v>1536</v>
      </c>
      <c r="L87" s="16" t="s">
        <v>1537</v>
      </c>
      <c r="M87" s="16" t="s">
        <v>1538</v>
      </c>
      <c r="N87" s="16" t="s">
        <v>746</v>
      </c>
      <c r="O87" s="16" t="s">
        <v>1464</v>
      </c>
      <c r="P87" s="16" t="s">
        <v>1538</v>
      </c>
      <c r="Q87" s="7" t="s">
        <v>57</v>
      </c>
    </row>
    <row r="88">
      <c r="A88" s="3">
        <v>87.0</v>
      </c>
      <c r="B88" s="4" t="str">
        <f>IFERROR(__xludf.DUMMYFUNCTION("GOOGLETRANSLATE(K88, ""en"", ""bn"")"),"বড় হাসিওয়ালা মেয়েটির পোশাকের প্রধান রঙ কী?")</f>
        <v>বড় হাসিওয়ালা মেয়েটির পোশাকের প্রধান রঙ কী?</v>
      </c>
      <c r="C88" s="4" t="str">
        <f>IFERROR(__xludf.DUMMYFUNCTION("GOOGLETRANSLATE(L88, ""en"", ""bn"")"),"সবুজ")</f>
        <v>সবুজ</v>
      </c>
      <c r="D88" s="4" t="str">
        <f>IFERROR(__xludf.DUMMYFUNCTION("GOOGLETRANSLATE(M88, ""en"", ""bn"")"),"গোলাপি")</f>
        <v>গোলাপি</v>
      </c>
      <c r="E88" s="4" t="str">
        <f>IFERROR(__xludf.DUMMYFUNCTION("GOOGLETRANSLATE(N88, ""en"", ""bn"")"),"নীল")</f>
        <v>নীল</v>
      </c>
      <c r="F88" s="4" t="str">
        <f>IFERROR(__xludf.DUMMYFUNCTION("GOOGLETRANSLATE(O88, ""en"", ""bn"")"),"সাদা")</f>
        <v>সাদা</v>
      </c>
      <c r="G88" s="4" t="str">
        <f>IFERROR(__xludf.DUMMYFUNCTION("GOOGLETRANSLATE(P88, ""en"", ""bn"")"),"গোলাপি")</f>
        <v>গোলাপি</v>
      </c>
      <c r="H88" s="4" t="str">
        <f>IFERROR(__xludf.DUMMYFUNCTION("GOOGLETRANSLATE(Q88, ""en"", ""bn"")"),"ছবি ৫")</f>
        <v>ছবি ৫</v>
      </c>
      <c r="J88" s="5" t="str">
        <f>IFERROR(__xludf.DUMMYFUNCTION("GOOGLETRANSLATE(A88, ""bn"", ""en"")"),"87")</f>
        <v>87</v>
      </c>
      <c r="K88" s="16" t="s">
        <v>1539</v>
      </c>
      <c r="L88" s="16" t="s">
        <v>272</v>
      </c>
      <c r="M88" s="16" t="s">
        <v>1540</v>
      </c>
      <c r="N88" s="16" t="s">
        <v>274</v>
      </c>
      <c r="O88" s="16" t="s">
        <v>273</v>
      </c>
      <c r="P88" s="16" t="s">
        <v>1540</v>
      </c>
      <c r="Q88" s="7" t="s">
        <v>57</v>
      </c>
    </row>
    <row r="89">
      <c r="A89" s="3">
        <v>88.0</v>
      </c>
      <c r="B89" s="4" t="str">
        <f>IFERROR(__xludf.DUMMYFUNCTION("GOOGLETRANSLATE(K89, ""en"", ""bn"")"),"বইয়ের শিরোনামকে ইংরেজিতে কী বলে?")</f>
        <v>বইয়ের শিরোনামকে ইংরেজিতে কী বলে?</v>
      </c>
      <c r="C89" s="4" t="str">
        <f>IFERROR(__xludf.DUMMYFUNCTION("GOOGLETRANSLATE(L89, ""en"", ""bn"")"),"বাংলাদেশের ঐতিহ্যবাহী খেলাধুলা")</f>
        <v>বাংলাদেশের ঐতিহ্যবাহী খেলাধুলা</v>
      </c>
      <c r="D89" s="4" t="str">
        <f>IFERROR(__xludf.DUMMYFUNCTION("GOOGLETRANSLATE(M89, ""en"", ""bn"")"),"বাংলাদেশের ঐতিহ্যবাহী খেলা")</f>
        <v>বাংলাদেশের ঐতিহ্যবাহী খেলা</v>
      </c>
      <c r="E89" s="4" t="str">
        <f>IFERROR(__xludf.DUMMYFUNCTION("GOOGLETRANSLATE(N89, ""en"", ""bn"")"),"বাংলাদেশের খেলা ও খেলাধুলা")</f>
        <v>বাংলাদেশের খেলা ও খেলাধুলা</v>
      </c>
      <c r="F89" s="4" t="str">
        <f>IFERROR(__xludf.DUMMYFUNCTION("GOOGLETRANSLATE(O89, ""en"", ""bn"")"),"বাংলাদেশের ঐতিহ্যবাহী সংস্কৃতি")</f>
        <v>বাংলাদেশের ঐতিহ্যবাহী সংস্কৃতি</v>
      </c>
      <c r="G89" s="4" t="str">
        <f>IFERROR(__xludf.DUMMYFUNCTION("GOOGLETRANSLATE(P89, ""en"", ""bn"")"),"বাংলাদেশের ঐতিহ্যবাহী খেলা")</f>
        <v>বাংলাদেশের ঐতিহ্যবাহী খেলা</v>
      </c>
      <c r="H89" s="4" t="str">
        <f>IFERROR(__xludf.DUMMYFUNCTION("GOOGLETRANSLATE(Q89, ""en"", ""bn"")"),"ছবি ৫")</f>
        <v>ছবি ৫</v>
      </c>
      <c r="J89" s="5" t="str">
        <f>IFERROR(__xludf.DUMMYFUNCTION("GOOGLETRANSLATE(A89, ""bn"", ""en"")"),"88")</f>
        <v>88</v>
      </c>
      <c r="K89" s="16" t="s">
        <v>1541</v>
      </c>
      <c r="L89" s="16" t="s">
        <v>1542</v>
      </c>
      <c r="M89" s="16" t="s">
        <v>1543</v>
      </c>
      <c r="N89" s="16" t="s">
        <v>1544</v>
      </c>
      <c r="O89" s="16" t="s">
        <v>1545</v>
      </c>
      <c r="P89" s="16" t="s">
        <v>1543</v>
      </c>
      <c r="Q89" s="7" t="s">
        <v>57</v>
      </c>
    </row>
    <row r="90">
      <c r="A90" s="3">
        <v>89.0</v>
      </c>
      <c r="B90" s="4" t="str">
        <f>IFERROR(__xludf.DUMMYFUNCTION("GOOGLETRANSLATE(K90, ""en"", ""bn"")"),"বাংলাদেশ কোন ধরনের ঐতিহ্য নিয়ে গর্বিত, যেমনটি লেখায় উল্লেখ করা হয়েছে?")</f>
        <v>বাংলাদেশ কোন ধরনের ঐতিহ্য নিয়ে গর্বিত, যেমনটি লেখায় উল্লেখ করা হয়েছে?</v>
      </c>
      <c r="C90" s="4" t="str">
        <f>IFERROR(__xludf.DUMMYFUNCTION("GOOGLETRANSLATE(L90, ""en"", ""bn"")"),"বাস্তব এবং অধরা সংস্কৃতি")</f>
        <v>বাস্তব এবং অধরা সংস্কৃতি</v>
      </c>
      <c r="D90" s="4" t="str">
        <f>IFERROR(__xludf.DUMMYFUNCTION("GOOGLETRANSLATE(M90, ""en"", ""bn"")"),"শুধুমাত্র অধরা সংস্কৃতি")</f>
        <v>শুধুমাত্র অধরা সংস্কৃতি</v>
      </c>
      <c r="E90" s="4" t="str">
        <f>IFERROR(__xludf.DUMMYFUNCTION("GOOGLETRANSLATE(N90, ""en"", ""bn"")"),"শুধুমাত্র বাস্তব সংস্কৃতি")</f>
        <v>শুধুমাত্র বাস্তব সংস্কৃতি</v>
      </c>
      <c r="F90" s="4" t="str">
        <f>IFERROR(__xludf.DUMMYFUNCTION("GOOGLETRANSLATE(O90, ""en"", ""bn"")"),"আধুনিক সংস্কৃতি")</f>
        <v>আধুনিক সংস্কৃতি</v>
      </c>
      <c r="G90" s="4" t="str">
        <f>IFERROR(__xludf.DUMMYFUNCTION("GOOGLETRANSLATE(P90, ""en"", ""bn"")"),"বাস্তব এবং অধরা সংস্কৃতি")</f>
        <v>বাস্তব এবং অধরা সংস্কৃতি</v>
      </c>
      <c r="H90" s="4" t="str">
        <f>IFERROR(__xludf.DUMMYFUNCTION("GOOGLETRANSLATE(Q90, ""en"", ""bn"")"),"ছবি ৫")</f>
        <v>ছবি ৫</v>
      </c>
      <c r="J90" s="5" t="str">
        <f>IFERROR(__xludf.DUMMYFUNCTION("GOOGLETRANSLATE(A90, ""bn"", ""en"")"),"89")</f>
        <v>89</v>
      </c>
      <c r="K90" s="16" t="s">
        <v>1546</v>
      </c>
      <c r="L90" s="16" t="s">
        <v>1547</v>
      </c>
      <c r="M90" s="16" t="s">
        <v>1548</v>
      </c>
      <c r="N90" s="16" t="s">
        <v>1549</v>
      </c>
      <c r="O90" s="16" t="s">
        <v>1550</v>
      </c>
      <c r="P90" s="16" t="s">
        <v>1547</v>
      </c>
      <c r="Q90" s="7" t="s">
        <v>57</v>
      </c>
    </row>
    <row r="91">
      <c r="A91" s="3">
        <v>90.0</v>
      </c>
      <c r="B91" s="4" t="str">
        <f>IFERROR(__xludf.DUMMYFUNCTION("GOOGLETRANSLATE(K91, ""en"", ""bn"")"),"নিচের কোনটি বইটিতে অন্বেষণ করা খেলা হিসেবে তালিকাভুক্ত নয়?")</f>
        <v>নিচের কোনটি বইটিতে অন্বেষণ করা খেলা হিসেবে তালিকাভুক্ত নয়?</v>
      </c>
      <c r="C91" s="4" t="str">
        <f>IFERROR(__xludf.DUMMYFUNCTION("GOOGLETRANSLATE(L91, ""en"", ""bn"")"),"লাঠি খেলা")</f>
        <v>লাঠি খেলা</v>
      </c>
      <c r="D91" s="4" t="str">
        <f>IFERROR(__xludf.DUMMYFUNCTION("GOOGLETRANSLATE(M91, ""en"", ""bn"")"),"বাউ-বান্ধা")</f>
        <v>বাউ-বান্ধা</v>
      </c>
      <c r="E91" s="4" t="str">
        <f>IFERROR(__xludf.DUMMYFUNCTION("GOOGLETRANSLATE(N91, ""en"", ""bn"")"),"ক্রিকেট")</f>
        <v>ক্রিকেট</v>
      </c>
      <c r="F91" s="4" t="str">
        <f>IFERROR(__xludf.DUMMYFUNCTION("GOOGLETRANSLATE(O91, ""en"", ""bn"")"),"গোল্লা ছুট")</f>
        <v>গোল্লা ছুট</v>
      </c>
      <c r="G91" s="4" t="str">
        <f>IFERROR(__xludf.DUMMYFUNCTION("GOOGLETRANSLATE(P91, ""en"", ""bn"")"),"ক্রিকেট")</f>
        <v>ক্রিকেট</v>
      </c>
      <c r="H91" s="4" t="str">
        <f>IFERROR(__xludf.DUMMYFUNCTION("GOOGLETRANSLATE(Q91, ""en"", ""bn"")"),"ছবি ৫")</f>
        <v>ছবি ৫</v>
      </c>
      <c r="J91" s="5" t="str">
        <f>IFERROR(__xludf.DUMMYFUNCTION("GOOGLETRANSLATE(A91, ""bn"", ""en"")"),"90")</f>
        <v>90</v>
      </c>
      <c r="K91" s="16" t="s">
        <v>1551</v>
      </c>
      <c r="L91" s="16" t="s">
        <v>758</v>
      </c>
      <c r="M91" s="16" t="s">
        <v>1552</v>
      </c>
      <c r="N91" s="16" t="s">
        <v>1553</v>
      </c>
      <c r="O91" s="16" t="s">
        <v>1554</v>
      </c>
      <c r="P91" s="16" t="s">
        <v>1553</v>
      </c>
      <c r="Q91" s="7" t="s">
        <v>57</v>
      </c>
    </row>
    <row r="92">
      <c r="A92" s="3">
        <v>91.0</v>
      </c>
      <c r="B92" s="4" t="str">
        <f>IFERROR(__xludf.DUMMYFUNCTION("GOOGLETRANSLATE(K92, ""en"", ""bn"")"),"খেলোয়াড়রা কোন খেলায় নিযুক্ত?")</f>
        <v>খেলোয়াড়রা কোন খেলায় নিযুক্ত?</v>
      </c>
      <c r="C92" s="4" t="str">
        <f>IFERROR(__xludf.DUMMYFUNCTION("GOOGLETRANSLATE(L92, ""en"", ""bn"")"),"রাগবি")</f>
        <v>রাগবি</v>
      </c>
      <c r="D92" s="4" t="str">
        <f>IFERROR(__xludf.DUMMYFUNCTION("GOOGLETRANSLATE(M92, ""en"", ""bn"")"),"ক্রিকেট")</f>
        <v>ক্রিকেট</v>
      </c>
      <c r="E92" s="4" t="str">
        <f>IFERROR(__xludf.DUMMYFUNCTION("GOOGLETRANSLATE(N92, ""en"", ""bn"")"),"ভলিবল")</f>
        <v>ভলিবল</v>
      </c>
      <c r="F92" s="4" t="str">
        <f>IFERROR(__xludf.DUMMYFUNCTION("GOOGLETRANSLATE(O92, ""en"", ""bn"")"),"ফুটবল (ফুটবল)")</f>
        <v>ফুটবল (ফুটবল)</v>
      </c>
      <c r="G92" s="4" t="str">
        <f>IFERROR(__xludf.DUMMYFUNCTION("GOOGLETRANSLATE(P92, ""en"", ""bn"")"),"ফুটবল (ফুটবল)")</f>
        <v>ফুটবল (ফুটবল)</v>
      </c>
      <c r="H92" s="4" t="str">
        <f>IFERROR(__xludf.DUMMYFUNCTION("GOOGLETRANSLATE(Q92, ""en"", ""bn"")"),"ছবি৬")</f>
        <v>ছবি৬</v>
      </c>
      <c r="J92" s="5" t="str">
        <f>IFERROR(__xludf.DUMMYFUNCTION("GOOGLETRANSLATE(A92, ""bn"", ""en"")"),"91")</f>
        <v>91</v>
      </c>
      <c r="K92" s="6" t="s">
        <v>1555</v>
      </c>
      <c r="L92" s="6" t="s">
        <v>1556</v>
      </c>
      <c r="M92" s="6" t="s">
        <v>1553</v>
      </c>
      <c r="N92" s="6" t="s">
        <v>1557</v>
      </c>
      <c r="O92" s="6" t="s">
        <v>1558</v>
      </c>
      <c r="P92" s="6" t="s">
        <v>1558</v>
      </c>
      <c r="Q92" s="7" t="s">
        <v>68</v>
      </c>
    </row>
    <row r="93">
      <c r="A93" s="3">
        <v>92.0</v>
      </c>
      <c r="B93" s="4" t="str">
        <f>IFERROR(__xludf.DUMMYFUNCTION("GOOGLETRANSLATE(K93, ""en"", ""bn"")"),"খেলোয়াড়দের পা সম্পর্কে একটি উল্লেখযোগ্য বিবরণ কি?")</f>
        <v>খেলোয়াড়দের পা সম্পর্কে একটি উল্লেখযোগ্য বিবরণ কি?</v>
      </c>
      <c r="C93" s="4" t="str">
        <f>IFERROR(__xludf.DUMMYFUNCTION("GOOGLETRANSLATE(L93, ""en"", ""bn"")"),"তারা ক্লিট পরে আছে")</f>
        <v>তারা ক্লিট পরে আছে</v>
      </c>
      <c r="D93" s="4" t="str">
        <f>IFERROR(__xludf.DUMMYFUNCTION("GOOGLETRANSLATE(M93, ""en"", ""bn"")"),"তারা খালি পায়ে।")</f>
        <v>তারা খালি পায়ে।</v>
      </c>
      <c r="E93" s="4" t="str">
        <f>IFERROR(__xludf.DUMMYFUNCTION("GOOGLETRANSLATE(N93, ""en"", ""bn"")"),"তারা স্নিকার্স পরে আছে।")</f>
        <v>তারা স্নিকার্স পরে আছে।</v>
      </c>
      <c r="F93" s="4" t="str">
        <f>IFERROR(__xludf.DUMMYFUNCTION("GOOGLETRANSLATE(O93, ""en"", ""bn"")"),"তারা স্যান্ডেল পরে আছে।")</f>
        <v>তারা স্যান্ডেল পরে আছে।</v>
      </c>
      <c r="G93" s="4" t="str">
        <f>IFERROR(__xludf.DUMMYFUNCTION("GOOGLETRANSLATE(P93, ""en"", ""bn"")"),"তারা খালি পায়ে।")</f>
        <v>তারা খালি পায়ে।</v>
      </c>
      <c r="H93" s="4" t="str">
        <f>IFERROR(__xludf.DUMMYFUNCTION("GOOGLETRANSLATE(Q93, ""en"", ""bn"")"),"ছবি৬")</f>
        <v>ছবি৬</v>
      </c>
      <c r="J93" s="5" t="str">
        <f>IFERROR(__xludf.DUMMYFUNCTION("GOOGLETRANSLATE(A93, ""bn"", ""en"")"),"92")</f>
        <v>92</v>
      </c>
      <c r="K93" s="6" t="s">
        <v>1559</v>
      </c>
      <c r="L93" s="6" t="s">
        <v>1560</v>
      </c>
      <c r="M93" s="6" t="s">
        <v>397</v>
      </c>
      <c r="N93" s="6" t="s">
        <v>1561</v>
      </c>
      <c r="O93" s="6" t="s">
        <v>1562</v>
      </c>
      <c r="P93" s="6" t="s">
        <v>397</v>
      </c>
      <c r="Q93" s="16" t="s">
        <v>68</v>
      </c>
      <c r="R93" s="18"/>
      <c r="S93" s="18"/>
      <c r="T93" s="18"/>
    </row>
    <row r="94">
      <c r="A94" s="3">
        <v>93.0</v>
      </c>
      <c r="B94" s="4" t="str">
        <f>IFERROR(__xludf.DUMMYFUNCTION("GOOGLETRANSLATE(K94, ""en"", ""bn"")"),"বলটির মুখোমুখি হয়ে বাম দিকে থাকা খেলোয়াড়ের জার্সির প্রধান রঙটি কী?")</f>
        <v>বলটির মুখোমুখি হয়ে বাম দিকে থাকা খেলোয়াড়ের জার্সির প্রধান রঙটি কী?</v>
      </c>
      <c r="C94" s="4" t="str">
        <f>IFERROR(__xludf.DUMMYFUNCTION("GOOGLETRANSLATE(L94, ""en"", ""bn"")"),"লাল")</f>
        <v>লাল</v>
      </c>
      <c r="D94" s="4" t="str">
        <f>IFERROR(__xludf.DUMMYFUNCTION("GOOGLETRANSLATE(M94, ""en"", ""bn"")"),"নীল")</f>
        <v>নীল</v>
      </c>
      <c r="E94" s="4" t="str">
        <f>IFERROR(__xludf.DUMMYFUNCTION("GOOGLETRANSLATE(N94, ""en"", ""bn"")"),"সবুজ")</f>
        <v>সবুজ</v>
      </c>
      <c r="F94" s="4" t="str">
        <f>IFERROR(__xludf.DUMMYFUNCTION("GOOGLETRANSLATE(O94, ""en"", ""bn"")"),"হলুদ")</f>
        <v>হলুদ</v>
      </c>
      <c r="G94" s="4" t="str">
        <f>IFERROR(__xludf.DUMMYFUNCTION("GOOGLETRANSLATE(P94, ""en"", ""bn"")"),"লাল")</f>
        <v>লাল</v>
      </c>
      <c r="H94" s="4" t="str">
        <f>IFERROR(__xludf.DUMMYFUNCTION("GOOGLETRANSLATE(Q94, ""en"", ""bn"")"),"ছবি৬")</f>
        <v>ছবি৬</v>
      </c>
      <c r="J94" s="5" t="str">
        <f>IFERROR(__xludf.DUMMYFUNCTION("GOOGLETRANSLATE(A94, ""bn"", ""en"")"),"93")</f>
        <v>93</v>
      </c>
      <c r="K94" s="6" t="s">
        <v>1563</v>
      </c>
      <c r="L94" s="6" t="s">
        <v>275</v>
      </c>
      <c r="M94" s="6" t="s">
        <v>274</v>
      </c>
      <c r="N94" s="6" t="s">
        <v>272</v>
      </c>
      <c r="O94" s="6" t="s">
        <v>287</v>
      </c>
      <c r="P94" s="6" t="s">
        <v>275</v>
      </c>
      <c r="Q94" s="7" t="s">
        <v>68</v>
      </c>
    </row>
    <row r="95">
      <c r="A95" s="3">
        <v>94.0</v>
      </c>
      <c r="B95" s="4" t="str">
        <f>IFERROR(__xludf.DUMMYFUNCTION("GOOGLETRANSLATE(K95, ""en"", ""bn"")"),"মাঠের ডানদিকে কোন কাঠামো দৃশ্যমান?")</f>
        <v>মাঠের ডানদিকে কোন কাঠামো দৃশ্যমান?</v>
      </c>
      <c r="C95" s="4" t="str">
        <f>IFERROR(__xludf.DUMMYFUNCTION("GOOGLETRANSLATE(L95, ""en"", ""bn"")"),"একটি বেড়া")</f>
        <v>একটি বেড়া</v>
      </c>
      <c r="D95" s="4" t="str">
        <f>IFERROR(__xludf.DUMMYFUNCTION("GOOGLETRANSLATE(M95, ""en"", ""bn"")"),"একটি জলের ঝর্ণা")</f>
        <v>একটি জলের ঝর্ণা</v>
      </c>
      <c r="E95" s="4" t="str">
        <f>IFERROR(__xludf.DUMMYFUNCTION("GOOGLETRANSLATE(N95, ""en"", ""bn"")"),"একটি গোলপোস্ট")</f>
        <v>একটি গোলপোস্ট</v>
      </c>
      <c r="F95" s="4" t="str">
        <f>IFERROR(__xludf.DUMMYFUNCTION("GOOGLETRANSLATE(O95, ""en"", ""bn"")"),"একটি স্কোরবোর্ড")</f>
        <v>একটি স্কোরবোর্ড</v>
      </c>
      <c r="G95" s="4" t="str">
        <f>IFERROR(__xludf.DUMMYFUNCTION("GOOGLETRANSLATE(P95, ""en"", ""bn"")"),"একটি গোলপোস্ট")</f>
        <v>একটি গোলপোস্ট</v>
      </c>
      <c r="H95" s="4" t="str">
        <f>IFERROR(__xludf.DUMMYFUNCTION("GOOGLETRANSLATE(Q95, ""en"", ""bn"")"),"ছবি৬")</f>
        <v>ছবি৬</v>
      </c>
      <c r="J95" s="5" t="str">
        <f>IFERROR(__xludf.DUMMYFUNCTION("GOOGLETRANSLATE(A95, ""bn"", ""en"")"),"94")</f>
        <v>94</v>
      </c>
      <c r="K95" s="6" t="s">
        <v>1564</v>
      </c>
      <c r="L95" s="6" t="s">
        <v>1565</v>
      </c>
      <c r="M95" s="6" t="s">
        <v>1566</v>
      </c>
      <c r="N95" s="6" t="s">
        <v>1567</v>
      </c>
      <c r="O95" s="6" t="s">
        <v>1568</v>
      </c>
      <c r="P95" s="6" t="s">
        <v>1567</v>
      </c>
      <c r="Q95" s="16" t="s">
        <v>68</v>
      </c>
    </row>
    <row r="96">
      <c r="A96" s="3">
        <v>95.0</v>
      </c>
      <c r="B96" s="4" t="str">
        <f>IFERROR(__xludf.DUMMYFUNCTION("GOOGLETRANSLATE(K96, ""en"", ""bn"")"),"কতজন খেলোয়াড় খেলায় সক্রিয়ভাবে দৃশ্যমান?")</f>
        <v>কতজন খেলোয়াড় খেলায় সক্রিয়ভাবে দৃশ্যমান?</v>
      </c>
      <c r="C96" s="4" t="str">
        <f>IFERROR(__xludf.DUMMYFUNCTION("GOOGLETRANSLATE(L96, ""en"", ""bn"")"),"8")</f>
        <v>8</v>
      </c>
      <c r="D96" s="4" t="str">
        <f>IFERROR(__xludf.DUMMYFUNCTION("GOOGLETRANSLATE(M96, ""en"", ""bn"")"),"9")</f>
        <v>9</v>
      </c>
      <c r="E96" s="4" t="str">
        <f>IFERROR(__xludf.DUMMYFUNCTION("GOOGLETRANSLATE(N96, ""en"", ""bn"")"),"10")</f>
        <v>10</v>
      </c>
      <c r="F96" s="4" t="str">
        <f>IFERROR(__xludf.DUMMYFUNCTION("GOOGLETRANSLATE(O96, ""en"", ""bn"")"),"11")</f>
        <v>11</v>
      </c>
      <c r="G96" s="4" t="str">
        <f>IFERROR(__xludf.DUMMYFUNCTION("GOOGLETRANSLATE(P96, ""en"", ""bn"")"),"10")</f>
        <v>10</v>
      </c>
      <c r="H96" s="4" t="str">
        <f>IFERROR(__xludf.DUMMYFUNCTION("GOOGLETRANSLATE(Q96, ""en"", ""bn"")"),"ছবি৬")</f>
        <v>ছবি৬</v>
      </c>
      <c r="J96" s="5" t="str">
        <f>IFERROR(__xludf.DUMMYFUNCTION("GOOGLETRANSLATE(A96, ""bn"", ""en"")"),"95")</f>
        <v>95</v>
      </c>
      <c r="K96" s="6" t="s">
        <v>1569</v>
      </c>
      <c r="L96" s="6">
        <v>8.0</v>
      </c>
      <c r="M96" s="6">
        <v>9.0</v>
      </c>
      <c r="N96" s="6">
        <v>10.0</v>
      </c>
      <c r="O96" s="6">
        <v>11.0</v>
      </c>
      <c r="P96" s="6">
        <v>10.0</v>
      </c>
      <c r="Q96" s="7" t="s">
        <v>68</v>
      </c>
    </row>
    <row r="97">
      <c r="A97" s="3">
        <v>96.0</v>
      </c>
      <c r="B97" s="4" t="str">
        <f>IFERROR(__xludf.DUMMYFUNCTION("GOOGLETRANSLATE(K97, ""en"", ""bn"")"),"প্রতিবিম্বের কেন্দ্রে বাতাসে বস্তুটি কী?")</f>
        <v>প্রতিবিম্বের কেন্দ্রে বাতাসে বস্তুটি কী?</v>
      </c>
      <c r="C97" s="4" t="str">
        <f>IFERROR(__xludf.DUMMYFUNCTION("GOOGLETRANSLATE(L97, ""en"", ""bn"")"),"একটি পাখি")</f>
        <v>একটি পাখি</v>
      </c>
      <c r="D97" s="4" t="str">
        <f>IFERROR(__xludf.DUMMYFUNCTION("GOOGLETRANSLATE(M97, ""en"", ""bn"")"),"একটি ঘুড়ি")</f>
        <v>একটি ঘুড়ি</v>
      </c>
      <c r="E97" s="4" t="str">
        <f>IFERROR(__xludf.DUMMYFUNCTION("GOOGLETRANSLATE(N97, ""en"", ""bn"")"),"একটি ফুটবল")</f>
        <v>একটি ফুটবল</v>
      </c>
      <c r="F97" s="4" t="str">
        <f>IFERROR(__xludf.DUMMYFUNCTION("GOOGLETRANSLATE(O97, ""en"", ""bn"")"),"একটি ফ্রিসবি")</f>
        <v>একটি ফ্রিসবি</v>
      </c>
      <c r="G97" s="4" t="str">
        <f>IFERROR(__xludf.DUMMYFUNCTION("GOOGLETRANSLATE(P97, ""en"", ""bn"")"),"একটি ফুটবল")</f>
        <v>একটি ফুটবল</v>
      </c>
      <c r="H97" s="4" t="str">
        <f>IFERROR(__xludf.DUMMYFUNCTION("GOOGLETRANSLATE(Q97, ""en"", ""bn"")"),"ছবি৬")</f>
        <v>ছবি৬</v>
      </c>
      <c r="J97" s="5" t="str">
        <f>IFERROR(__xludf.DUMMYFUNCTION("GOOGLETRANSLATE(A97, ""bn"", ""en"")"),"96")</f>
        <v>96</v>
      </c>
      <c r="K97" s="6" t="s">
        <v>1570</v>
      </c>
      <c r="L97" s="6" t="s">
        <v>1571</v>
      </c>
      <c r="M97" s="6" t="s">
        <v>1572</v>
      </c>
      <c r="N97" s="6" t="s">
        <v>1573</v>
      </c>
      <c r="O97" s="6" t="s">
        <v>1574</v>
      </c>
      <c r="P97" s="6" t="s">
        <v>1573</v>
      </c>
      <c r="Q97" s="16" t="s">
        <v>68</v>
      </c>
    </row>
    <row r="98">
      <c r="A98" s="3">
        <v>97.0</v>
      </c>
      <c r="B98" s="4" t="str">
        <f>IFERROR(__xludf.DUMMYFUNCTION("GOOGLETRANSLATE(K98, ""en"", ""bn"")"),"খেলার মাঠের শারীরিক অবস্থা কেমন?")</f>
        <v>খেলার মাঠের শারীরিক অবস্থা কেমন?</v>
      </c>
      <c r="C98" s="4" t="str">
        <f>IFERROR(__xludf.DUMMYFUNCTION("GOOGLETRANSLATE(L98, ""en"", ""bn"")"),"এটি একটি ভালভাবে রক্ষণাবেক্ষণ করা টার্ফ ক্ষেত্র")</f>
        <v>এটি একটি ভালভাবে রক্ষণাবেক্ষণ করা টার্ফ ক্ষেত্র</v>
      </c>
      <c r="D98" s="4" t="str">
        <f>IFERROR(__xludf.DUMMYFUNCTION("GOOGLETRANSLATE(M98, ""en"", ""bn"")"),"এটি একটি কর্দমাক্ত মাঠ।")</f>
        <v>এটি একটি কর্দমাক্ত মাঠ।</v>
      </c>
      <c r="E98" s="4" t="str">
        <f>IFERROR(__xludf.DUMMYFUNCTION("GOOGLETRANSLATE(N98, ""en"", ""bn"")"),"এটি একটি ঘাসের মাঠ যেখানে ময়লা রয়েছে")</f>
        <v>এটি একটি ঘাসের মাঠ যেখানে ময়লা রয়েছে</v>
      </c>
      <c r="F98" s="4" t="str">
        <f>IFERROR(__xludf.DUMMYFUNCTION("GOOGLETRANSLATE(O98, ""en"", ""bn"")"),"এটি একটি পাথুরে মাঠ")</f>
        <v>এটি একটি পাথুরে মাঠ</v>
      </c>
      <c r="G98" s="4" t="str">
        <f>IFERROR(__xludf.DUMMYFUNCTION("GOOGLETRANSLATE(P98, ""en"", ""bn"")"),"এটি একটি ঘাসের মাঠ যেখানে ময়লা রয়েছে")</f>
        <v>এটি একটি ঘাসের মাঠ যেখানে ময়লা রয়েছে</v>
      </c>
      <c r="H98" s="4" t="str">
        <f>IFERROR(__xludf.DUMMYFUNCTION("GOOGLETRANSLATE(Q98, ""en"", ""bn"")"),"ছবি৬")</f>
        <v>ছবি৬</v>
      </c>
      <c r="J98" s="5" t="str">
        <f>IFERROR(__xludf.DUMMYFUNCTION("GOOGLETRANSLATE(A98, ""bn"", ""en"")"),"97")</f>
        <v>97</v>
      </c>
      <c r="K98" s="6" t="s">
        <v>1575</v>
      </c>
      <c r="L98" s="6" t="s">
        <v>1576</v>
      </c>
      <c r="M98" s="6" t="s">
        <v>956</v>
      </c>
      <c r="N98" s="6" t="s">
        <v>1577</v>
      </c>
      <c r="O98" s="6" t="s">
        <v>1578</v>
      </c>
      <c r="P98" s="6" t="s">
        <v>1577</v>
      </c>
      <c r="Q98" s="7" t="s">
        <v>68</v>
      </c>
    </row>
    <row r="99">
      <c r="A99" s="3">
        <v>98.0</v>
      </c>
      <c r="B99" s="4" t="str">
        <f>IFERROR(__xludf.DUMMYFUNCTION("GOOGLETRANSLATE(K99, ""en"", ""bn"")"),"বাম দিকের পটভূমিতে কোন ধরণের ভবন দেখা যাচ্ছে?")</f>
        <v>বাম দিকের পটভূমিতে কোন ধরণের ভবন দেখা যাচ্ছে?</v>
      </c>
      <c r="C99" s="4" t="str">
        <f>IFERROR(__xludf.DUMMYFUNCTION("GOOGLETRANSLATE(L99, ""en"", ""bn"")"),"একটি আবাসিক বাড়ি")</f>
        <v>একটি আবাসিক বাড়ি</v>
      </c>
      <c r="D99" s="4" t="str">
        <f>IFERROR(__xludf.DUMMYFUNCTION("GOOGLETRANSLATE(M99, ""en"", ""bn"")"),"একটি বহুতল অ্যাপার্টমেন্ট")</f>
        <v>একটি বহুতল অ্যাপার্টমেন্ট</v>
      </c>
      <c r="E99" s="4" t="str">
        <f>IFERROR(__xludf.DUMMYFUNCTION("GOOGLETRANSLATE(N99, ""en"", ""bn"")"),"একটি স্কুল বা কমিউনিটি সেন্টার")</f>
        <v>একটি স্কুল বা কমিউনিটি সেন্টার</v>
      </c>
      <c r="F99" s="4" t="str">
        <f>IFERROR(__xludf.DUMMYFUNCTION("GOOGLETRANSLATE(O99, ""en"", ""bn"")"),"একটি দোকান")</f>
        <v>একটি দোকান</v>
      </c>
      <c r="G99" s="4" t="str">
        <f>IFERROR(__xludf.DUMMYFUNCTION("GOOGLETRANSLATE(P99, ""en"", ""bn"")"),"একটি স্কুল বা কমিউনিটি সেন্টার")</f>
        <v>একটি স্কুল বা কমিউনিটি সেন্টার</v>
      </c>
      <c r="H99" s="4" t="str">
        <f>IFERROR(__xludf.DUMMYFUNCTION("GOOGLETRANSLATE(Q99, ""en"", ""bn"")"),"ছবি৬")</f>
        <v>ছবি৬</v>
      </c>
      <c r="J99" s="5" t="str">
        <f>IFERROR(__xludf.DUMMYFUNCTION("GOOGLETRANSLATE(A99, ""bn"", ""en"")"),"98")</f>
        <v>98</v>
      </c>
      <c r="K99" s="6" t="s">
        <v>1579</v>
      </c>
      <c r="L99" s="6" t="s">
        <v>1580</v>
      </c>
      <c r="M99" s="6" t="s">
        <v>1581</v>
      </c>
      <c r="N99" s="6" t="s">
        <v>1582</v>
      </c>
      <c r="O99" s="6" t="s">
        <v>1583</v>
      </c>
      <c r="P99" s="6" t="s">
        <v>1582</v>
      </c>
      <c r="Q99" s="16" t="s">
        <v>68</v>
      </c>
    </row>
    <row r="100">
      <c r="A100" s="3">
        <v>99.0</v>
      </c>
      <c r="B100" s="4" t="str">
        <f>IFERROR(__xludf.DUMMYFUNCTION("GOOGLETRANSLATE(K100, ""en"", ""bn"")"),"খেলোয়াড়রা তাদের হাত দিয়ে কী করছে?")</f>
        <v>খেলোয়াড়রা তাদের হাত দিয়ে কী করছে?</v>
      </c>
      <c r="C100" s="4" t="str">
        <f>IFERROR(__xludf.DUMMYFUNCTION("GOOGLETRANSLATE(L100, ""en"", ""bn"")"),"ক্যামেরার দিকে হাত নাড়ছে")</f>
        <v>ক্যামেরার দিকে হাত নাড়ছে</v>
      </c>
      <c r="D100" s="4" t="str">
        <f>IFERROR(__xludf.DUMMYFUNCTION("GOOGLETRANSLATE(M100, ""en"", ""bn"")"),"বল নিক্ষেপ")</f>
        <v>বল নিক্ষেপ</v>
      </c>
      <c r="E100" s="4" t="str">
        <f>IFERROR(__xludf.DUMMYFUNCTION("GOOGLETRANSLATE(N100, ""en"", ""bn"")"),"এক লাইনে হাত রাখা")</f>
        <v>এক লাইনে হাত রাখা</v>
      </c>
      <c r="F100" s="4" t="str">
        <f>IFERROR(__xludf.DUMMYFUNCTION("GOOGLETRANSLATE(O100, ""en"", ""bn"")"),"বিশেষ কিছু নয়, তারা চলছে")</f>
        <v>বিশেষ কিছু নয়, তারা চলছে</v>
      </c>
      <c r="G100" s="4" t="str">
        <f>IFERROR(__xludf.DUMMYFUNCTION("GOOGLETRANSLATE(P100, ""en"", ""bn"")"),"বিশেষ কিছু নয়, তারা চলছে")</f>
        <v>বিশেষ কিছু নয়, তারা চলছে</v>
      </c>
      <c r="H100" s="4" t="str">
        <f>IFERROR(__xludf.DUMMYFUNCTION("GOOGLETRANSLATE(Q100, ""en"", ""bn"")"),"ছবি৬")</f>
        <v>ছবি৬</v>
      </c>
      <c r="J100" s="5" t="str">
        <f>IFERROR(__xludf.DUMMYFUNCTION("GOOGLETRANSLATE(A100, ""bn"", ""en"")"),"99")</f>
        <v>99</v>
      </c>
      <c r="K100" s="6" t="s">
        <v>1584</v>
      </c>
      <c r="L100" s="6" t="s">
        <v>1585</v>
      </c>
      <c r="M100" s="6" t="s">
        <v>1586</v>
      </c>
      <c r="N100" s="6" t="s">
        <v>1587</v>
      </c>
      <c r="O100" s="6" t="s">
        <v>1588</v>
      </c>
      <c r="P100" s="6" t="s">
        <v>1588</v>
      </c>
      <c r="Q100" s="7" t="s">
        <v>68</v>
      </c>
    </row>
    <row r="101">
      <c r="A101" s="3">
        <v>100.0</v>
      </c>
      <c r="B101" s="4" t="str">
        <f>IFERROR(__xludf.DUMMYFUNCTION("GOOGLETRANSLATE(K101, ""en"", ""bn"")"),"ছবির উপর ভিত্তি করে খেলার আনুষ্ঠানিকতা কি?")</f>
        <v>ছবির উপর ভিত্তি করে খেলার আনুষ্ঠানিকতা কি?</v>
      </c>
      <c r="C101" s="4" t="str">
        <f>IFERROR(__xludf.DUMMYFUNCTION("GOOGLETRANSLATE(L101, ""en"", ""bn"")"),"একটি পেশাদার ম্যাচ")</f>
        <v>একটি পেশাদার ম্যাচ</v>
      </c>
      <c r="D101" s="4" t="str">
        <f>IFERROR(__xludf.DUMMYFUNCTION("GOOGLETRANSLATE(M101, ""en"", ""bn"")"),"একটি স্কুল টুর্নামেন্ট")</f>
        <v>একটি স্কুল টুর্নামেন্ট</v>
      </c>
      <c r="E101" s="4" t="str">
        <f>IFERROR(__xludf.DUMMYFUNCTION("GOOGLETRANSLATE(N101, ""en"", ""bn"")"),"একটি নৈমিত্তিক খেলা")</f>
        <v>একটি নৈমিত্তিক খেলা</v>
      </c>
      <c r="F101" s="4" t="str">
        <f>IFERROR(__xludf.DUMMYFUNCTION("GOOGLETRANSLATE(O101, ""en"", ""bn"")"),"একটি স্থানীয় চ্যাম্পিয়নশিপ")</f>
        <v>একটি স্থানীয় চ্যাম্পিয়নশিপ</v>
      </c>
      <c r="G101" s="4" t="str">
        <f>IFERROR(__xludf.DUMMYFUNCTION("GOOGLETRANSLATE(P101, ""en"", ""bn"")"),"একটি নৈমিত্তিক খেলা")</f>
        <v>একটি নৈমিত্তিক খেলা</v>
      </c>
      <c r="H101" s="4" t="str">
        <f>IFERROR(__xludf.DUMMYFUNCTION("GOOGLETRANSLATE(Q101, ""en"", ""bn"")"),"ছবি৬")</f>
        <v>ছবি৬</v>
      </c>
      <c r="J101" s="5" t="str">
        <f>IFERROR(__xludf.DUMMYFUNCTION("GOOGLETRANSLATE(A101, ""bn"", ""en"")"),"100")</f>
        <v>100</v>
      </c>
      <c r="K101" s="6" t="s">
        <v>1589</v>
      </c>
      <c r="L101" s="6" t="s">
        <v>1590</v>
      </c>
      <c r="M101" s="6" t="s">
        <v>1591</v>
      </c>
      <c r="N101" s="6" t="s">
        <v>1592</v>
      </c>
      <c r="O101" s="6" t="s">
        <v>1593</v>
      </c>
      <c r="P101" s="6" t="s">
        <v>1592</v>
      </c>
      <c r="Q101" s="16" t="s">
        <v>68</v>
      </c>
    </row>
    <row r="102">
      <c r="A102" s="3">
        <v>101.0</v>
      </c>
      <c r="B102" s="4" t="str">
        <f>IFERROR(__xludf.DUMMYFUNCTION("GOOGLETRANSLATE(K102, ""en"", ""bn"")"),"ছবিতে খেলোয়াড়দের লিঙ্গ গঠন কী?")</f>
        <v>ছবিতে খেলোয়াড়দের লিঙ্গ গঠন কী?</v>
      </c>
      <c r="C102" s="4" t="str">
        <f>IFERROR(__xludf.DUMMYFUNCTION("GOOGLETRANSLATE(L102, ""en"", ""bn"")"),"সব পুরুষ")</f>
        <v>সব পুরুষ</v>
      </c>
      <c r="D102" s="4" t="str">
        <f>IFERROR(__xludf.DUMMYFUNCTION("GOOGLETRANSLATE(M102, ""en"", ""bn"")"),"সব মহিলা")</f>
        <v>সব মহিলা</v>
      </c>
      <c r="E102" s="4" t="str">
        <f>IFERROR(__xludf.DUMMYFUNCTION("GOOGLETRANSLATE(N102, ""en"", ""bn"")"),"পুরুষ ও মহিলার মিশ্রণ")</f>
        <v>পুরুষ ও মহিলার মিশ্রণ</v>
      </c>
      <c r="F102" s="4" t="str">
        <f>IFERROR(__xludf.DUMMYFUNCTION("GOOGLETRANSLATE(O102, ""en"", ""bn"")"),"বেশিরভাগই পুরুষ")</f>
        <v>বেশিরভাগই পুরুষ</v>
      </c>
      <c r="G102" s="4" t="str">
        <f>IFERROR(__xludf.DUMMYFUNCTION("GOOGLETRANSLATE(P102, ""en"", ""bn"")"),"পুরুষ ও মহিলার মিশ্রণ")</f>
        <v>পুরুষ ও মহিলার মিশ্রণ</v>
      </c>
      <c r="H102" s="4" t="str">
        <f>IFERROR(__xludf.DUMMYFUNCTION("GOOGLETRANSLATE(Q102, ""en"", ""bn"")"),"ছবি৮")</f>
        <v>ছবি৮</v>
      </c>
      <c r="J102" s="5" t="str">
        <f>IFERROR(__xludf.DUMMYFUNCTION("GOOGLETRANSLATE(A102, ""bn"", ""en"")"),"101")</f>
        <v>101</v>
      </c>
      <c r="K102" s="6" t="s">
        <v>1594</v>
      </c>
      <c r="L102" s="6" t="s">
        <v>1595</v>
      </c>
      <c r="M102" s="6" t="s">
        <v>1596</v>
      </c>
      <c r="N102" s="6" t="s">
        <v>1597</v>
      </c>
      <c r="O102" s="6" t="s">
        <v>1598</v>
      </c>
      <c r="P102" s="6" t="s">
        <v>1597</v>
      </c>
      <c r="Q102" s="7" t="s">
        <v>81</v>
      </c>
    </row>
    <row r="103">
      <c r="A103" s="3">
        <v>102.0</v>
      </c>
      <c r="B103" s="4" t="str">
        <f>IFERROR(__xludf.DUMMYFUNCTION("GOOGLETRANSLATE(K103, ""en"", ""bn"")"),"ছবির গায়ে বাংলায় কী লেখা আছে?")</f>
        <v>ছবির গায়ে বাংলায় কী লেখা আছে?</v>
      </c>
      <c r="C103" s="4" t="str">
        <f>IFERROR(__xludf.DUMMYFUNCTION("GOOGLETRANSLATE(L103, ""en"", ""bn"")"),"ফুটবল")</f>
        <v>ফুটবল</v>
      </c>
      <c r="D103" s="4" t="str">
        <f>IFERROR(__xludf.DUMMYFUNCTION("GOOGLETRANSLATE(M103, ""en"", ""bn"")"),"Golla Chut Khela (গোল্লা ছুটের খেলা)")</f>
        <v>Golla Chut Khela (গোল্লা ছুটের খেলা)</v>
      </c>
      <c r="E103" s="4" t="str">
        <f>IFERROR(__xludf.DUMMYFUNCTION("GOOGLETRANSLATE(N103, ""en"", ""bn"")"),"একটি গান")</f>
        <v>একটি গান</v>
      </c>
      <c r="F103" s="4" t="str">
        <f>IFERROR(__xludf.DUMMYFUNCTION("GOOGLETRANSLATE(O103, ""en"", ""bn"")"),"একটি কবিতা")</f>
        <v>একটি কবিতা</v>
      </c>
      <c r="G103" s="4" t="str">
        <f>IFERROR(__xludf.DUMMYFUNCTION("GOOGLETRANSLATE(P103, ""en"", ""bn"")"),"Golla Chut Khela (গোল্লা ছুটের খেলা)")</f>
        <v>Golla Chut Khela (গোল্লা ছুটের খেলা)</v>
      </c>
      <c r="H103" s="4" t="str">
        <f>IFERROR(__xludf.DUMMYFUNCTION("GOOGLETRANSLATE(Q103, ""en"", ""bn"")"),"ছবি৮")</f>
        <v>ছবি৮</v>
      </c>
      <c r="J103" s="5" t="str">
        <f>IFERROR(__xludf.DUMMYFUNCTION("GOOGLETRANSLATE(A103, ""bn"", ""en"")"),"102")</f>
        <v>102</v>
      </c>
      <c r="K103" s="6" t="s">
        <v>1599</v>
      </c>
      <c r="L103" s="6" t="s">
        <v>1600</v>
      </c>
      <c r="M103" s="6" t="s">
        <v>1601</v>
      </c>
      <c r="N103" s="6" t="s">
        <v>1602</v>
      </c>
      <c r="O103" s="6" t="s">
        <v>1603</v>
      </c>
      <c r="P103" s="6" t="s">
        <v>1601</v>
      </c>
      <c r="Q103" s="7" t="s">
        <v>81</v>
      </c>
    </row>
    <row r="104">
      <c r="A104" s="3">
        <v>103.0</v>
      </c>
      <c r="B104" s="4" t="str">
        <f>IFERROR(__xludf.DUMMYFUNCTION("GOOGLETRANSLATE(K104, ""en"", ""bn"")"),"কতজন লোক কেন্দ্রীয় শৃঙ্খল গঠন করছে?")</f>
        <v>কতজন লোক কেন্দ্রীয় শৃঙ্খল গঠন করছে?</v>
      </c>
      <c r="C104" s="4" t="str">
        <f>IFERROR(__xludf.DUMMYFUNCTION("GOOGLETRANSLATE(L104, ""en"", ""bn"")"),"2")</f>
        <v>2</v>
      </c>
      <c r="D104" s="4" t="str">
        <f>IFERROR(__xludf.DUMMYFUNCTION("GOOGLETRANSLATE(M104, ""en"", ""bn"")"),"3")</f>
        <v>3</v>
      </c>
      <c r="E104" s="4" t="str">
        <f>IFERROR(__xludf.DUMMYFUNCTION("GOOGLETRANSLATE(N104, ""en"", ""bn"")"),"৪")</f>
        <v>৪</v>
      </c>
      <c r="F104" s="4" t="str">
        <f>IFERROR(__xludf.DUMMYFUNCTION("GOOGLETRANSLATE(O104, ""en"", ""bn"")"),"৫")</f>
        <v>৫</v>
      </c>
      <c r="G104" s="4" t="str">
        <f>IFERROR(__xludf.DUMMYFUNCTION("GOOGLETRANSLATE(P104, ""en"", ""bn"")"),"3")</f>
        <v>3</v>
      </c>
      <c r="H104" s="4" t="str">
        <f>IFERROR(__xludf.DUMMYFUNCTION("GOOGLETRANSLATE(Q104, ""en"", ""bn"")"),"ছবি৮")</f>
        <v>ছবি৮</v>
      </c>
      <c r="J104" s="5" t="str">
        <f>IFERROR(__xludf.DUMMYFUNCTION("GOOGLETRANSLATE(A104, ""bn"", ""en"")"),"103")</f>
        <v>103</v>
      </c>
      <c r="K104" s="6" t="s">
        <v>1604</v>
      </c>
      <c r="L104" s="6">
        <v>2.0</v>
      </c>
      <c r="M104" s="6">
        <v>3.0</v>
      </c>
      <c r="N104" s="6">
        <v>4.0</v>
      </c>
      <c r="O104" s="6">
        <v>5.0</v>
      </c>
      <c r="P104" s="6">
        <v>3.0</v>
      </c>
      <c r="Q104" s="7" t="s">
        <v>81</v>
      </c>
    </row>
    <row r="105">
      <c r="A105" s="3">
        <v>104.0</v>
      </c>
      <c r="B105" s="4" t="str">
        <f>IFERROR(__xludf.DUMMYFUNCTION("GOOGLETRANSLATE(K105, ""en"", ""bn"")"),"শিকলের মাঝখানে থাকা ব্যক্তির পোশাকের প্রধান রঙ কী?")</f>
        <v>শিকলের মাঝখানে থাকা ব্যক্তির পোশাকের প্রধান রঙ কী?</v>
      </c>
      <c r="C105" s="4" t="str">
        <f>IFERROR(__xludf.DUMMYFUNCTION("GOOGLETRANSLATE(L105, ""en"", ""bn"")"),"লাল")</f>
        <v>লাল</v>
      </c>
      <c r="D105" s="4" t="str">
        <f>IFERROR(__xludf.DUMMYFUNCTION("GOOGLETRANSLATE(M105, ""en"", ""bn"")"),"নীল")</f>
        <v>নীল</v>
      </c>
      <c r="E105" s="4" t="str">
        <f>IFERROR(__xludf.DUMMYFUNCTION("GOOGLETRANSLATE(N105, ""en"", ""bn"")"),"গোলাপি")</f>
        <v>গোলাপি</v>
      </c>
      <c r="F105" s="4" t="str">
        <f>IFERROR(__xludf.DUMMYFUNCTION("GOOGLETRANSLATE(O105, ""en"", ""bn"")"),"হলুদ")</f>
        <v>হলুদ</v>
      </c>
      <c r="G105" s="4" t="str">
        <f>IFERROR(__xludf.DUMMYFUNCTION("GOOGLETRANSLATE(P105, ""en"", ""bn"")"),"হলুদ")</f>
        <v>হলুদ</v>
      </c>
      <c r="H105" s="4" t="str">
        <f>IFERROR(__xludf.DUMMYFUNCTION("GOOGLETRANSLATE(Q105, ""en"", ""bn"")"),"ছবি৮")</f>
        <v>ছবি৮</v>
      </c>
      <c r="J105" s="5" t="str">
        <f>IFERROR(__xludf.DUMMYFUNCTION("GOOGLETRANSLATE(A105, ""bn"", ""en"")"),"104")</f>
        <v>104</v>
      </c>
      <c r="K105" s="6" t="s">
        <v>1605</v>
      </c>
      <c r="L105" s="6" t="s">
        <v>275</v>
      </c>
      <c r="M105" s="6" t="s">
        <v>274</v>
      </c>
      <c r="N105" s="6" t="s">
        <v>1540</v>
      </c>
      <c r="O105" s="6" t="s">
        <v>287</v>
      </c>
      <c r="P105" s="6" t="s">
        <v>287</v>
      </c>
      <c r="Q105" s="7" t="s">
        <v>81</v>
      </c>
      <c r="R105" s="17"/>
      <c r="S105" s="17"/>
      <c r="T105" s="17"/>
    </row>
    <row r="106">
      <c r="A106" s="3">
        <v>105.0</v>
      </c>
      <c r="B106" s="4" t="str">
        <f>IFERROR(__xludf.DUMMYFUNCTION("GOOGLETRANSLATE(K106, ""en"", ""bn"")"),"দূরে বাম দিকের খেলোয়াড়টি কী ধরনের পোশাক পরে?")</f>
        <v>দূরে বাম দিকের খেলোয়াড়টি কী ধরনের পোশাক পরে?</v>
      </c>
      <c r="C106" s="4" t="str">
        <f>IFERROR(__xludf.DUMMYFUNCTION("GOOGLETRANSLATE(L106, ""en"", ""bn"")"),"একটি স্যুট")</f>
        <v>একটি স্যুট</v>
      </c>
      <c r="D106" s="4" t="str">
        <f>IFERROR(__xludf.DUMMYFUNCTION("GOOGLETRANSLATE(M106, ""en"", ""bn"")"),"একটি টি-শার্ট এবং জিন্স")</f>
        <v>একটি টি-শার্ট এবং জিন্স</v>
      </c>
      <c r="E106" s="4" t="str">
        <f>IFERROR(__xludf.DUMMYFUNCTION("GOOGLETRANSLATE(N106, ""en"", ""bn"")"),"একটা শাড়ি")</f>
        <v>একটা শাড়ি</v>
      </c>
      <c r="F106" s="4" t="str">
        <f>IFERROR(__xludf.DUMMYFUNCTION("GOOGLETRANSLATE(O106, ""en"", ""bn"")"),"একটা পোশাক")</f>
        <v>একটা পোশাক</v>
      </c>
      <c r="G106" s="4" t="str">
        <f>IFERROR(__xludf.DUMMYFUNCTION("GOOGLETRANSLATE(P106, ""en"", ""bn"")"),"একটা শাড়ি")</f>
        <v>একটা শাড়ি</v>
      </c>
      <c r="H106" s="4" t="str">
        <f>IFERROR(__xludf.DUMMYFUNCTION("GOOGLETRANSLATE(Q106, ""en"", ""bn"")"),"ছবি৮")</f>
        <v>ছবি৮</v>
      </c>
      <c r="J106" s="5" t="str">
        <f>IFERROR(__xludf.DUMMYFUNCTION("GOOGLETRANSLATE(A106, ""bn"", ""en"")"),"105")</f>
        <v>105</v>
      </c>
      <c r="K106" s="6" t="s">
        <v>1606</v>
      </c>
      <c r="L106" s="6" t="s">
        <v>1607</v>
      </c>
      <c r="M106" s="6" t="s">
        <v>1608</v>
      </c>
      <c r="N106" s="6" t="s">
        <v>1609</v>
      </c>
      <c r="O106" s="6" t="s">
        <v>1610</v>
      </c>
      <c r="P106" s="6" t="s">
        <v>1609</v>
      </c>
      <c r="Q106" s="7" t="s">
        <v>81</v>
      </c>
      <c r="R106" s="17"/>
      <c r="S106" s="17"/>
    </row>
    <row r="107">
      <c r="A107" s="3">
        <v>106.0</v>
      </c>
      <c r="B107" s="4" t="str">
        <f>IFERROR(__xludf.DUMMYFUNCTION("GOOGLETRANSLATE(K107, ""en"", ""bn"")"),"যেখানে খেলা হচ্ছে সেই মাঠের শারীরিক অবস্থা কেমন?")</f>
        <v>যেখানে খেলা হচ্ছে সেই মাঠের শারীরিক অবস্থা কেমন?</v>
      </c>
      <c r="C107" s="4" t="str">
        <f>IFERROR(__xludf.DUMMYFUNCTION("GOOGLETRANSLATE(L107, ""en"", ""bn"")"),"পুরোপুরি শুকনো")</f>
        <v>পুরোপুরি শুকনো</v>
      </c>
      <c r="D107" s="4" t="str">
        <f>IFERROR(__xludf.DUMMYFUNCTION("GOOGLETRANSLATE(M107, ""en"", ""bn"")"),"পাকা রাস্তা দিয়ে ঢাকা")</f>
        <v>পাকা রাস্তা দিয়ে ঢাকা</v>
      </c>
      <c r="E107" s="4" t="str">
        <f>IFERROR(__xludf.DUMMYFUNCTION("GOOGLETRANSLATE(N107, ""en"", ""bn"")"),"প্রচুর জলের সাথে কাদাযুক্ত")</f>
        <v>প্রচুর জলের সাথে কাদাযুক্ত</v>
      </c>
      <c r="F107" s="4" t="str">
        <f>IFERROR(__xludf.DUMMYFUNCTION("GOOGLETRANSLATE(O107, ""en"", ""bn"")"),"কর্দমাক্ত এবং ঘাসযুক্ত")</f>
        <v>কর্দমাক্ত এবং ঘাসযুক্ত</v>
      </c>
      <c r="G107" s="4" t="str">
        <f>IFERROR(__xludf.DUMMYFUNCTION("GOOGLETRANSLATE(P107, ""en"", ""bn"")"),"কর্দমাক্ত এবং ঘাসযুক্ত")</f>
        <v>কর্দমাক্ত এবং ঘাসযুক্ত</v>
      </c>
      <c r="H107" s="4" t="str">
        <f>IFERROR(__xludf.DUMMYFUNCTION("GOOGLETRANSLATE(Q107, ""en"", ""bn"")"),"ছবি৮")</f>
        <v>ছবি৮</v>
      </c>
      <c r="J107" s="5" t="str">
        <f>IFERROR(__xludf.DUMMYFUNCTION("GOOGLETRANSLATE(A107, ""bn"", ""en"")"),"106")</f>
        <v>106</v>
      </c>
      <c r="K107" s="6" t="s">
        <v>1611</v>
      </c>
      <c r="L107" s="6" t="s">
        <v>1612</v>
      </c>
      <c r="M107" s="6" t="s">
        <v>1613</v>
      </c>
      <c r="N107" s="6" t="s">
        <v>1614</v>
      </c>
      <c r="O107" s="6" t="s">
        <v>1615</v>
      </c>
      <c r="P107" s="6" t="s">
        <v>1615</v>
      </c>
      <c r="Q107" s="7" t="s">
        <v>81</v>
      </c>
    </row>
    <row r="108">
      <c r="A108" s="3">
        <v>107.0</v>
      </c>
      <c r="B108" s="4" t="str">
        <f>IFERROR(__xludf.DUMMYFUNCTION("GOOGLETRANSLATE(K108, ""en"", ""bn"")"),"ছবির ব্যাকগ্রাউন্ড বেশির ভাগই কি নিয়ে গঠিত?")</f>
        <v>ছবির ব্যাকগ্রাউন্ড বেশির ভাগই কি নিয়ে গঠিত?</v>
      </c>
      <c r="C108" s="4" t="str">
        <f>IFERROR(__xludf.DUMMYFUNCTION("GOOGLETRANSLATE(L108, ""en"", ""bn"")"),"বিল্ডিং এবং গাড়ি")</f>
        <v>বিল্ডিং এবং গাড়ি</v>
      </c>
      <c r="D108" s="4" t="str">
        <f>IFERROR(__xludf.DUMMYFUNCTION("GOOGLETRANSLATE(M108, ""en"", ""bn"")"),"বালি এবং পাথর")</f>
        <v>বালি এবং পাথর</v>
      </c>
      <c r="E108" s="4" t="str">
        <f>IFERROR(__xludf.DUMMYFUNCTION("GOOGLETRANSLATE(N108, ""en"", ""bn"")"),"সবুজ গাছ আর ঝোপঝাড়")</f>
        <v>সবুজ গাছ আর ঝোপঝাড়</v>
      </c>
      <c r="F108" s="4" t="str">
        <f>IFERROR(__xludf.DUMMYFUNCTION("GOOGLETRANSLATE(O108, ""en"", ""bn"")"),"লম্বা বেড়া")</f>
        <v>লম্বা বেড়া</v>
      </c>
      <c r="G108" s="4" t="str">
        <f>IFERROR(__xludf.DUMMYFUNCTION("GOOGLETRANSLATE(P108, ""en"", ""bn"")"),"সবুজ গাছ আর ঝোপঝাড়")</f>
        <v>সবুজ গাছ আর ঝোপঝাড়</v>
      </c>
      <c r="H108" s="4" t="str">
        <f>IFERROR(__xludf.DUMMYFUNCTION("GOOGLETRANSLATE(Q108, ""en"", ""bn"")"),"ছবি৮")</f>
        <v>ছবি৮</v>
      </c>
      <c r="J108" s="5" t="str">
        <f>IFERROR(__xludf.DUMMYFUNCTION("GOOGLETRANSLATE(A108, ""bn"", ""en"")"),"107")</f>
        <v>107</v>
      </c>
      <c r="K108" s="6" t="s">
        <v>1616</v>
      </c>
      <c r="L108" s="6" t="s">
        <v>1617</v>
      </c>
      <c r="M108" s="6" t="s">
        <v>1618</v>
      </c>
      <c r="N108" s="6" t="s">
        <v>1619</v>
      </c>
      <c r="O108" s="6" t="s">
        <v>1620</v>
      </c>
      <c r="P108" s="6" t="s">
        <v>1619</v>
      </c>
      <c r="Q108" s="7" t="s">
        <v>81</v>
      </c>
    </row>
    <row r="109">
      <c r="A109" s="3">
        <v>108.0</v>
      </c>
      <c r="B109" s="4" t="str">
        <f>IFERROR(__xludf.DUMMYFUNCTION("GOOGLETRANSLATE(K109, ""en"", ""bn"")"),"শৃঙ্খলে থাকা খেলোয়াড়দের অভিব্যক্তি কী?")</f>
        <v>শৃঙ্খলে থাকা খেলোয়াড়দের অভিব্যক্তি কী?</v>
      </c>
      <c r="C109" s="4" t="str">
        <f>IFERROR(__xludf.DUMMYFUNCTION("GOOGLETRANSLATE(L109, ""en"", ""bn"")"),"ভীত")</f>
        <v>ভীত</v>
      </c>
      <c r="D109" s="4" t="str">
        <f>IFERROR(__xludf.DUMMYFUNCTION("GOOGLETRANSLATE(M109, ""en"", ""bn"")"),"মনোযোগী এবং উদ্যমী")</f>
        <v>মনোযোগী এবং উদ্যমী</v>
      </c>
      <c r="E109" s="4" t="str">
        <f>IFERROR(__xludf.DUMMYFUNCTION("GOOGLETRANSLATE(N109, ""en"", ""bn"")"),"ক্লান্ত")</f>
        <v>ক্লান্ত</v>
      </c>
      <c r="F109" s="4" t="str">
        <f>IFERROR(__xludf.DUMMYFUNCTION("GOOGLETRANSLATE(O109, ""en"", ""bn"")"),"উদাস")</f>
        <v>উদাস</v>
      </c>
      <c r="G109" s="4" t="str">
        <f>IFERROR(__xludf.DUMMYFUNCTION("GOOGLETRANSLATE(P109, ""en"", ""bn"")"),"মনোযোগী এবং উদ্যমী")</f>
        <v>মনোযোগী এবং উদ্যমী</v>
      </c>
      <c r="H109" s="4" t="str">
        <f>IFERROR(__xludf.DUMMYFUNCTION("GOOGLETRANSLATE(Q109, ""en"", ""bn"")"),"ছবি৮")</f>
        <v>ছবি৮</v>
      </c>
      <c r="J109" s="5" t="str">
        <f>IFERROR(__xludf.DUMMYFUNCTION("GOOGLETRANSLATE(A109, ""bn"", ""en"")"),"108")</f>
        <v>108</v>
      </c>
      <c r="K109" s="6" t="s">
        <v>1621</v>
      </c>
      <c r="L109" s="6" t="s">
        <v>788</v>
      </c>
      <c r="M109" s="6" t="s">
        <v>1622</v>
      </c>
      <c r="N109" s="6" t="s">
        <v>1471</v>
      </c>
      <c r="O109" s="6" t="s">
        <v>253</v>
      </c>
      <c r="P109" s="6" t="s">
        <v>1622</v>
      </c>
      <c r="Q109" s="7" t="s">
        <v>81</v>
      </c>
    </row>
    <row r="110">
      <c r="A110" s="3">
        <v>109.0</v>
      </c>
      <c r="B110" s="4" t="str">
        <f>IFERROR(__xludf.DUMMYFUNCTION("GOOGLETRANSLATE(K110, ""en"", ""bn"")"),"কতজন খেলোয়াড় চেইনের পিছনে ছুটছে বলে মনে হচ্ছে?")</f>
        <v>কতজন খেলোয়াড় চেইনের পিছনে ছুটছে বলে মনে হচ্ছে?</v>
      </c>
      <c r="C110" s="4" t="str">
        <f>IFERROR(__xludf.DUMMYFUNCTION("GOOGLETRANSLATE(L110, ""en"", ""bn"")"),"1")</f>
        <v>1</v>
      </c>
      <c r="D110" s="4" t="str">
        <f>IFERROR(__xludf.DUMMYFUNCTION("GOOGLETRANSLATE(M110, ""en"", ""bn"")"),"2")</f>
        <v>2</v>
      </c>
      <c r="E110" s="4" t="str">
        <f>IFERROR(__xludf.DUMMYFUNCTION("GOOGLETRANSLATE(N110, ""en"", ""bn"")"),"3")</f>
        <v>3</v>
      </c>
      <c r="F110" s="4" t="str">
        <f>IFERROR(__xludf.DUMMYFUNCTION("GOOGLETRANSLATE(O110, ""en"", ""bn"")"),"৪")</f>
        <v>৪</v>
      </c>
      <c r="G110" s="4" t="str">
        <f>IFERROR(__xludf.DUMMYFUNCTION("GOOGLETRANSLATE(P110, ""en"", ""bn"")"),"3")</f>
        <v>3</v>
      </c>
      <c r="H110" s="4" t="str">
        <f>IFERROR(__xludf.DUMMYFUNCTION("GOOGLETRANSLATE(Q110, ""en"", ""bn"")"),"ছবি৮")</f>
        <v>ছবি৮</v>
      </c>
      <c r="J110" s="5" t="str">
        <f>IFERROR(__xludf.DUMMYFUNCTION("GOOGLETRANSLATE(A110, ""bn"", ""en"")"),"109")</f>
        <v>109</v>
      </c>
      <c r="K110" s="6" t="s">
        <v>1623</v>
      </c>
      <c r="L110" s="6">
        <v>1.0</v>
      </c>
      <c r="M110" s="6">
        <v>2.0</v>
      </c>
      <c r="N110" s="6">
        <v>3.0</v>
      </c>
      <c r="O110" s="6">
        <v>4.0</v>
      </c>
      <c r="P110" s="6">
        <v>3.0</v>
      </c>
      <c r="Q110" s="7" t="s">
        <v>81</v>
      </c>
    </row>
    <row r="111">
      <c r="A111" s="3">
        <v>110.0</v>
      </c>
      <c r="B111" s="4" t="str">
        <f>IFERROR(__xludf.DUMMYFUNCTION("GOOGLETRANSLATE(K111, ""en"", ""bn"")"),"খেলোয়াড়দের সম্ভাব্য বয়স কত?")</f>
        <v>খেলোয়াড়দের সম্ভাব্য বয়স কত?</v>
      </c>
      <c r="C111" s="4" t="str">
        <f>IFERROR(__xludf.DUMMYFUNCTION("GOOGLETRANSLATE(L111, ""en"", ""bn"")"),"শিশুরা")</f>
        <v>শিশুরা</v>
      </c>
      <c r="D111" s="4" t="str">
        <f>IFERROR(__xludf.DUMMYFUNCTION("GOOGLETRANSLATE(M111, ""en"", ""bn"")"),"কিশোর")</f>
        <v>কিশোর</v>
      </c>
      <c r="E111" s="4" t="str">
        <f>IFERROR(__xludf.DUMMYFUNCTION("GOOGLETRANSLATE(N111, ""en"", ""bn"")"),"তরুণ প্রাপ্তবয়স্কদের")</f>
        <v>তরুণ প্রাপ্তবয়স্কদের</v>
      </c>
      <c r="F111" s="4" t="str">
        <f>IFERROR(__xludf.DUMMYFUNCTION("GOOGLETRANSLATE(O111, ""en"", ""bn"")"),"প্রবীণ")</f>
        <v>প্রবীণ</v>
      </c>
      <c r="G111" s="4" t="str">
        <f>IFERROR(__xludf.DUMMYFUNCTION("GOOGLETRANSLATE(P111, ""en"", ""bn"")"),"তরুণ প্রাপ্তবয়স্কদের")</f>
        <v>তরুণ প্রাপ্তবয়স্কদের</v>
      </c>
      <c r="H111" s="4" t="str">
        <f>IFERROR(__xludf.DUMMYFUNCTION("GOOGLETRANSLATE(Q111, ""en"", ""bn"")"),"ছবি৮")</f>
        <v>ছবি৮</v>
      </c>
      <c r="J111" s="5" t="str">
        <f>IFERROR(__xludf.DUMMYFUNCTION("GOOGLETRANSLATE(A111, ""bn"", ""en"")"),"110")</f>
        <v>110</v>
      </c>
      <c r="K111" s="6" t="s">
        <v>1624</v>
      </c>
      <c r="L111" s="6" t="s">
        <v>830</v>
      </c>
      <c r="M111" s="6" t="s">
        <v>771</v>
      </c>
      <c r="N111" s="6" t="s">
        <v>772</v>
      </c>
      <c r="O111" s="6" t="s">
        <v>1625</v>
      </c>
      <c r="P111" s="6" t="s">
        <v>772</v>
      </c>
      <c r="Q111" s="7" t="s">
        <v>81</v>
      </c>
    </row>
    <row r="112">
      <c r="A112" s="3">
        <v>111.0</v>
      </c>
      <c r="B112" s="4" t="str">
        <f>IFERROR(__xludf.DUMMYFUNCTION("GOOGLETRANSLATE(K112, ""en"", ""bn"")"),"ছবিতে বাংলা লেখার প্রাধান্য কী?")</f>
        <v>ছবিতে বাংলা লেখার প্রাধান্য কী?</v>
      </c>
      <c r="C112" s="4" t="str">
        <f>IFERROR(__xludf.DUMMYFUNCTION("GOOGLETRANSLATE(L112, ""en"", ""bn"")"),"সবুজ")</f>
        <v>সবুজ</v>
      </c>
      <c r="D112" s="4" t="str">
        <f>IFERROR(__xludf.DUMMYFUNCTION("GOOGLETRANSLATE(M112, ""en"", ""bn"")"),"নীল")</f>
        <v>নীল</v>
      </c>
      <c r="E112" s="4" t="str">
        <f>IFERROR(__xludf.DUMMYFUNCTION("GOOGLETRANSLATE(N112, ""en"", ""bn"")"),"লাল")</f>
        <v>লাল</v>
      </c>
      <c r="F112" s="4" t="str">
        <f>IFERROR(__xludf.DUMMYFUNCTION("GOOGLETRANSLATE(O112, ""en"", ""bn"")"),"হলুদ")</f>
        <v>হলুদ</v>
      </c>
      <c r="G112" s="4" t="str">
        <f>IFERROR(__xludf.DUMMYFUNCTION("GOOGLETRANSLATE(P112, ""en"", ""bn"")"),"লাল")</f>
        <v>লাল</v>
      </c>
      <c r="H112" s="4" t="str">
        <f>IFERROR(__xludf.DUMMYFUNCTION("GOOGLETRANSLATE(Q112, ""en"", ""bn"")"),"ছবি9")</f>
        <v>ছবি9</v>
      </c>
      <c r="J112" s="5" t="str">
        <f>IFERROR(__xludf.DUMMYFUNCTION("GOOGLETRANSLATE(A112, ""bn"", ""en"")"),"111")</f>
        <v>111</v>
      </c>
      <c r="K112" s="6" t="s">
        <v>1626</v>
      </c>
      <c r="L112" s="6" t="s">
        <v>272</v>
      </c>
      <c r="M112" s="6" t="s">
        <v>274</v>
      </c>
      <c r="N112" s="6" t="s">
        <v>275</v>
      </c>
      <c r="O112" s="6" t="s">
        <v>287</v>
      </c>
      <c r="P112" s="6" t="s">
        <v>275</v>
      </c>
      <c r="Q112" s="7" t="s">
        <v>88</v>
      </c>
    </row>
    <row r="113">
      <c r="A113" s="3">
        <v>112.0</v>
      </c>
      <c r="B113" s="4" t="str">
        <f>IFERROR(__xludf.DUMMYFUNCTION("GOOGLETRANSLATE(K113, ""en"", ""bn"")"),"ডানদিকে কতজন শিশু দৌড়ের শৃঙ্খল তৈরি করছে?")</f>
        <v>ডানদিকে কতজন শিশু দৌড়ের শৃঙ্খল তৈরি করছে?</v>
      </c>
      <c r="C113" s="4" t="str">
        <f>IFERROR(__xludf.DUMMYFUNCTION("GOOGLETRANSLATE(L113, ""en"", ""bn"")"),"2")</f>
        <v>2</v>
      </c>
      <c r="D113" s="4" t="str">
        <f>IFERROR(__xludf.DUMMYFUNCTION("GOOGLETRANSLATE(M113, ""en"", ""bn"")"),"3")</f>
        <v>3</v>
      </c>
      <c r="E113" s="4" t="str">
        <f>IFERROR(__xludf.DUMMYFUNCTION("GOOGLETRANSLATE(N113, ""en"", ""bn"")"),"৪")</f>
        <v>৪</v>
      </c>
      <c r="F113" s="4" t="str">
        <f>IFERROR(__xludf.DUMMYFUNCTION("GOOGLETRANSLATE(O113, ""en"", ""bn"")"),"৫")</f>
        <v>৫</v>
      </c>
      <c r="G113" s="4" t="str">
        <f>IFERROR(__xludf.DUMMYFUNCTION("GOOGLETRANSLATE(P113, ""en"", ""bn"")"),"3")</f>
        <v>3</v>
      </c>
      <c r="H113" s="4" t="str">
        <f>IFERROR(__xludf.DUMMYFUNCTION("GOOGLETRANSLATE(Q113, ""en"", ""bn"")"),"ছবি9")</f>
        <v>ছবি9</v>
      </c>
      <c r="J113" s="5" t="str">
        <f>IFERROR(__xludf.DUMMYFUNCTION("GOOGLETRANSLATE(A113, ""bn"", ""en"")"),"112")</f>
        <v>112</v>
      </c>
      <c r="K113" s="6" t="s">
        <v>1627</v>
      </c>
      <c r="L113" s="6">
        <v>2.0</v>
      </c>
      <c r="M113" s="6">
        <v>3.0</v>
      </c>
      <c r="N113" s="6">
        <v>4.0</v>
      </c>
      <c r="O113" s="6">
        <v>5.0</v>
      </c>
      <c r="P113" s="6">
        <v>3.0</v>
      </c>
      <c r="Q113" s="7" t="s">
        <v>88</v>
      </c>
    </row>
    <row r="114">
      <c r="A114" s="3">
        <v>113.0</v>
      </c>
      <c r="B114" s="4" t="str">
        <f>IFERROR(__xludf.DUMMYFUNCTION("GOOGLETRANSLATE(K114, ""en"", ""bn"")"),"ছবির কেন্দ্রে ছেলেটির পরা শার্টের প্রধান রঙ কী?")</f>
        <v>ছবির কেন্দ্রে ছেলেটির পরা শার্টের প্রধান রঙ কী?</v>
      </c>
      <c r="C114" s="4" t="str">
        <f>IFERROR(__xludf.DUMMYFUNCTION("GOOGLETRANSLATE(L114, ""en"", ""bn"")"),"লাল")</f>
        <v>লাল</v>
      </c>
      <c r="D114" s="4" t="str">
        <f>IFERROR(__xludf.DUMMYFUNCTION("GOOGLETRANSLATE(M114, ""en"", ""bn"")"),"নীল")</f>
        <v>নীল</v>
      </c>
      <c r="E114" s="4" t="str">
        <f>IFERROR(__xludf.DUMMYFUNCTION("GOOGLETRANSLATE(N114, ""en"", ""bn"")"),"হলুদ")</f>
        <v>হলুদ</v>
      </c>
      <c r="F114" s="4" t="str">
        <f>IFERROR(__xludf.DUMMYFUNCTION("GOOGLETRANSLATE(O114, ""en"", ""bn"")"),"সাদা")</f>
        <v>সাদা</v>
      </c>
      <c r="G114" s="4" t="str">
        <f>IFERROR(__xludf.DUMMYFUNCTION("GOOGLETRANSLATE(P114, ""en"", ""bn"")"),"নীল")</f>
        <v>নীল</v>
      </c>
      <c r="H114" s="4" t="str">
        <f>IFERROR(__xludf.DUMMYFUNCTION("GOOGLETRANSLATE(Q114, ""en"", ""bn"")"),"ছবি9")</f>
        <v>ছবি9</v>
      </c>
      <c r="J114" s="5" t="str">
        <f>IFERROR(__xludf.DUMMYFUNCTION("GOOGLETRANSLATE(A114, ""bn"", ""en"")"),"113")</f>
        <v>113</v>
      </c>
      <c r="K114" s="6" t="s">
        <v>1628</v>
      </c>
      <c r="L114" s="6" t="s">
        <v>275</v>
      </c>
      <c r="M114" s="6" t="s">
        <v>274</v>
      </c>
      <c r="N114" s="6" t="s">
        <v>287</v>
      </c>
      <c r="O114" s="6" t="s">
        <v>273</v>
      </c>
      <c r="P114" s="6" t="s">
        <v>274</v>
      </c>
      <c r="Q114" s="7" t="s">
        <v>88</v>
      </c>
    </row>
    <row r="115">
      <c r="A115" s="3">
        <v>114.0</v>
      </c>
      <c r="B115" s="4" t="str">
        <f>IFERROR(__xludf.DUMMYFUNCTION("GOOGLETRANSLATE(K115, ""en"", ""bn"")"),"যেখানে খেলা হচ্ছে সেই মাঠের ভূখণ্ড কী?")</f>
        <v>যেখানে খেলা হচ্ছে সেই মাঠের ভূখণ্ড কী?</v>
      </c>
      <c r="C115" s="4" t="str">
        <f>IFERROR(__xludf.DUMMYFUNCTION("GOOGLETRANSLATE(L115, ""en"", ""bn"")"),"কর্দমাক্ত")</f>
        <v>কর্দমাক্ত</v>
      </c>
      <c r="D115" s="4" t="str">
        <f>IFERROR(__xludf.DUMMYFUNCTION("GOOGLETRANSLATE(M115, ""en"", ""bn"")"),"ঘাসযুক্ত")</f>
        <v>ঘাসযুক্ত</v>
      </c>
      <c r="E115" s="4" t="str">
        <f>IFERROR(__xludf.DUMMYFUNCTION("GOOGLETRANSLATE(N115, ""en"", ""bn"")"),"বালুকাময়")</f>
        <v>বালুকাময়</v>
      </c>
      <c r="F115" s="4" t="str">
        <f>IFERROR(__xludf.DUMMYFUNCTION("GOOGLETRANSLATE(O115, ""en"", ""bn"")"),"শুষ্ক এবং ধুলোময়")</f>
        <v>শুষ্ক এবং ধুলোময়</v>
      </c>
      <c r="G115" s="4" t="str">
        <f>IFERROR(__xludf.DUMMYFUNCTION("GOOGLETRANSLATE(P115, ""en"", ""bn"")"),"শুষ্ক এবং ধুলোময়")</f>
        <v>শুষ্ক এবং ধুলোময়</v>
      </c>
      <c r="H115" s="4" t="str">
        <f>IFERROR(__xludf.DUMMYFUNCTION("GOOGLETRANSLATE(Q115, ""en"", ""bn"")"),"ছবি9")</f>
        <v>ছবি9</v>
      </c>
      <c r="J115" s="5" t="str">
        <f>IFERROR(__xludf.DUMMYFUNCTION("GOOGLETRANSLATE(A115, ""bn"", ""en"")"),"114")</f>
        <v>114</v>
      </c>
      <c r="K115" s="6" t="s">
        <v>1629</v>
      </c>
      <c r="L115" s="6" t="s">
        <v>1386</v>
      </c>
      <c r="M115" s="6" t="s">
        <v>447</v>
      </c>
      <c r="N115" s="6" t="s">
        <v>1385</v>
      </c>
      <c r="O115" s="6" t="s">
        <v>376</v>
      </c>
      <c r="P115" s="6" t="s">
        <v>376</v>
      </c>
      <c r="Q115" s="7" t="s">
        <v>88</v>
      </c>
    </row>
    <row r="116">
      <c r="A116" s="3">
        <v>115.0</v>
      </c>
      <c r="B116" s="4" t="str">
        <f>IFERROR(__xludf.DUMMYFUNCTION("GOOGLETRANSLATE(K116, ""en"", ""bn"")"),"কমলা শার্ট পরা ছেলেটির অভিব্যক্তি তুমি কীভাবে বর্ণনা করবে?")</f>
        <v>কমলা শার্ট পরা ছেলেটির অভিব্যক্তি তুমি কীভাবে বর্ণনা করবে?</v>
      </c>
      <c r="C116" s="4" t="str">
        <f>IFERROR(__xludf.DUMMYFUNCTION("GOOGLETRANSLATE(L116, ""en"", ""bn"")"),"রাগ")</f>
        <v>রাগ</v>
      </c>
      <c r="D116" s="4" t="str">
        <f>IFERROR(__xludf.DUMMYFUNCTION("GOOGLETRANSLATE(M116, ""en"", ""bn"")"),"সুখী এবং উদ্যমী")</f>
        <v>সুখী এবং উদ্যমী</v>
      </c>
      <c r="E116" s="4" t="str">
        <f>IFERROR(__xludf.DUMMYFUNCTION("GOOGLETRANSLATE(N116, ""en"", ""bn"")"),"দুঃখজনক")</f>
        <v>দুঃখজনক</v>
      </c>
      <c r="F116" s="4" t="str">
        <f>IFERROR(__xludf.DUMMYFUNCTION("GOOGLETRANSLATE(O116, ""en"", ""bn"")"),"বিভ্রান্ত")</f>
        <v>বিভ্রান্ত</v>
      </c>
      <c r="G116" s="4" t="str">
        <f>IFERROR(__xludf.DUMMYFUNCTION("GOOGLETRANSLATE(P116, ""en"", ""bn"")"),"সুখী এবং উদ্যমী")</f>
        <v>সুখী এবং উদ্যমী</v>
      </c>
      <c r="H116" s="4" t="str">
        <f>IFERROR(__xludf.DUMMYFUNCTION("GOOGLETRANSLATE(Q116, ""en"", ""bn"")"),"ছবি9")</f>
        <v>ছবি9</v>
      </c>
      <c r="J116" s="5" t="str">
        <f>IFERROR(__xludf.DUMMYFUNCTION("GOOGLETRANSLATE(A116, ""bn"", ""en"")"),"115")</f>
        <v>115</v>
      </c>
      <c r="K116" s="6" t="s">
        <v>1630</v>
      </c>
      <c r="L116" s="6" t="s">
        <v>1399</v>
      </c>
      <c r="M116" s="6" t="s">
        <v>1505</v>
      </c>
      <c r="N116" s="6" t="s">
        <v>1397</v>
      </c>
      <c r="O116" s="6" t="s">
        <v>746</v>
      </c>
      <c r="P116" s="6" t="s">
        <v>1505</v>
      </c>
      <c r="Q116" s="7" t="s">
        <v>88</v>
      </c>
      <c r="R116" s="17"/>
      <c r="S116" s="17"/>
    </row>
    <row r="117">
      <c r="A117" s="3">
        <v>116.0</v>
      </c>
      <c r="B117" s="4" t="str">
        <f>IFERROR(__xludf.DUMMYFUNCTION("GOOGLETRANSLATE(K117, ""en"", ""bn"")"),"ডান দিক থেকে দ্বিতীয় ছেলেটির প্যান্টে কোন প্যাটার্ন দেখা যাচ্ছে?")</f>
        <v>ডান দিক থেকে দ্বিতীয় ছেলেটির প্যান্টে কোন প্যাটার্ন দেখা যাচ্ছে?</v>
      </c>
      <c r="C117" s="4" t="str">
        <f>IFERROR(__xludf.DUMMYFUNCTION("GOOGLETRANSLATE(L117, ""en"", ""bn"")"),"পোলকা বিন্দু")</f>
        <v>পোলকা বিন্দু</v>
      </c>
      <c r="D117" s="4" t="str">
        <f>IFERROR(__xludf.DUMMYFUNCTION("GOOGLETRANSLATE(M117, ""en"", ""bn"")"),"ছদ্মবেশ")</f>
        <v>ছদ্মবেশ</v>
      </c>
      <c r="E117" s="4" t="str">
        <f>IFERROR(__xludf.DUMMYFUNCTION("GOOGLETRANSLATE(N117, ""en"", ""bn"")"),"ডোরাকাটা")</f>
        <v>ডোরাকাটা</v>
      </c>
      <c r="F117" s="4" t="str">
        <f>IFERROR(__xludf.DUMMYFUNCTION("GOOGLETRANSLATE(O117, ""en"", ""bn"")"),"প্লেড")</f>
        <v>প্লেড</v>
      </c>
      <c r="G117" s="4" t="str">
        <f>IFERROR(__xludf.DUMMYFUNCTION("GOOGLETRANSLATE(P117, ""en"", ""bn"")"),"ডোরাকাটা")</f>
        <v>ডোরাকাটা</v>
      </c>
      <c r="H117" s="4" t="str">
        <f>IFERROR(__xludf.DUMMYFUNCTION("GOOGLETRANSLATE(Q117, ""en"", ""bn"")"),"ছবি9")</f>
        <v>ছবি9</v>
      </c>
      <c r="J117" s="5" t="str">
        <f>IFERROR(__xludf.DUMMYFUNCTION("GOOGLETRANSLATE(A117, ""bn"", ""en"")"),"116")</f>
        <v>116</v>
      </c>
      <c r="K117" s="6" t="s">
        <v>1631</v>
      </c>
      <c r="L117" s="6" t="s">
        <v>1632</v>
      </c>
      <c r="M117" s="6" t="s">
        <v>1633</v>
      </c>
      <c r="N117" s="6" t="s">
        <v>1634</v>
      </c>
      <c r="O117" s="6" t="s">
        <v>1635</v>
      </c>
      <c r="P117" s="6" t="s">
        <v>1634</v>
      </c>
      <c r="Q117" s="7" t="s">
        <v>88</v>
      </c>
    </row>
    <row r="118">
      <c r="A118" s="3">
        <v>117.0</v>
      </c>
      <c r="B118" s="4" t="str">
        <f>IFERROR(__xludf.DUMMYFUNCTION("GOOGLETRANSLATE(K118, ""en"", ""bn"")"),"পটভূমি পরিবেশের প্রাথমিক বৈশিষ্ট্য কী?")</f>
        <v>পটভূমি পরিবেশের প্রাথমিক বৈশিষ্ট্য কী?</v>
      </c>
      <c r="C118" s="4" t="str">
        <f>IFERROR(__xludf.DUMMYFUNCTION("GOOGLETRANSLATE(L118, ""en"", ""bn"")"),"একটি বিশাল ভবন")</f>
        <v>একটি বিশাল ভবন</v>
      </c>
      <c r="D118" s="4" t="str">
        <f>IFERROR(__xludf.DUMMYFUNCTION("GOOGLETRANSLATE(M118, ""en"", ""bn"")"),"ঘন জঙ্গল")</f>
        <v>ঘন জঙ্গল</v>
      </c>
      <c r="E118" s="4" t="str">
        <f>IFERROR(__xludf.DUMMYFUNCTION("GOOGLETRANSLATE(N118, ""en"", ""bn"")"),"একটি সাধারণ বেড়া এবং বিক্ষিপ্ত গাছ")</f>
        <v>একটি সাধারণ বেড়া এবং বিক্ষিপ্ত গাছ</v>
      </c>
      <c r="F118" s="4" t="str">
        <f>IFERROR(__xludf.DUMMYFUNCTION("GOOGLETRANSLATE(O118, ""en"", ""bn"")"),"এক বিশাল জলাশয়")</f>
        <v>এক বিশাল জলাশয়</v>
      </c>
      <c r="G118" s="4" t="str">
        <f>IFERROR(__xludf.DUMMYFUNCTION("GOOGLETRANSLATE(P118, ""en"", ""bn"")"),"একটি সাধারণ বেড়া এবং বিক্ষিপ্ত গাছ")</f>
        <v>একটি সাধারণ বেড়া এবং বিক্ষিপ্ত গাছ</v>
      </c>
      <c r="H118" s="4" t="str">
        <f>IFERROR(__xludf.DUMMYFUNCTION("GOOGLETRANSLATE(Q118, ""en"", ""bn"")"),"ছবি9")</f>
        <v>ছবি9</v>
      </c>
      <c r="J118" s="5" t="str">
        <f>IFERROR(__xludf.DUMMYFUNCTION("GOOGLETRANSLATE(A118, ""bn"", ""en"")"),"117")</f>
        <v>117</v>
      </c>
      <c r="K118" s="6" t="s">
        <v>1636</v>
      </c>
      <c r="L118" s="6" t="s">
        <v>1637</v>
      </c>
      <c r="M118" s="6" t="s">
        <v>1638</v>
      </c>
      <c r="N118" s="6" t="s">
        <v>1639</v>
      </c>
      <c r="O118" s="6" t="s">
        <v>1640</v>
      </c>
      <c r="P118" s="6" t="s">
        <v>1639</v>
      </c>
      <c r="Q118" s="7" t="s">
        <v>88</v>
      </c>
    </row>
    <row r="119">
      <c r="A119" s="3">
        <v>118.0</v>
      </c>
      <c r="B119" s="4" t="str">
        <f>IFERROR(__xludf.DUMMYFUNCTION("GOOGLETRANSLATE(K119, ""en"", ""bn"")"),"চিত্রের বাম দিকে গোষ্ঠী দ্বারা সঞ্চালিত মূল ক্রিয়া কী?")</f>
        <v>চিত্রের বাম দিকে গোষ্ঠী দ্বারা সঞ্চালিত মূল ক্রিয়া কী?</v>
      </c>
      <c r="C119" s="4" t="str">
        <f>IFERROR(__xludf.DUMMYFUNCTION("GOOGLETRANSLATE(L119, ""en"", ""bn"")"),"দৌড়")</f>
        <v>দৌড়</v>
      </c>
      <c r="D119" s="4" t="str">
        <f>IFERROR(__xludf.DUMMYFUNCTION("GOOGLETRANSLATE(M119, ""en"", ""bn"")"),"স্থির হয়ে দাঁড়িয়ে আছে")</f>
        <v>স্থির হয়ে দাঁড়িয়ে আছে</v>
      </c>
      <c r="E119" s="4" t="str">
        <f>IFERROR(__xludf.DUMMYFUNCTION("GOOGLETRANSLATE(N119, ""en"", ""bn"")"),"গাইছে")</f>
        <v>গাইছে</v>
      </c>
      <c r="F119" s="4" t="str">
        <f>IFERROR(__xludf.DUMMYFUNCTION("GOOGLETRANSLATE(O119, ""en"", ""bn"")"),"জাম্পিং")</f>
        <v>জাম্পিং</v>
      </c>
      <c r="G119" s="4" t="str">
        <f>IFERROR(__xludf.DUMMYFUNCTION("GOOGLETRANSLATE(P119, ""en"", ""bn"")"),"দৌড়")</f>
        <v>দৌড়</v>
      </c>
      <c r="H119" s="4" t="str">
        <f>IFERROR(__xludf.DUMMYFUNCTION("GOOGLETRANSLATE(Q119, ""en"", ""bn"")"),"ছবি9")</f>
        <v>ছবি9</v>
      </c>
      <c r="J119" s="5" t="str">
        <f>IFERROR(__xludf.DUMMYFUNCTION("GOOGLETRANSLATE(A119, ""bn"", ""en"")"),"118")</f>
        <v>118</v>
      </c>
      <c r="K119" s="6" t="s">
        <v>1641</v>
      </c>
      <c r="L119" s="6" t="s">
        <v>1340</v>
      </c>
      <c r="M119" s="6" t="s">
        <v>279</v>
      </c>
      <c r="N119" s="6" t="s">
        <v>765</v>
      </c>
      <c r="O119" s="6" t="s">
        <v>750</v>
      </c>
      <c r="P119" s="6" t="s">
        <v>1340</v>
      </c>
      <c r="Q119" s="7" t="s">
        <v>88</v>
      </c>
    </row>
    <row r="120">
      <c r="A120" s="3">
        <v>119.0</v>
      </c>
      <c r="B120" s="4" t="str">
        <f>IFERROR(__xludf.DUMMYFUNCTION("GOOGLETRANSLATE(K120, ""en"", ""bn"")"),"পুরো দৃশ্যে দৃশ্যমান শিশুদের আনুমানিক সংখ্যা কত?")</f>
        <v>পুরো দৃশ্যে দৃশ্যমান শিশুদের আনুমানিক সংখ্যা কত?</v>
      </c>
      <c r="C120" s="4" t="str">
        <f>IFERROR(__xludf.DUMMYFUNCTION("GOOGLETRANSLATE(L120, ""en"", ""bn"")"),"৫")</f>
        <v>৫</v>
      </c>
      <c r="D120" s="4" t="str">
        <f>IFERROR(__xludf.DUMMYFUNCTION("GOOGLETRANSLATE(M120, ""en"", ""bn"")"),"6")</f>
        <v>6</v>
      </c>
      <c r="E120" s="4" t="str">
        <f>IFERROR(__xludf.DUMMYFUNCTION("GOOGLETRANSLATE(N120, ""en"", ""bn"")"),"৭")</f>
        <v>৭</v>
      </c>
      <c r="F120" s="4" t="str">
        <f>IFERROR(__xludf.DUMMYFUNCTION("GOOGLETRANSLATE(O120, ""en"", ""bn"")"),"8")</f>
        <v>8</v>
      </c>
      <c r="G120" s="4" t="str">
        <f>IFERROR(__xludf.DUMMYFUNCTION("GOOGLETRANSLATE(P120, ""en"", ""bn"")"),"৭")</f>
        <v>৭</v>
      </c>
      <c r="H120" s="4" t="str">
        <f>IFERROR(__xludf.DUMMYFUNCTION("GOOGLETRANSLATE(Q120, ""en"", ""bn"")"),"ছবি9")</f>
        <v>ছবি9</v>
      </c>
      <c r="J120" s="5" t="str">
        <f>IFERROR(__xludf.DUMMYFUNCTION("GOOGLETRANSLATE(A120, ""bn"", ""en"")"),"119")</f>
        <v>119</v>
      </c>
      <c r="K120" s="6" t="s">
        <v>1642</v>
      </c>
      <c r="L120" s="6">
        <v>5.0</v>
      </c>
      <c r="M120" s="6">
        <v>6.0</v>
      </c>
      <c r="N120" s="6">
        <v>7.0</v>
      </c>
      <c r="O120" s="6">
        <v>8.0</v>
      </c>
      <c r="P120" s="6">
        <v>7.0</v>
      </c>
      <c r="Q120" s="7" t="s">
        <v>88</v>
      </c>
    </row>
    <row r="121">
      <c r="A121" s="3">
        <v>120.0</v>
      </c>
      <c r="B121" s="4" t="str">
        <f>IFERROR(__xludf.DUMMYFUNCTION("GOOGLETRANSLATE(K121, ""en"", ""bn"")"),"ছবির উপর ভিত্তি করে, বাম দিকের দলটির মূল লক্ষ্য কী?")</f>
        <v>ছবির উপর ভিত্তি করে, বাম দিকের দলটির মূল লক্ষ্য কী?</v>
      </c>
      <c r="C121" s="4" t="str">
        <f>IFERROR(__xludf.DUMMYFUNCTION("GOOGLETRANSLATE(L121, ""en"", ""bn"")"),"অন্য দলকে তাড়াতে")</f>
        <v>অন্য দলকে তাড়াতে</v>
      </c>
      <c r="D121" s="4" t="str">
        <f>IFERROR(__xludf.DUMMYFUNCTION("GOOGLETRANSLATE(M121, ""en"", ""bn"")"),"একটি বল ধরার জন্য")</f>
        <v>একটি বল ধরার জন্য</v>
      </c>
      <c r="E121" s="4" t="str">
        <f>IFERROR(__xludf.DUMMYFUNCTION("GOOGLETRANSLATE(N121, ""en"", ""bn"")"),"একটি বৃত্তে দাঁড়ানো")</f>
        <v>একটি বৃত্তে দাঁড়ানো</v>
      </c>
      <c r="F121" s="4" t="str">
        <f>IFERROR(__xludf.DUMMYFUNCTION("GOOGLETRANSLATE(O121, ""en"", ""bn"")"),"কিছু নিক্ষেপ করতে")</f>
        <v>কিছু নিক্ষেপ করতে</v>
      </c>
      <c r="G121" s="4" t="str">
        <f>IFERROR(__xludf.DUMMYFUNCTION("GOOGLETRANSLATE(P121, ""en"", ""bn"")"),"অন্য দলকে তাড়াতে")</f>
        <v>অন্য দলকে তাড়াতে</v>
      </c>
      <c r="H121" s="4" t="str">
        <f>IFERROR(__xludf.DUMMYFUNCTION("GOOGLETRANSLATE(Q121, ""en"", ""bn"")"),"ছবি9")</f>
        <v>ছবি9</v>
      </c>
      <c r="J121" s="5" t="str">
        <f>IFERROR(__xludf.DUMMYFUNCTION("GOOGLETRANSLATE(A121, ""bn"", ""en"")"),"120")</f>
        <v>120</v>
      </c>
      <c r="K121" s="6" t="s">
        <v>1643</v>
      </c>
      <c r="L121" s="6" t="s">
        <v>1644</v>
      </c>
      <c r="M121" s="6" t="s">
        <v>1645</v>
      </c>
      <c r="N121" s="6" t="s">
        <v>1646</v>
      </c>
      <c r="O121" s="6" t="s">
        <v>1647</v>
      </c>
      <c r="P121" s="6" t="s">
        <v>1644</v>
      </c>
      <c r="Q121" s="7" t="s">
        <v>88</v>
      </c>
    </row>
    <row r="122">
      <c r="A122" s="3">
        <v>121.0</v>
      </c>
      <c r="B122" s="4" t="str">
        <f>IFERROR(__xludf.DUMMYFUNCTION("GOOGLETRANSLATE(K122, ""en"", ""bn"")"),"সামনের দিকে থাকা যুবকটি সম্ভবত কী করছে?")</f>
        <v>সামনের দিকে থাকা যুবকটি সম্ভবত কী করছে?</v>
      </c>
      <c r="C122" s="4" t="str">
        <f>IFERROR(__xludf.DUMMYFUNCTION("GOOGLETRANSLATE(L122, ""en"", ""bn"")"),"খেলা খেলছি")</f>
        <v>খেলা খেলছি</v>
      </c>
      <c r="D122" s="4" t="str">
        <f>IFERROR(__xludf.DUMMYFUNCTION("GOOGLETRANSLATE(M122, ""en"", ""bn"")"),"খেলা পর্যবেক্ষণ করছে")</f>
        <v>খেলা পর্যবেক্ষণ করছে</v>
      </c>
      <c r="E122" s="4" t="str">
        <f>IFERROR(__xludf.DUMMYFUNCTION("GOOGLETRANSLATE(N122, ""en"", ""bn"")"),"চিত্রগ্রহণ বা প্রতিবেদন করা")</f>
        <v>চিত্রগ্রহণ বা প্রতিবেদন করা</v>
      </c>
      <c r="F122" s="4" t="str">
        <f>IFERROR(__xludf.DUMMYFUNCTION("GOOGLETRANSLATE(O122, ""en"", ""bn"")"),"পণ্য বিক্রি")</f>
        <v>পণ্য বিক্রি</v>
      </c>
      <c r="G122" s="4" t="str">
        <f>IFERROR(__xludf.DUMMYFUNCTION("GOOGLETRANSLATE(P122, ""en"", ""bn"")"),"চিত্রগ্রহণ বা প্রতিবেদন করা")</f>
        <v>চিত্রগ্রহণ বা প্রতিবেদন করা</v>
      </c>
      <c r="H122" s="4" t="str">
        <f>IFERROR(__xludf.DUMMYFUNCTION("GOOGLETRANSLATE(Q122, ""en"", ""bn"")"),"ছবি 11")</f>
        <v>ছবি 11</v>
      </c>
      <c r="J122" s="5" t="str">
        <f>IFERROR(__xludf.DUMMYFUNCTION("GOOGLETRANSLATE(A122, ""bn"", ""en"")"),"121")</f>
        <v>121</v>
      </c>
      <c r="K122" s="6" t="s">
        <v>1648</v>
      </c>
      <c r="L122" s="6" t="s">
        <v>1649</v>
      </c>
      <c r="M122" s="6" t="s">
        <v>1650</v>
      </c>
      <c r="N122" s="6" t="s">
        <v>1651</v>
      </c>
      <c r="O122" s="6" t="s">
        <v>1652</v>
      </c>
      <c r="P122" s="6" t="s">
        <v>1651</v>
      </c>
      <c r="Q122" s="7" t="s">
        <v>109</v>
      </c>
    </row>
    <row r="123">
      <c r="A123" s="3">
        <v>122.0</v>
      </c>
      <c r="B123" s="4" t="str">
        <f>IFERROR(__xludf.DUMMYFUNCTION("GOOGLETRANSLATE(K123, ""en"", ""bn"")"),"ছবির উপরে বেগুনি রঙের বাংলা লেখাটির অর্থ কী?")</f>
        <v>ছবির উপরে বেগুনি রঙের বাংলা লেখাটির অর্থ কী?</v>
      </c>
      <c r="C123" s="4" t="str">
        <f>IFERROR(__xludf.DUMMYFUNCTION("GOOGLETRANSLATE(L123, ""en"", ""bn"")"),"পুরুষদের")</f>
        <v>পুরুষদের</v>
      </c>
      <c r="D123" s="4" t="str">
        <f>IFERROR(__xludf.DUMMYFUNCTION("GOOGLETRANSLATE(M123, ""en"", ""bn"")"),"শিশুদের")</f>
        <v>শিশুদের</v>
      </c>
      <c r="E123" s="4" t="str">
        <f>IFERROR(__xludf.DUMMYFUNCTION("GOOGLETRANSLATE(N123, ""en"", ""bn"")"),"মহিলাদের")</f>
        <v>মহিলাদের</v>
      </c>
      <c r="F123" s="4" t="str">
        <f>IFERROR(__xludf.DUMMYFUNCTION("GOOGLETRANSLATE(O123, ""en"", ""bn"")"),"বয়স্কদের")</f>
        <v>বয়স্কদের</v>
      </c>
      <c r="G123" s="4" t="str">
        <f>IFERROR(__xludf.DUMMYFUNCTION("GOOGLETRANSLATE(P123, ""en"", ""bn"")"),"মহিলাদের")</f>
        <v>মহিলাদের</v>
      </c>
      <c r="H123" s="4" t="str">
        <f>IFERROR(__xludf.DUMMYFUNCTION("GOOGLETRANSLATE(Q123, ""en"", ""bn"")"),"ছবি 11")</f>
        <v>ছবি 11</v>
      </c>
      <c r="J123" s="5" t="str">
        <f>IFERROR(__xludf.DUMMYFUNCTION("GOOGLETRANSLATE(A123, ""bn"", ""en"")"),"122")</f>
        <v>122</v>
      </c>
      <c r="K123" s="6" t="s">
        <v>1653</v>
      </c>
      <c r="L123" s="6" t="s">
        <v>1654</v>
      </c>
      <c r="M123" s="6" t="s">
        <v>1655</v>
      </c>
      <c r="N123" s="6" t="s">
        <v>1656</v>
      </c>
      <c r="O123" s="6" t="s">
        <v>1657</v>
      </c>
      <c r="P123" s="6" t="s">
        <v>1656</v>
      </c>
      <c r="Q123" s="7" t="s">
        <v>109</v>
      </c>
    </row>
    <row r="124">
      <c r="A124" s="3">
        <v>123.0</v>
      </c>
      <c r="B124" s="4" t="str">
        <f>IFERROR(__xludf.DUMMYFUNCTION("GOOGLETRANSLATE(K124, ""en"", ""bn"")"),"মাঠে কয়টি স্বতন্ত্র দলের খেলোয়াড় দেখা যায়?")</f>
        <v>মাঠে কয়টি স্বতন্ত্র দলের খেলোয়াড় দেখা যায়?</v>
      </c>
      <c r="C124" s="4" t="str">
        <f>IFERROR(__xludf.DUMMYFUNCTION("GOOGLETRANSLATE(L124, ""en"", ""bn"")"),"এক")</f>
        <v>এক</v>
      </c>
      <c r="D124" s="4" t="str">
        <f>IFERROR(__xludf.DUMMYFUNCTION("GOOGLETRANSLATE(M124, ""en"", ""bn"")"),"দুই")</f>
        <v>দুই</v>
      </c>
      <c r="E124" s="4" t="str">
        <f>IFERROR(__xludf.DUMMYFUNCTION("GOOGLETRANSLATE(N124, ""en"", ""bn"")"),"তিন")</f>
        <v>তিন</v>
      </c>
      <c r="F124" s="4" t="str">
        <f>IFERROR(__xludf.DUMMYFUNCTION("GOOGLETRANSLATE(O124, ""en"", ""bn"")"),"চার")</f>
        <v>চার</v>
      </c>
      <c r="G124" s="4" t="str">
        <f>IFERROR(__xludf.DUMMYFUNCTION("GOOGLETRANSLATE(P124, ""en"", ""bn"")"),"দুই")</f>
        <v>দুই</v>
      </c>
      <c r="H124" s="4" t="str">
        <f>IFERROR(__xludf.DUMMYFUNCTION("GOOGLETRANSLATE(Q124, ""en"", ""bn"")"),"ছবি 11")</f>
        <v>ছবি 11</v>
      </c>
      <c r="J124" s="5" t="str">
        <f>IFERROR(__xludf.DUMMYFUNCTION("GOOGLETRANSLATE(A124, ""bn"", ""en"")"),"123")</f>
        <v>123</v>
      </c>
      <c r="K124" s="6" t="s">
        <v>1658</v>
      </c>
      <c r="L124" s="6" t="s">
        <v>247</v>
      </c>
      <c r="M124" s="6" t="s">
        <v>249</v>
      </c>
      <c r="N124" s="6" t="s">
        <v>1412</v>
      </c>
      <c r="O124" s="6" t="s">
        <v>1413</v>
      </c>
      <c r="P124" s="6" t="s">
        <v>249</v>
      </c>
      <c r="Q124" s="7" t="s">
        <v>109</v>
      </c>
    </row>
    <row r="125">
      <c r="A125" s="3">
        <v>124.0</v>
      </c>
      <c r="B125" s="4" t="str">
        <f>IFERROR(__xludf.DUMMYFUNCTION("GOOGLETRANSLATE(K125, ""en"", ""bn"")"),"ডান দলের কেন্দ্রে মহিলা দ্বারা পরা শাড়ির প্রভাবশালী রঙ কি?")</f>
        <v>ডান দলের কেন্দ্রে মহিলা দ্বারা পরা শাড়ির প্রভাবশালী রঙ কি?</v>
      </c>
      <c r="C125" s="4" t="str">
        <f>IFERROR(__xludf.DUMMYFUNCTION("GOOGLETRANSLATE(L125, ""en"", ""bn"")"),"সবুজ")</f>
        <v>সবুজ</v>
      </c>
      <c r="D125" s="4" t="str">
        <f>IFERROR(__xludf.DUMMYFUNCTION("GOOGLETRANSLATE(M125, ""en"", ""bn"")"),"হলুদ")</f>
        <v>হলুদ</v>
      </c>
      <c r="E125" s="4" t="str">
        <f>IFERROR(__xludf.DUMMYFUNCTION("GOOGLETRANSLATE(N125, ""en"", ""bn"")"),"নীল")</f>
        <v>নীল</v>
      </c>
      <c r="F125" s="4" t="str">
        <f>IFERROR(__xludf.DUMMYFUNCTION("GOOGLETRANSLATE(O125, ""en"", ""bn"")"),"লাল")</f>
        <v>লাল</v>
      </c>
      <c r="G125" s="4" t="str">
        <f>IFERROR(__xludf.DUMMYFUNCTION("GOOGLETRANSLATE(P125, ""en"", ""bn"")"),"লাল")</f>
        <v>লাল</v>
      </c>
      <c r="H125" s="4" t="str">
        <f>IFERROR(__xludf.DUMMYFUNCTION("GOOGLETRANSLATE(Q125, ""en"", ""bn"")"),"ছবি 11")</f>
        <v>ছবি 11</v>
      </c>
      <c r="J125" s="5" t="str">
        <f>IFERROR(__xludf.DUMMYFUNCTION("GOOGLETRANSLATE(A125, ""bn"", ""en"")"),"124")</f>
        <v>124</v>
      </c>
      <c r="K125" s="6" t="s">
        <v>1659</v>
      </c>
      <c r="L125" s="6" t="s">
        <v>272</v>
      </c>
      <c r="M125" s="6" t="s">
        <v>287</v>
      </c>
      <c r="N125" s="6" t="s">
        <v>274</v>
      </c>
      <c r="O125" s="6" t="s">
        <v>275</v>
      </c>
      <c r="P125" s="6" t="s">
        <v>275</v>
      </c>
      <c r="Q125" s="7" t="s">
        <v>109</v>
      </c>
    </row>
    <row r="126">
      <c r="A126" s="3">
        <v>125.0</v>
      </c>
      <c r="B126" s="4" t="str">
        <f>IFERROR(__xludf.DUMMYFUNCTION("GOOGLETRANSLATE(K126, ""en"", ""bn"")"),"পেছনের দিকের লোকেরা কী করছে?")</f>
        <v>পেছনের দিকের লোকেরা কী করছে?</v>
      </c>
      <c r="C126" s="4" t="str">
        <f>IFERROR(__xludf.DUMMYFUNCTION("GOOGLETRANSLATE(L126, ""en"", ""bn"")"),"অন্য খেলা খেলছি")</f>
        <v>অন্য খেলা খেলছি</v>
      </c>
      <c r="D126" s="4" t="str">
        <f>IFERROR(__xludf.DUMMYFUNCTION("GOOGLETRANSLATE(M126, ""en"", ""bn"")"),"তাদের পালার অপেক্ষায়")</f>
        <v>তাদের পালার অপেক্ষায়</v>
      </c>
      <c r="E126" s="4" t="str">
        <f>IFERROR(__xludf.DUMMYFUNCTION("GOOGLETRANSLATE(N126, ""en"", ""bn"")"),"দর্শনীয়")</f>
        <v>দর্শনীয়</v>
      </c>
      <c r="F126" s="4" t="str">
        <f>IFERROR(__xludf.DUMMYFUNCTION("GOOGLETRANSLATE(O126, ""en"", ""bn"")"),"অনুশীলন")</f>
        <v>অনুশীলন</v>
      </c>
      <c r="G126" s="4" t="str">
        <f>IFERROR(__xludf.DUMMYFUNCTION("GOOGLETRANSLATE(P126, ""en"", ""bn"")"),"দর্শনীয়")</f>
        <v>দর্শনীয়</v>
      </c>
      <c r="H126" s="4" t="str">
        <f>IFERROR(__xludf.DUMMYFUNCTION("GOOGLETRANSLATE(Q126, ""en"", ""bn"")"),"ছবি 11")</f>
        <v>ছবি 11</v>
      </c>
      <c r="J126" s="5" t="str">
        <f>IFERROR(__xludf.DUMMYFUNCTION("GOOGLETRANSLATE(A126, ""bn"", ""en"")"),"125")</f>
        <v>125</v>
      </c>
      <c r="K126" s="6" t="s">
        <v>1660</v>
      </c>
      <c r="L126" s="6" t="s">
        <v>1661</v>
      </c>
      <c r="M126" s="6" t="s">
        <v>1662</v>
      </c>
      <c r="N126" s="6" t="s">
        <v>1663</v>
      </c>
      <c r="O126" s="6" t="s">
        <v>1664</v>
      </c>
      <c r="P126" s="6" t="s">
        <v>1663</v>
      </c>
      <c r="Q126" s="7" t="s">
        <v>109</v>
      </c>
    </row>
    <row r="127">
      <c r="A127" s="19"/>
      <c r="B127" s="19"/>
      <c r="C127" s="19"/>
      <c r="D127" s="19"/>
      <c r="E127" s="19"/>
      <c r="F127" s="19"/>
      <c r="G127" s="19"/>
      <c r="H127" s="19"/>
    </row>
    <row r="128">
      <c r="A128" s="19"/>
      <c r="B128" s="19"/>
      <c r="C128" s="19"/>
      <c r="D128" s="19"/>
      <c r="E128" s="19"/>
      <c r="F128" s="19"/>
      <c r="G128" s="19"/>
      <c r="H128" s="19"/>
      <c r="M128" s="17"/>
    </row>
    <row r="129">
      <c r="A129" s="19"/>
      <c r="B129" s="19"/>
      <c r="C129" s="19"/>
      <c r="D129" s="19"/>
      <c r="E129" s="19"/>
      <c r="F129" s="19"/>
      <c r="G129" s="19"/>
      <c r="H129" s="19"/>
      <c r="M129" s="23"/>
    </row>
    <row r="130">
      <c r="A130" s="19"/>
      <c r="B130" s="19"/>
      <c r="C130" s="19"/>
      <c r="D130" s="19"/>
      <c r="E130" s="19"/>
      <c r="F130" s="19"/>
      <c r="G130" s="19"/>
      <c r="H130" s="19"/>
      <c r="M130" s="17"/>
      <c r="N130" s="17"/>
      <c r="O130" s="17"/>
      <c r="P130" s="17"/>
      <c r="Q130" s="17"/>
      <c r="R130" s="17"/>
      <c r="S130" s="17"/>
    </row>
    <row r="131">
      <c r="A131" s="19"/>
      <c r="B131" s="19"/>
      <c r="C131" s="19"/>
      <c r="D131" s="19"/>
      <c r="E131" s="19"/>
      <c r="F131" s="19"/>
      <c r="G131" s="19"/>
      <c r="H131" s="19"/>
      <c r="M131" s="22"/>
    </row>
    <row r="132">
      <c r="A132" s="19"/>
      <c r="B132" s="19"/>
      <c r="C132" s="19"/>
      <c r="D132" s="19"/>
      <c r="E132" s="19"/>
      <c r="F132" s="19"/>
      <c r="G132" s="19"/>
      <c r="H132" s="19"/>
      <c r="M132" s="22"/>
    </row>
    <row r="133">
      <c r="A133" s="19"/>
      <c r="B133" s="19"/>
      <c r="C133" s="19"/>
      <c r="D133" s="19"/>
      <c r="E133" s="19"/>
      <c r="F133" s="19"/>
      <c r="G133" s="19"/>
      <c r="H133" s="19"/>
      <c r="M133" s="22"/>
    </row>
    <row r="134">
      <c r="A134" s="19"/>
      <c r="B134" s="19"/>
      <c r="C134" s="19"/>
      <c r="D134" s="19"/>
      <c r="E134" s="19"/>
      <c r="F134" s="19"/>
      <c r="G134" s="19"/>
      <c r="H134" s="19"/>
      <c r="M134" s="22"/>
      <c r="O134" s="17"/>
    </row>
    <row r="135">
      <c r="A135" s="19"/>
      <c r="B135" s="19"/>
      <c r="C135" s="19"/>
      <c r="D135" s="19"/>
      <c r="E135" s="19"/>
      <c r="F135" s="19"/>
      <c r="G135" s="19"/>
      <c r="H135" s="19"/>
      <c r="M135" s="22"/>
      <c r="O135" s="23"/>
    </row>
    <row r="136">
      <c r="A136" s="19"/>
      <c r="B136" s="19"/>
      <c r="C136" s="19"/>
      <c r="D136" s="19"/>
      <c r="E136" s="19"/>
      <c r="F136" s="19"/>
      <c r="G136" s="19"/>
      <c r="H136" s="19"/>
      <c r="M136" s="22"/>
      <c r="O136" s="17"/>
      <c r="P136" s="17"/>
      <c r="Q136" s="17"/>
      <c r="R136" s="17"/>
      <c r="S136" s="17"/>
      <c r="T136" s="17"/>
      <c r="U136" s="17"/>
    </row>
    <row r="137">
      <c r="A137" s="19"/>
      <c r="B137" s="19"/>
      <c r="C137" s="19"/>
      <c r="D137" s="19"/>
      <c r="E137" s="19"/>
      <c r="F137" s="19"/>
      <c r="G137" s="19"/>
      <c r="H137" s="19"/>
      <c r="M137" s="22"/>
      <c r="O137" s="22"/>
    </row>
    <row r="138">
      <c r="A138" s="19"/>
      <c r="B138" s="19"/>
      <c r="C138" s="19"/>
      <c r="D138" s="19"/>
      <c r="E138" s="19"/>
      <c r="F138" s="19"/>
      <c r="G138" s="19"/>
      <c r="H138" s="19"/>
      <c r="M138" s="22"/>
      <c r="O138" s="22"/>
    </row>
    <row r="139">
      <c r="A139" s="19"/>
      <c r="B139" s="19"/>
      <c r="C139" s="19"/>
      <c r="D139" s="19"/>
      <c r="E139" s="19"/>
      <c r="F139" s="19"/>
      <c r="G139" s="19"/>
      <c r="H139" s="19"/>
      <c r="M139" s="22"/>
      <c r="O139" s="22"/>
    </row>
    <row r="140">
      <c r="A140" s="19"/>
      <c r="B140" s="19"/>
      <c r="C140" s="19"/>
      <c r="D140" s="19"/>
      <c r="E140" s="19"/>
      <c r="F140" s="19"/>
      <c r="G140" s="19"/>
      <c r="H140" s="19"/>
      <c r="M140" s="22"/>
      <c r="O140" s="22"/>
    </row>
    <row r="141">
      <c r="A141" s="19"/>
      <c r="B141" s="19"/>
      <c r="C141" s="19"/>
      <c r="D141" s="19"/>
      <c r="E141" s="19"/>
      <c r="F141" s="19"/>
      <c r="G141" s="19"/>
      <c r="H141" s="19"/>
      <c r="O141" s="22"/>
    </row>
    <row r="142">
      <c r="A142" s="19"/>
      <c r="B142" s="19"/>
      <c r="C142" s="19"/>
      <c r="D142" s="19"/>
      <c r="E142" s="19"/>
      <c r="F142" s="19"/>
      <c r="G142" s="19"/>
      <c r="H142" s="19"/>
      <c r="O142" s="22"/>
      <c r="P142" s="17"/>
      <c r="Q142" s="17"/>
      <c r="R142" s="17"/>
      <c r="S142" s="17"/>
      <c r="T142" s="17"/>
      <c r="U142" s="17"/>
    </row>
    <row r="143">
      <c r="A143" s="19"/>
      <c r="B143" s="19"/>
      <c r="C143" s="19"/>
      <c r="D143" s="19"/>
      <c r="E143" s="19"/>
      <c r="F143" s="19"/>
      <c r="G143" s="19"/>
      <c r="H143" s="19"/>
      <c r="O143" s="22"/>
      <c r="P143" s="17"/>
      <c r="Q143" s="17"/>
      <c r="R143" s="17"/>
      <c r="S143" s="17"/>
      <c r="T143" s="17"/>
      <c r="U143" s="17"/>
    </row>
    <row r="144">
      <c r="A144" s="19"/>
      <c r="B144" s="19"/>
      <c r="C144" s="19"/>
      <c r="D144" s="19"/>
      <c r="E144" s="19"/>
      <c r="F144" s="19"/>
      <c r="G144" s="19"/>
      <c r="H144" s="19"/>
      <c r="O144" s="22"/>
      <c r="P144" s="17"/>
      <c r="Q144" s="17"/>
      <c r="R144" s="17"/>
      <c r="S144" s="17"/>
      <c r="T144" s="17"/>
      <c r="U144" s="17"/>
    </row>
    <row r="145">
      <c r="A145" s="19"/>
      <c r="B145" s="19"/>
      <c r="C145" s="19"/>
      <c r="D145" s="19"/>
      <c r="E145" s="19"/>
      <c r="F145" s="19"/>
      <c r="G145" s="19"/>
      <c r="H145" s="19"/>
      <c r="O145" s="22"/>
      <c r="P145" s="17"/>
      <c r="Q145" s="17"/>
      <c r="R145" s="17"/>
      <c r="S145" s="17"/>
      <c r="T145" s="17"/>
      <c r="U145" s="17"/>
    </row>
    <row r="146">
      <c r="A146" s="19"/>
      <c r="B146" s="19"/>
      <c r="C146" s="19"/>
      <c r="D146" s="19"/>
      <c r="E146" s="19"/>
      <c r="F146" s="19"/>
      <c r="G146" s="19"/>
      <c r="H146" s="19"/>
      <c r="O146" s="22"/>
      <c r="P146" s="17"/>
      <c r="Q146" s="17"/>
      <c r="R146" s="17"/>
      <c r="S146" s="17"/>
      <c r="T146" s="17"/>
      <c r="U146" s="17"/>
    </row>
    <row r="147">
      <c r="A147" s="19"/>
      <c r="B147" s="19"/>
      <c r="C147" s="19"/>
      <c r="D147" s="19"/>
      <c r="E147" s="19"/>
      <c r="F147" s="19"/>
      <c r="G147" s="19"/>
      <c r="H147" s="19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  <row r="959">
      <c r="A959" s="19"/>
      <c r="B959" s="19"/>
      <c r="C959" s="19"/>
      <c r="D959" s="19"/>
      <c r="E959" s="19"/>
      <c r="F959" s="19"/>
      <c r="G959" s="19"/>
      <c r="H959" s="19"/>
    </row>
    <row r="960">
      <c r="A960" s="19"/>
      <c r="B960" s="19"/>
      <c r="C960" s="19"/>
      <c r="D960" s="19"/>
      <c r="E960" s="19"/>
      <c r="F960" s="19"/>
      <c r="G960" s="19"/>
      <c r="H960" s="19"/>
    </row>
    <row r="961">
      <c r="A961" s="19"/>
      <c r="B961" s="19"/>
      <c r="C961" s="19"/>
      <c r="D961" s="19"/>
      <c r="E961" s="19"/>
      <c r="F961" s="19"/>
      <c r="G961" s="19"/>
      <c r="H961" s="19"/>
    </row>
    <row r="962">
      <c r="A962" s="19"/>
      <c r="B962" s="19"/>
      <c r="C962" s="19"/>
      <c r="D962" s="19"/>
      <c r="E962" s="19"/>
      <c r="F962" s="19"/>
      <c r="G962" s="19"/>
      <c r="H962" s="19"/>
    </row>
    <row r="963">
      <c r="A963" s="19"/>
      <c r="B963" s="19"/>
      <c r="C963" s="19"/>
      <c r="D963" s="19"/>
      <c r="E963" s="19"/>
      <c r="F963" s="19"/>
      <c r="G963" s="19"/>
      <c r="H963" s="19"/>
    </row>
    <row r="964">
      <c r="A964" s="19"/>
      <c r="B964" s="19"/>
      <c r="C964" s="19"/>
      <c r="D964" s="19"/>
      <c r="E964" s="19"/>
      <c r="F964" s="19"/>
      <c r="G964" s="19"/>
      <c r="H964" s="19"/>
    </row>
    <row r="965">
      <c r="A965" s="19"/>
      <c r="B965" s="19"/>
      <c r="C965" s="19"/>
      <c r="D965" s="19"/>
      <c r="E965" s="19"/>
      <c r="F965" s="19"/>
      <c r="G965" s="19"/>
      <c r="H965" s="19"/>
    </row>
    <row r="966">
      <c r="A966" s="19"/>
      <c r="B966" s="19"/>
      <c r="C966" s="19"/>
      <c r="D966" s="19"/>
      <c r="E966" s="19"/>
      <c r="F966" s="19"/>
      <c r="G966" s="19"/>
      <c r="H966" s="19"/>
    </row>
    <row r="967">
      <c r="A967" s="19"/>
      <c r="B967" s="19"/>
      <c r="C967" s="19"/>
      <c r="D967" s="19"/>
      <c r="E967" s="19"/>
      <c r="F967" s="19"/>
      <c r="G967" s="19"/>
      <c r="H967" s="19"/>
    </row>
    <row r="968">
      <c r="A968" s="19"/>
      <c r="B968" s="19"/>
      <c r="C968" s="19"/>
      <c r="D968" s="19"/>
      <c r="E968" s="19"/>
      <c r="F968" s="19"/>
      <c r="G968" s="19"/>
      <c r="H968" s="19"/>
    </row>
    <row r="969">
      <c r="A969" s="19"/>
      <c r="B969" s="19"/>
      <c r="C969" s="19"/>
      <c r="D969" s="19"/>
      <c r="E969" s="19"/>
      <c r="F969" s="19"/>
      <c r="G969" s="19"/>
      <c r="H969" s="19"/>
    </row>
    <row r="970">
      <c r="A970" s="19"/>
      <c r="B970" s="19"/>
      <c r="C970" s="19"/>
      <c r="D970" s="19"/>
      <c r="E970" s="19"/>
      <c r="F970" s="19"/>
      <c r="G970" s="19"/>
      <c r="H970" s="19"/>
    </row>
    <row r="971">
      <c r="A971" s="19"/>
      <c r="B971" s="19"/>
      <c r="C971" s="19"/>
      <c r="D971" s="19"/>
      <c r="E971" s="19"/>
      <c r="F971" s="19"/>
      <c r="G971" s="19"/>
      <c r="H971" s="19"/>
    </row>
    <row r="972">
      <c r="A972" s="19"/>
      <c r="B972" s="19"/>
      <c r="C972" s="19"/>
      <c r="D972" s="19"/>
      <c r="E972" s="19"/>
      <c r="F972" s="19"/>
      <c r="G972" s="19"/>
      <c r="H972" s="19"/>
    </row>
    <row r="973">
      <c r="A973" s="19"/>
      <c r="B973" s="19"/>
      <c r="C973" s="19"/>
      <c r="D973" s="19"/>
      <c r="E973" s="19"/>
      <c r="F973" s="19"/>
      <c r="G973" s="19"/>
      <c r="H973" s="19"/>
    </row>
    <row r="974">
      <c r="A974" s="19"/>
      <c r="B974" s="19"/>
      <c r="C974" s="19"/>
      <c r="D974" s="19"/>
      <c r="E974" s="19"/>
      <c r="F974" s="19"/>
      <c r="G974" s="19"/>
      <c r="H974" s="19"/>
    </row>
    <row r="975">
      <c r="A975" s="19"/>
      <c r="B975" s="19"/>
      <c r="C975" s="19"/>
      <c r="D975" s="19"/>
      <c r="E975" s="19"/>
      <c r="F975" s="19"/>
      <c r="G975" s="19"/>
      <c r="H975" s="19"/>
    </row>
    <row r="976">
      <c r="A976" s="19"/>
      <c r="B976" s="19"/>
      <c r="C976" s="19"/>
      <c r="D976" s="19"/>
      <c r="E976" s="19"/>
      <c r="F976" s="19"/>
      <c r="G976" s="19"/>
      <c r="H976" s="19"/>
    </row>
    <row r="977">
      <c r="A977" s="19"/>
      <c r="B977" s="19"/>
      <c r="C977" s="19"/>
      <c r="D977" s="19"/>
      <c r="E977" s="19"/>
      <c r="F977" s="19"/>
      <c r="G977" s="19"/>
      <c r="H977" s="19"/>
    </row>
    <row r="978">
      <c r="A978" s="19"/>
      <c r="B978" s="19"/>
      <c r="C978" s="19"/>
      <c r="D978" s="19"/>
      <c r="E978" s="19"/>
      <c r="F978" s="19"/>
      <c r="G978" s="19"/>
      <c r="H978" s="19"/>
    </row>
    <row r="979">
      <c r="A979" s="19"/>
      <c r="B979" s="19"/>
      <c r="C979" s="19"/>
      <c r="D979" s="19"/>
      <c r="E979" s="19"/>
      <c r="F979" s="19"/>
      <c r="G979" s="19"/>
      <c r="H979" s="19"/>
    </row>
    <row r="980">
      <c r="A980" s="19"/>
      <c r="B980" s="19"/>
      <c r="C980" s="19"/>
      <c r="D980" s="19"/>
      <c r="E980" s="19"/>
      <c r="F980" s="19"/>
      <c r="G980" s="19"/>
      <c r="H980" s="19"/>
    </row>
    <row r="981">
      <c r="A981" s="19"/>
      <c r="B981" s="19"/>
      <c r="C981" s="19"/>
      <c r="D981" s="19"/>
      <c r="E981" s="19"/>
      <c r="F981" s="19"/>
      <c r="G981" s="19"/>
      <c r="H981" s="19"/>
    </row>
    <row r="982">
      <c r="A982" s="19"/>
      <c r="B982" s="19"/>
      <c r="C982" s="19"/>
      <c r="D982" s="19"/>
      <c r="E982" s="19"/>
      <c r="F982" s="19"/>
      <c r="G982" s="19"/>
      <c r="H982" s="19"/>
    </row>
    <row r="983">
      <c r="A983" s="19"/>
      <c r="B983" s="19"/>
      <c r="C983" s="19"/>
      <c r="D983" s="19"/>
      <c r="E983" s="19"/>
      <c r="F983" s="19"/>
      <c r="G983" s="19"/>
      <c r="H983" s="19"/>
    </row>
    <row r="984">
      <c r="A984" s="19"/>
      <c r="B984" s="19"/>
      <c r="C984" s="19"/>
      <c r="D984" s="19"/>
      <c r="E984" s="19"/>
      <c r="F984" s="19"/>
      <c r="G984" s="19"/>
      <c r="H984" s="19"/>
    </row>
    <row r="985">
      <c r="A985" s="19"/>
      <c r="B985" s="19"/>
      <c r="C985" s="19"/>
      <c r="D985" s="19"/>
      <c r="E985" s="19"/>
      <c r="F985" s="19"/>
      <c r="G985" s="19"/>
      <c r="H985" s="19"/>
    </row>
    <row r="986">
      <c r="A986" s="19"/>
      <c r="B986" s="19"/>
      <c r="C986" s="19"/>
      <c r="D986" s="19"/>
      <c r="E986" s="19"/>
      <c r="F986" s="19"/>
      <c r="G986" s="19"/>
      <c r="H986" s="19"/>
    </row>
    <row r="987">
      <c r="A987" s="19"/>
      <c r="B987" s="19"/>
      <c r="C987" s="19"/>
      <c r="D987" s="19"/>
      <c r="E987" s="19"/>
      <c r="F987" s="19"/>
      <c r="G987" s="19"/>
      <c r="H987" s="19"/>
    </row>
    <row r="988">
      <c r="A988" s="19"/>
      <c r="B988" s="19"/>
      <c r="C988" s="19"/>
      <c r="D988" s="19"/>
      <c r="E988" s="19"/>
      <c r="F988" s="19"/>
      <c r="G988" s="19"/>
      <c r="H988" s="19"/>
    </row>
    <row r="989">
      <c r="A989" s="19"/>
      <c r="B989" s="19"/>
      <c r="C989" s="19"/>
      <c r="D989" s="19"/>
      <c r="E989" s="19"/>
      <c r="F989" s="19"/>
      <c r="G989" s="19"/>
      <c r="H989" s="19"/>
    </row>
    <row r="990">
      <c r="A990" s="19"/>
      <c r="B990" s="19"/>
      <c r="C990" s="19"/>
      <c r="D990" s="19"/>
      <c r="E990" s="19"/>
      <c r="F990" s="19"/>
      <c r="G990" s="19"/>
      <c r="H990" s="19"/>
    </row>
    <row r="991">
      <c r="A991" s="19"/>
      <c r="B991" s="19"/>
      <c r="C991" s="19"/>
      <c r="D991" s="19"/>
      <c r="E991" s="19"/>
      <c r="F991" s="19"/>
      <c r="G991" s="19"/>
      <c r="H991" s="19"/>
    </row>
    <row r="992">
      <c r="A992" s="19"/>
      <c r="B992" s="19"/>
      <c r="C992" s="19"/>
      <c r="D992" s="19"/>
      <c r="E992" s="19"/>
      <c r="F992" s="19"/>
      <c r="G992" s="19"/>
      <c r="H992" s="19"/>
    </row>
    <row r="993">
      <c r="A993" s="19"/>
      <c r="B993" s="19"/>
      <c r="C993" s="19"/>
      <c r="D993" s="19"/>
      <c r="E993" s="19"/>
      <c r="F993" s="19"/>
      <c r="G993" s="19"/>
      <c r="H993" s="19"/>
    </row>
    <row r="994">
      <c r="A994" s="19"/>
      <c r="B994" s="19"/>
      <c r="C994" s="19"/>
      <c r="D994" s="19"/>
      <c r="E994" s="19"/>
      <c r="F994" s="19"/>
      <c r="G994" s="19"/>
      <c r="H994" s="19"/>
    </row>
    <row r="995">
      <c r="A995" s="19"/>
      <c r="B995" s="19"/>
      <c r="C995" s="19"/>
      <c r="D995" s="19"/>
      <c r="E995" s="19"/>
      <c r="F995" s="19"/>
      <c r="G995" s="19"/>
      <c r="H995" s="19"/>
    </row>
    <row r="996">
      <c r="A996" s="19"/>
      <c r="B996" s="19"/>
      <c r="C996" s="19"/>
      <c r="D996" s="19"/>
      <c r="E996" s="19"/>
      <c r="F996" s="19"/>
      <c r="G996" s="19"/>
      <c r="H996" s="19"/>
    </row>
    <row r="997">
      <c r="A997" s="19"/>
      <c r="B997" s="19"/>
      <c r="C997" s="19"/>
      <c r="D997" s="19"/>
      <c r="E997" s="19"/>
      <c r="F997" s="19"/>
      <c r="G997" s="19"/>
      <c r="H997" s="19"/>
    </row>
    <row r="998">
      <c r="A998" s="19"/>
      <c r="B998" s="19"/>
      <c r="C998" s="19"/>
      <c r="D998" s="19"/>
      <c r="E998" s="19"/>
      <c r="F998" s="19"/>
      <c r="G998" s="19"/>
      <c r="H998" s="19"/>
    </row>
    <row r="999">
      <c r="A999" s="19"/>
      <c r="B999" s="19"/>
      <c r="C999" s="19"/>
      <c r="D999" s="19"/>
      <c r="E999" s="19"/>
      <c r="F999" s="19"/>
      <c r="G999" s="19"/>
      <c r="H999" s="19"/>
    </row>
    <row r="1000">
      <c r="A1000" s="19"/>
      <c r="B1000" s="19"/>
      <c r="C1000" s="19"/>
      <c r="D1000" s="19"/>
      <c r="E1000" s="19"/>
      <c r="F1000" s="19"/>
      <c r="G1000" s="19"/>
      <c r="H1000" s="19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2.38"/>
    <col customWidth="1" min="4" max="5" width="14.88"/>
    <col customWidth="1" min="7" max="7" width="22.38"/>
    <col customWidth="1" min="10" max="10" width="14.38"/>
    <col customWidth="1" min="11" max="11" width="37.63"/>
    <col customWidth="1" min="12" max="12" width="23.25"/>
    <col customWidth="1" min="13" max="14" width="18.5"/>
    <col customWidth="1" min="15" max="15" width="15.5"/>
    <col customWidth="1" min="16" max="16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1.0</v>
      </c>
      <c r="B2" s="4" t="s">
        <v>1665</v>
      </c>
      <c r="C2" s="4" t="s">
        <v>1666</v>
      </c>
      <c r="D2" s="4" t="s">
        <v>547</v>
      </c>
      <c r="E2" s="4" t="s">
        <v>1073</v>
      </c>
      <c r="F2" s="4" t="s">
        <v>1058</v>
      </c>
      <c r="G2" s="4" t="s">
        <v>1666</v>
      </c>
      <c r="H2" s="4" t="s">
        <v>21</v>
      </c>
      <c r="I2" s="19"/>
      <c r="J2" s="5" t="str">
        <f>IFERROR(__xludf.DUMMYFUNCTION("GOOGLETRANSLATE(A2, ""bn"", ""en"")"),"1")</f>
        <v>1</v>
      </c>
      <c r="K2" s="5" t="str">
        <f>IFERROR(__xludf.DUMMYFUNCTION("GOOGLETRANSLATE(B2, ""bn"", ""en"")"),"What is the goal of the contestants in the Dariyabandha competition?")</f>
        <v>What is the goal of the contestants in the Dariyabandha competition?</v>
      </c>
      <c r="L2" s="5" t="str">
        <f>IFERROR(__xludf.DUMMYFUNCTION("GOOGLETRANSLATE(C2, ""bn"", ""en"")"),"Crossing the designated line")</f>
        <v>Crossing the designated line</v>
      </c>
      <c r="M2" s="5" t="str">
        <f>IFERROR(__xludf.DUMMYFUNCTION("GOOGLETRANSLATE(D2, ""bn"", ""en"")"),"Show of strength")</f>
        <v>Show of strength</v>
      </c>
      <c r="N2" s="5" t="str">
        <f>IFERROR(__xludf.DUMMYFUNCTION("GOOGLETRANSLATE(E2, ""bn"", ""en"")"),"Use of flocks")</f>
        <v>Use of flocks</v>
      </c>
      <c r="O2" s="5" t="str">
        <f>IFERROR(__xludf.DUMMYFUNCTION("GOOGLETRANSLATE(F2, ""bn"", ""en"")"),"combination")</f>
        <v>combination</v>
      </c>
      <c r="P2" s="5" t="str">
        <f>IFERROR(__xludf.DUMMYFUNCTION("GOOGLETRANSLATE(G2, ""bn"", ""en"")"),"Crossing the designated line")</f>
        <v>Crossing the designated line</v>
      </c>
      <c r="Q2" s="5" t="str">
        <f>IFERROR(__xludf.DUMMYFUNCTION("GOOGLETRANSLATE(H2, ""bn"", ""en"")"),"pic1")</f>
        <v>pic1</v>
      </c>
    </row>
    <row r="3">
      <c r="A3" s="3">
        <v>2.0</v>
      </c>
      <c r="B3" s="4" t="s">
        <v>1059</v>
      </c>
      <c r="C3" s="4" t="s">
        <v>1060</v>
      </c>
      <c r="D3" s="4" t="s">
        <v>561</v>
      </c>
      <c r="E3" s="4" t="s">
        <v>1135</v>
      </c>
      <c r="F3" s="4" t="s">
        <v>1061</v>
      </c>
      <c r="G3" s="4" t="s">
        <v>1060</v>
      </c>
      <c r="H3" s="4" t="s">
        <v>21</v>
      </c>
      <c r="I3" s="19"/>
      <c r="J3" s="5" t="str">
        <f>IFERROR(__xludf.DUMMYFUNCTION("GOOGLETRANSLATE(A3, ""bn"", ""en"")"),"2")</f>
        <v>2</v>
      </c>
      <c r="K3" s="5" t="str">
        <f>IFERROR(__xludf.DUMMYFUNCTION("GOOGLETRANSLATE(B3, ""bn"", ""en"")"),"How is the competition environment in the film?")</f>
        <v>How is the competition environment in the film?</v>
      </c>
      <c r="L3" s="5" t="str">
        <f>IFERROR(__xludf.DUMMYFUNCTION("GOOGLETRANSLATE(C3, ""bn"", ""en"")"),"enthusiastic")</f>
        <v>enthusiastic</v>
      </c>
      <c r="M3" s="5" t="str">
        <f>IFERROR(__xludf.DUMMYFUNCTION("GOOGLETRANSLATE(D3, ""bn"", ""en"")"),"calm down")</f>
        <v>calm down</v>
      </c>
      <c r="N3" s="5" t="str">
        <f>IFERROR(__xludf.DUMMYFUNCTION("GOOGLETRANSLATE(E3, ""bn"", ""en"")"),"cheerful")</f>
        <v>cheerful</v>
      </c>
      <c r="O3" s="5" t="str">
        <f>IFERROR(__xludf.DUMMYFUNCTION("GOOGLETRANSLATE(F3, ""bn"", ""en"")"),"Boring")</f>
        <v>Boring</v>
      </c>
      <c r="P3" s="5" t="str">
        <f>IFERROR(__xludf.DUMMYFUNCTION("GOOGLETRANSLATE(G3, ""bn"", ""en"")"),"enthusiastic")</f>
        <v>enthusiastic</v>
      </c>
      <c r="Q3" s="5" t="str">
        <f>IFERROR(__xludf.DUMMYFUNCTION("GOOGLETRANSLATE(H3, ""bn"", ""en"")"),"pic1")</f>
        <v>pic1</v>
      </c>
    </row>
    <row r="4">
      <c r="A4" s="3">
        <v>3.0</v>
      </c>
      <c r="B4" s="4" t="s">
        <v>1667</v>
      </c>
      <c r="C4" s="4" t="s">
        <v>1144</v>
      </c>
      <c r="D4" s="4" t="s">
        <v>1145</v>
      </c>
      <c r="E4" s="4" t="s">
        <v>143</v>
      </c>
      <c r="F4" s="4" t="s">
        <v>1123</v>
      </c>
      <c r="G4" s="4" t="s">
        <v>1144</v>
      </c>
      <c r="H4" s="4" t="s">
        <v>32</v>
      </c>
      <c r="I4" s="19"/>
      <c r="J4" s="5" t="str">
        <f>IFERROR(__xludf.DUMMYFUNCTION("GOOGLETRANSLATE(A4, ""bn"", ""en"")"),"3")</f>
        <v>3</v>
      </c>
      <c r="K4" s="5" t="str">
        <f>IFERROR(__xludf.DUMMYFUNCTION("GOOGLETRANSLATE(B4, ""bn"", ""en"")"),"Which quality is revealed in the participants in Dariyabandha competition?")</f>
        <v>Which quality is revealed in the participants in Dariyabandha competition?</v>
      </c>
      <c r="L4" s="5" t="str">
        <f>IFERROR(__xludf.DUMMYFUNCTION("GOOGLETRANSLATE(C4, ""bn"", ""en"")"),"Teamwork")</f>
        <v>Teamwork</v>
      </c>
      <c r="M4" s="5" t="str">
        <f>IFERROR(__xludf.DUMMYFUNCTION("GOOGLETRANSLATE(D4, ""bn"", ""en"")"),"Individual skills")</f>
        <v>Individual skills</v>
      </c>
      <c r="N4" s="5" t="str">
        <f>IFERROR(__xludf.DUMMYFUNCTION("GOOGLETRANSLATE(E4, ""bn"", ""en"")"),"Power")</f>
        <v>Power</v>
      </c>
      <c r="O4" s="5" t="str">
        <f>IFERROR(__xludf.DUMMYFUNCTION("GOOGLETRANSLATE(F4, ""bn"", ""en"")"),"Endurance")</f>
        <v>Endurance</v>
      </c>
      <c r="P4" s="5" t="str">
        <f>IFERROR(__xludf.DUMMYFUNCTION("GOOGLETRANSLATE(G4, ""bn"", ""en"")"),"Teamwork")</f>
        <v>Teamwork</v>
      </c>
      <c r="Q4" s="5" t="str">
        <f>IFERROR(__xludf.DUMMYFUNCTION("GOOGLETRANSLATE(H4, ""bn"", ""en"")"),"pic2")</f>
        <v>pic2</v>
      </c>
    </row>
    <row r="5">
      <c r="A5" s="3">
        <v>4.0</v>
      </c>
      <c r="B5" s="4" t="s">
        <v>1146</v>
      </c>
      <c r="C5" s="4" t="s">
        <v>1147</v>
      </c>
      <c r="D5" s="4" t="s">
        <v>1079</v>
      </c>
      <c r="E5" s="4" t="s">
        <v>686</v>
      </c>
      <c r="F5" s="4" t="s">
        <v>535</v>
      </c>
      <c r="G5" s="4" t="s">
        <v>1147</v>
      </c>
      <c r="H5" s="4" t="s">
        <v>32</v>
      </c>
      <c r="I5" s="19"/>
      <c r="J5" s="5" t="str">
        <f>IFERROR(__xludf.DUMMYFUNCTION("GOOGLETRANSLATE(A5, ""bn"", ""en"")"),"4")</f>
        <v>4</v>
      </c>
      <c r="K5" s="5" t="str">
        <f>IFERROR(__xludf.DUMMYFUNCTION("GOOGLETRANSLATE(B5, ""bn"", ""en"")"),"What kind of attitude is shown among the contestants in the film?")</f>
        <v>What kind of attitude is shown among the contestants in the film?</v>
      </c>
      <c r="L5" s="5" t="str">
        <f>IFERROR(__xludf.DUMMYFUNCTION("GOOGLETRANSLATE(C5, ""bn"", ""en"")"),"enthusiasm")</f>
        <v>enthusiasm</v>
      </c>
      <c r="M5" s="5" t="str">
        <f>IFERROR(__xludf.DUMMYFUNCTION("GOOGLETRANSLATE(D5, ""bn"", ""en"")"),"Silence")</f>
        <v>Silence</v>
      </c>
      <c r="N5" s="5" t="str">
        <f>IFERROR(__xludf.DUMMYFUNCTION("GOOGLETRANSLATE(E5, ""bn"", ""en"")"),"Annoyance")</f>
        <v>Annoyance</v>
      </c>
      <c r="O5" s="5" t="str">
        <f>IFERROR(__xludf.DUMMYFUNCTION("GOOGLETRANSLATE(F5, ""bn"", ""en"")"),"indifference")</f>
        <v>indifference</v>
      </c>
      <c r="P5" s="5" t="str">
        <f>IFERROR(__xludf.DUMMYFUNCTION("GOOGLETRANSLATE(G5, ""bn"", ""en"")"),"enthusiasm")</f>
        <v>enthusiasm</v>
      </c>
      <c r="Q5" s="5" t="str">
        <f>IFERROR(__xludf.DUMMYFUNCTION("GOOGLETRANSLATE(H5, ""bn"", ""en"")"),"pic2")</f>
        <v>pic2</v>
      </c>
    </row>
    <row r="6">
      <c r="A6" s="3">
        <v>5.0</v>
      </c>
      <c r="B6" s="4" t="s">
        <v>1668</v>
      </c>
      <c r="C6" s="4" t="s">
        <v>1317</v>
      </c>
      <c r="D6" s="4" t="s">
        <v>1669</v>
      </c>
      <c r="E6" s="4" t="s">
        <v>1670</v>
      </c>
      <c r="F6" s="4" t="s">
        <v>547</v>
      </c>
      <c r="G6" s="4" t="s">
        <v>1317</v>
      </c>
      <c r="H6" s="4" t="s">
        <v>39</v>
      </c>
      <c r="I6" s="19"/>
      <c r="J6" s="5" t="str">
        <f>IFERROR(__xludf.DUMMYFUNCTION("GOOGLETRANSLATE(A6, ""bn"", ""en"")"),"5")</f>
        <v>5</v>
      </c>
      <c r="K6" s="5" t="str">
        <f>IFERROR(__xludf.DUMMYFUNCTION("GOOGLETRANSLATE(B6, ""bn"", ""en"")"),"Which technique is most effective in fencing competition?")</f>
        <v>Which technique is most effective in fencing competition?</v>
      </c>
      <c r="L6" s="5" t="str">
        <f>IFERROR(__xludf.DUMMYFUNCTION("GOOGLETRANSLATE(C6, ""bn"", ""en"")"),"run fast")</f>
        <v>run fast</v>
      </c>
      <c r="M6" s="5" t="str">
        <f>IFERROR(__xludf.DUMMYFUNCTION("GOOGLETRANSLATE(D6, ""bn"", ""en"")"),"risk taking")</f>
        <v>risk taking</v>
      </c>
      <c r="N6" s="5" t="str">
        <f>IFERROR(__xludf.DUMMYFUNCTION("GOOGLETRANSLATE(E6, ""bn"", ""en"")"),"Setting the right goals")</f>
        <v>Setting the right goals</v>
      </c>
      <c r="O6" s="5" t="str">
        <f>IFERROR(__xludf.DUMMYFUNCTION("GOOGLETRANSLATE(F6, ""bn"", ""en"")"),"Show of strength")</f>
        <v>Show of strength</v>
      </c>
      <c r="P6" s="5" t="str">
        <f>IFERROR(__xludf.DUMMYFUNCTION("GOOGLETRANSLATE(G6, ""bn"", ""en"")"),"run fast")</f>
        <v>run fast</v>
      </c>
      <c r="Q6" s="5" t="str">
        <f>IFERROR(__xludf.DUMMYFUNCTION("GOOGLETRANSLATE(H6, ""bn"", ""en"")"),"pic3")</f>
        <v>pic3</v>
      </c>
    </row>
    <row r="7">
      <c r="A7" s="3">
        <v>6.0</v>
      </c>
      <c r="B7" s="4" t="s">
        <v>1671</v>
      </c>
      <c r="C7" s="4" t="s">
        <v>1672</v>
      </c>
      <c r="D7" s="4" t="s">
        <v>1145</v>
      </c>
      <c r="E7" s="4" t="s">
        <v>534</v>
      </c>
      <c r="F7" s="4" t="s">
        <v>1123</v>
      </c>
      <c r="G7" s="4" t="s">
        <v>1672</v>
      </c>
      <c r="H7" s="4" t="s">
        <v>39</v>
      </c>
      <c r="I7" s="19"/>
      <c r="J7" s="5" t="str">
        <f>IFERROR(__xludf.DUMMYFUNCTION("GOOGLETRANSLATE(A7, ""bn"", ""en"")"),"6")</f>
        <v>6</v>
      </c>
      <c r="K7" s="5" t="str">
        <f>IFERROR(__xludf.DUMMYFUNCTION("GOOGLETRANSLATE(B7, ""bn"", ""en"")"),"What quality is being displayed among the contestants in the picture?")</f>
        <v>What quality is being displayed among the contestants in the picture?</v>
      </c>
      <c r="L7" s="5" t="str">
        <f>IFERROR(__xludf.DUMMYFUNCTION("GOOGLETRANSLATE(C7, ""bn"", ""en"")"),"Teamwork")</f>
        <v>Teamwork</v>
      </c>
      <c r="M7" s="5" t="str">
        <f>IFERROR(__xludf.DUMMYFUNCTION("GOOGLETRANSLATE(D7, ""bn"", ""en"")"),"Individual skills")</f>
        <v>Individual skills</v>
      </c>
      <c r="N7" s="5" t="str">
        <f>IFERROR(__xludf.DUMMYFUNCTION("GOOGLETRANSLATE(E7, ""bn"", ""en"")"),"Encouragement")</f>
        <v>Encouragement</v>
      </c>
      <c r="O7" s="5" t="str">
        <f>IFERROR(__xludf.DUMMYFUNCTION("GOOGLETRANSLATE(F7, ""bn"", ""en"")"),"Endurance")</f>
        <v>Endurance</v>
      </c>
      <c r="P7" s="5" t="str">
        <f>IFERROR(__xludf.DUMMYFUNCTION("GOOGLETRANSLATE(G7, ""bn"", ""en"")"),"Teamwork")</f>
        <v>Teamwork</v>
      </c>
      <c r="Q7" s="5" t="str">
        <f>IFERROR(__xludf.DUMMYFUNCTION("GOOGLETRANSLATE(H7, ""bn"", ""en"")"),"pic3")</f>
        <v>pic3</v>
      </c>
    </row>
    <row r="8">
      <c r="A8" s="3">
        <v>7.0</v>
      </c>
      <c r="B8" s="4" t="s">
        <v>1673</v>
      </c>
      <c r="C8" s="4" t="s">
        <v>156</v>
      </c>
      <c r="D8" s="4" t="s">
        <v>157</v>
      </c>
      <c r="E8" s="4" t="s">
        <v>1674</v>
      </c>
      <c r="F8" s="4" t="s">
        <v>1058</v>
      </c>
      <c r="G8" s="4" t="s">
        <v>157</v>
      </c>
      <c r="H8" s="4" t="s">
        <v>46</v>
      </c>
      <c r="I8" s="19"/>
      <c r="J8" s="5" t="str">
        <f>IFERROR(__xludf.DUMMYFUNCTION("GOOGLETRANSLATE(A8, ""bn"", ""en"")"),"7")</f>
        <v>7</v>
      </c>
      <c r="K8" s="5" t="str">
        <f>IFERROR(__xludf.DUMMYFUNCTION("GOOGLETRANSLATE(B8, ""bn"", ""en"")"),"What aspect is important in the Dariabandha competition?")</f>
        <v>What aspect is important in the Dariabandha competition?</v>
      </c>
      <c r="L8" s="5" t="str">
        <f>IFERROR(__xludf.DUMMYFUNCTION("GOOGLETRANSLATE(C8, ""bn"", ""en"")"),"Speed")</f>
        <v>Speed</v>
      </c>
      <c r="M8" s="5" t="str">
        <f>IFERROR(__xludf.DUMMYFUNCTION("GOOGLETRANSLATE(D8, ""bn"", ""en"")"),"Strategy")</f>
        <v>Strategy</v>
      </c>
      <c r="N8" s="5" t="str">
        <f>IFERROR(__xludf.DUMMYFUNCTION("GOOGLETRANSLATE(E8, ""bn"", ""en"")"),"attention")</f>
        <v>attention</v>
      </c>
      <c r="O8" s="5" t="str">
        <f>IFERROR(__xludf.DUMMYFUNCTION("GOOGLETRANSLATE(F8, ""bn"", ""en"")"),"combination")</f>
        <v>combination</v>
      </c>
      <c r="P8" s="5" t="str">
        <f>IFERROR(__xludf.DUMMYFUNCTION("GOOGLETRANSLATE(G8, ""bn"", ""en"")"),"Strategy")</f>
        <v>Strategy</v>
      </c>
      <c r="Q8" s="5" t="str">
        <f>IFERROR(__xludf.DUMMYFUNCTION("GOOGLETRANSLATE(H8, ""bn"", ""en"")"),"pic4")</f>
        <v>pic4</v>
      </c>
    </row>
    <row r="9">
      <c r="A9" s="3">
        <v>8.0</v>
      </c>
      <c r="B9" s="4" t="s">
        <v>1322</v>
      </c>
      <c r="C9" s="4" t="s">
        <v>1116</v>
      </c>
      <c r="D9" s="4" t="s">
        <v>1117</v>
      </c>
      <c r="E9" s="4" t="s">
        <v>1118</v>
      </c>
      <c r="F9" s="4" t="s">
        <v>1119</v>
      </c>
      <c r="G9" s="4" t="s">
        <v>1116</v>
      </c>
      <c r="H9" s="4" t="s">
        <v>46</v>
      </c>
      <c r="I9" s="19"/>
      <c r="J9" s="5" t="str">
        <f>IFERROR(__xludf.DUMMYFUNCTION("GOOGLETRANSLATE(A9, ""bn"", ""en"")"),"8")</f>
        <v>8</v>
      </c>
      <c r="K9" s="5" t="str">
        <f>IFERROR(__xludf.DUMMYFUNCTION("GOOGLETRANSLATE(B9, ""bn"", ""en"")"),"How is the excitement of the competition in the film?")</f>
        <v>How is the excitement of the competition in the film?</v>
      </c>
      <c r="L9" s="5" t="str">
        <f>IFERROR(__xludf.DUMMYFUNCTION("GOOGLETRANSLATE(C9, ""bn"", ""en"")"),"high")</f>
        <v>high</v>
      </c>
      <c r="M9" s="5" t="str">
        <f>IFERROR(__xludf.DUMMYFUNCTION("GOOGLETRANSLATE(D9, ""bn"", ""en"")"),"Low")</f>
        <v>Low</v>
      </c>
      <c r="N9" s="5" t="str">
        <f>IFERROR(__xludf.DUMMYFUNCTION("GOOGLETRANSLATE(E9, ""bn"", ""en"")"),"Medium")</f>
        <v>Medium</v>
      </c>
      <c r="O9" s="5" t="str">
        <f>IFERROR(__xludf.DUMMYFUNCTION("GOOGLETRANSLATE(F9, ""bn"", ""en"")"),"Variable")</f>
        <v>Variable</v>
      </c>
      <c r="P9" s="5" t="str">
        <f>IFERROR(__xludf.DUMMYFUNCTION("GOOGLETRANSLATE(G9, ""bn"", ""en"")"),"high")</f>
        <v>high</v>
      </c>
      <c r="Q9" s="5" t="str">
        <f>IFERROR(__xludf.DUMMYFUNCTION("GOOGLETRANSLATE(H9, ""bn"", ""en"")"),"pic4")</f>
        <v>pic4</v>
      </c>
    </row>
    <row r="10">
      <c r="A10" s="3">
        <v>9.0</v>
      </c>
      <c r="B10" s="4" t="s">
        <v>1675</v>
      </c>
      <c r="C10" s="4" t="s">
        <v>1091</v>
      </c>
      <c r="D10" s="4" t="s">
        <v>1318</v>
      </c>
      <c r="E10" s="4" t="s">
        <v>1676</v>
      </c>
      <c r="F10" s="4" t="s">
        <v>1058</v>
      </c>
      <c r="G10" s="4" t="s">
        <v>1058</v>
      </c>
      <c r="H10" s="4" t="s">
        <v>57</v>
      </c>
      <c r="I10" s="19"/>
      <c r="J10" s="5" t="str">
        <f>IFERROR(__xludf.DUMMYFUNCTION("GOOGLETRANSLATE(A10, ""bn"", ""en"")"),"9")</f>
        <v>9</v>
      </c>
      <c r="K10" s="5" t="str">
        <f>IFERROR(__xludf.DUMMYFUNCTION("GOOGLETRANSLATE(B10, ""bn"", ""en"")"),"What methods are the participants using in the Dariyabandha competition?")</f>
        <v>What methods are the participants using in the Dariyabandha competition?</v>
      </c>
      <c r="L10" s="5" t="str">
        <f>IFERROR(__xludf.DUMMYFUNCTION("GOOGLETRANSLATE(C10, ""bn"", ""en"")"),"fast speed")</f>
        <v>fast speed</v>
      </c>
      <c r="M10" s="5" t="str">
        <f>IFERROR(__xludf.DUMMYFUNCTION("GOOGLETRANSLATE(D10, ""bn"", ""en"")"),"Patience")</f>
        <v>Patience</v>
      </c>
      <c r="N10" s="5" t="str">
        <f>IFERROR(__xludf.DUMMYFUNCTION("GOOGLETRANSLATE(E10, ""bn"", ""en"")"),"the plan")</f>
        <v>the plan</v>
      </c>
      <c r="O10" s="5" t="str">
        <f>IFERROR(__xludf.DUMMYFUNCTION("GOOGLETRANSLATE(F10, ""bn"", ""en"")"),"combination")</f>
        <v>combination</v>
      </c>
      <c r="P10" s="5" t="str">
        <f>IFERROR(__xludf.DUMMYFUNCTION("GOOGLETRANSLATE(G10, ""bn"", ""en"")"),"combination")</f>
        <v>combination</v>
      </c>
      <c r="Q10" s="5" t="str">
        <f>IFERROR(__xludf.DUMMYFUNCTION("GOOGLETRANSLATE(H10, ""bn"", ""en"")"),"pic5")</f>
        <v>pic5</v>
      </c>
    </row>
    <row r="11">
      <c r="A11" s="3">
        <v>10.0</v>
      </c>
      <c r="B11" s="4" t="s">
        <v>1076</v>
      </c>
      <c r="C11" s="4" t="s">
        <v>1077</v>
      </c>
      <c r="D11" s="4" t="s">
        <v>1079</v>
      </c>
      <c r="E11" s="4" t="s">
        <v>686</v>
      </c>
      <c r="F11" s="4" t="s">
        <v>1078</v>
      </c>
      <c r="G11" s="4" t="s">
        <v>1077</v>
      </c>
      <c r="H11" s="4" t="s">
        <v>57</v>
      </c>
      <c r="I11" s="19"/>
      <c r="J11" s="5" t="str">
        <f>IFERROR(__xludf.DUMMYFUNCTION("GOOGLETRANSLATE(A11, ""bn"", ""en"")"),"10")</f>
        <v>10</v>
      </c>
      <c r="K11" s="5" t="str">
        <f>IFERROR(__xludf.DUMMYFUNCTION("GOOGLETRANSLATE(B11, ""bn"", ""en"")"),"How has the audience reacted to the film?")</f>
        <v>How has the audience reacted to the film?</v>
      </c>
      <c r="L11" s="5" t="str">
        <f>IFERROR(__xludf.DUMMYFUNCTION("GOOGLETRANSLATE(C11, ""bn"", ""en"")"),"Stimulus")</f>
        <v>Stimulus</v>
      </c>
      <c r="M11" s="5" t="str">
        <f>IFERROR(__xludf.DUMMYFUNCTION("GOOGLETRANSLATE(D11, ""bn"", ""en"")"),"Silence")</f>
        <v>Silence</v>
      </c>
      <c r="N11" s="5" t="str">
        <f>IFERROR(__xludf.DUMMYFUNCTION("GOOGLETRANSLATE(E11, ""bn"", ""en"")"),"Annoyance")</f>
        <v>Annoyance</v>
      </c>
      <c r="O11" s="5" t="str">
        <f>IFERROR(__xludf.DUMMYFUNCTION("GOOGLETRANSLATE(F11, ""bn"", ""en"")"),"without hesitation")</f>
        <v>without hesitation</v>
      </c>
      <c r="P11" s="5" t="str">
        <f>IFERROR(__xludf.DUMMYFUNCTION("GOOGLETRANSLATE(G11, ""bn"", ""en"")"),"Stimulus")</f>
        <v>Stimulus</v>
      </c>
      <c r="Q11" s="5" t="str">
        <f>IFERROR(__xludf.DUMMYFUNCTION("GOOGLETRANSLATE(H11, ""bn"", ""en"")"),"pic5")</f>
        <v>pic5</v>
      </c>
    </row>
    <row r="12">
      <c r="A12" s="3">
        <v>11.0</v>
      </c>
      <c r="B12" s="4" t="s">
        <v>1668</v>
      </c>
      <c r="C12" s="4" t="s">
        <v>1317</v>
      </c>
      <c r="D12" s="4" t="s">
        <v>1669</v>
      </c>
      <c r="E12" s="4" t="s">
        <v>1670</v>
      </c>
      <c r="F12" s="4" t="s">
        <v>547</v>
      </c>
      <c r="G12" s="4" t="s">
        <v>1317</v>
      </c>
      <c r="H12" s="4" t="s">
        <v>68</v>
      </c>
      <c r="I12" s="19"/>
      <c r="J12" s="5" t="str">
        <f>IFERROR(__xludf.DUMMYFUNCTION("GOOGLETRANSLATE(A12, ""bn"", ""en"")"),"11")</f>
        <v>11</v>
      </c>
      <c r="K12" s="5" t="str">
        <f>IFERROR(__xludf.DUMMYFUNCTION("GOOGLETRANSLATE(B12, ""bn"", ""en"")"),"Which technique is most effective in fencing competition?")</f>
        <v>Which technique is most effective in fencing competition?</v>
      </c>
      <c r="L12" s="5" t="str">
        <f>IFERROR(__xludf.DUMMYFUNCTION("GOOGLETRANSLATE(C12, ""bn"", ""en"")"),"run fast")</f>
        <v>run fast</v>
      </c>
      <c r="M12" s="5" t="str">
        <f>IFERROR(__xludf.DUMMYFUNCTION("GOOGLETRANSLATE(D12, ""bn"", ""en"")"),"risk taking")</f>
        <v>risk taking</v>
      </c>
      <c r="N12" s="5" t="str">
        <f>IFERROR(__xludf.DUMMYFUNCTION("GOOGLETRANSLATE(E12, ""bn"", ""en"")"),"Setting the right goals")</f>
        <v>Setting the right goals</v>
      </c>
      <c r="O12" s="5" t="str">
        <f>IFERROR(__xludf.DUMMYFUNCTION("GOOGLETRANSLATE(F12, ""bn"", ""en"")"),"Show of strength")</f>
        <v>Show of strength</v>
      </c>
      <c r="P12" s="5" t="str">
        <f>IFERROR(__xludf.DUMMYFUNCTION("GOOGLETRANSLATE(G12, ""bn"", ""en"")"),"run fast")</f>
        <v>run fast</v>
      </c>
      <c r="Q12" s="5" t="str">
        <f>IFERROR(__xludf.DUMMYFUNCTION("GOOGLETRANSLATE(H12, ""bn"", ""en"")"),"pic6")</f>
        <v>pic6</v>
      </c>
    </row>
    <row r="13">
      <c r="A13" s="3">
        <v>12.0</v>
      </c>
      <c r="B13" s="4" t="s">
        <v>1671</v>
      </c>
      <c r="C13" s="4" t="s">
        <v>1672</v>
      </c>
      <c r="D13" s="4" t="s">
        <v>1145</v>
      </c>
      <c r="E13" s="4" t="s">
        <v>534</v>
      </c>
      <c r="F13" s="4" t="s">
        <v>1123</v>
      </c>
      <c r="G13" s="4" t="s">
        <v>1672</v>
      </c>
      <c r="H13" s="4" t="s">
        <v>68</v>
      </c>
      <c r="I13" s="19"/>
      <c r="J13" s="5" t="str">
        <f>IFERROR(__xludf.DUMMYFUNCTION("GOOGLETRANSLATE(A13, ""bn"", ""en"")"),"12")</f>
        <v>12</v>
      </c>
      <c r="K13" s="5" t="str">
        <f>IFERROR(__xludf.DUMMYFUNCTION("GOOGLETRANSLATE(B13, ""bn"", ""en"")"),"What quality is being displayed among the contestants in the picture?")</f>
        <v>What quality is being displayed among the contestants in the picture?</v>
      </c>
      <c r="L13" s="5" t="str">
        <f>IFERROR(__xludf.DUMMYFUNCTION("GOOGLETRANSLATE(C13, ""bn"", ""en"")"),"Teamwork")</f>
        <v>Teamwork</v>
      </c>
      <c r="M13" s="5" t="str">
        <f>IFERROR(__xludf.DUMMYFUNCTION("GOOGLETRANSLATE(D13, ""bn"", ""en"")"),"Individual skills")</f>
        <v>Individual skills</v>
      </c>
      <c r="N13" s="5" t="str">
        <f>IFERROR(__xludf.DUMMYFUNCTION("GOOGLETRANSLATE(E13, ""bn"", ""en"")"),"Encouragement")</f>
        <v>Encouragement</v>
      </c>
      <c r="O13" s="5" t="str">
        <f>IFERROR(__xludf.DUMMYFUNCTION("GOOGLETRANSLATE(F13, ""bn"", ""en"")"),"Endurance")</f>
        <v>Endurance</v>
      </c>
      <c r="P13" s="5" t="str">
        <f>IFERROR(__xludf.DUMMYFUNCTION("GOOGLETRANSLATE(G13, ""bn"", ""en"")"),"Teamwork")</f>
        <v>Teamwork</v>
      </c>
      <c r="Q13" s="5" t="str">
        <f>IFERROR(__xludf.DUMMYFUNCTION("GOOGLETRANSLATE(H13, ""bn"", ""en"")"),"pic6")</f>
        <v>pic6</v>
      </c>
    </row>
    <row r="14">
      <c r="A14" s="3">
        <v>13.0</v>
      </c>
      <c r="B14" s="4" t="s">
        <v>1677</v>
      </c>
      <c r="C14" s="4" t="s">
        <v>156</v>
      </c>
      <c r="D14" s="4" t="s">
        <v>157</v>
      </c>
      <c r="E14" s="4" t="s">
        <v>143</v>
      </c>
      <c r="F14" s="4" t="s">
        <v>1674</v>
      </c>
      <c r="G14" s="4" t="s">
        <v>157</v>
      </c>
      <c r="H14" s="4" t="s">
        <v>68</v>
      </c>
      <c r="I14" s="19"/>
      <c r="J14" s="5" t="str">
        <f>IFERROR(__xludf.DUMMYFUNCTION("GOOGLETRANSLATE(A14, ""bn"", ""en"")"),"13")</f>
        <v>13</v>
      </c>
      <c r="K14" s="5" t="str">
        <f>IFERROR(__xludf.DUMMYFUNCTION("GOOGLETRANSLATE(B14, ""bn"", ""en"")"),"Which aspect is most important in fencing competition?")</f>
        <v>Which aspect is most important in fencing competition?</v>
      </c>
      <c r="L14" s="5" t="str">
        <f>IFERROR(__xludf.DUMMYFUNCTION("GOOGLETRANSLATE(C14, ""bn"", ""en"")"),"Speed")</f>
        <v>Speed</v>
      </c>
      <c r="M14" s="5" t="str">
        <f>IFERROR(__xludf.DUMMYFUNCTION("GOOGLETRANSLATE(D14, ""bn"", ""en"")"),"Strategy")</f>
        <v>Strategy</v>
      </c>
      <c r="N14" s="5" t="str">
        <f>IFERROR(__xludf.DUMMYFUNCTION("GOOGLETRANSLATE(E14, ""bn"", ""en"")"),"Power")</f>
        <v>Power</v>
      </c>
      <c r="O14" s="5" t="str">
        <f>IFERROR(__xludf.DUMMYFUNCTION("GOOGLETRANSLATE(F14, ""bn"", ""en"")"),"attention")</f>
        <v>attention</v>
      </c>
      <c r="P14" s="5" t="str">
        <f>IFERROR(__xludf.DUMMYFUNCTION("GOOGLETRANSLATE(G14, ""bn"", ""en"")"),"Strategy")</f>
        <v>Strategy</v>
      </c>
      <c r="Q14" s="5" t="str">
        <f>IFERROR(__xludf.DUMMYFUNCTION("GOOGLETRANSLATE(H14, ""bn"", ""en"")"),"pic6")</f>
        <v>pic6</v>
      </c>
    </row>
    <row r="15">
      <c r="A15" s="3">
        <v>14.0</v>
      </c>
      <c r="B15" s="4" t="s">
        <v>1076</v>
      </c>
      <c r="C15" s="4" t="s">
        <v>1077</v>
      </c>
      <c r="D15" s="4" t="s">
        <v>1079</v>
      </c>
      <c r="E15" s="4" t="s">
        <v>686</v>
      </c>
      <c r="F15" s="4" t="s">
        <v>1078</v>
      </c>
      <c r="G15" s="4" t="s">
        <v>1077</v>
      </c>
      <c r="H15" s="4" t="s">
        <v>72</v>
      </c>
      <c r="I15" s="19"/>
      <c r="J15" s="5" t="str">
        <f>IFERROR(__xludf.DUMMYFUNCTION("GOOGLETRANSLATE(A15, ""bn"", ""en"")"),"14")</f>
        <v>14</v>
      </c>
      <c r="K15" s="5" t="str">
        <f>IFERROR(__xludf.DUMMYFUNCTION("GOOGLETRANSLATE(B15, ""bn"", ""en"")"),"How has the audience reacted to the film?")</f>
        <v>How has the audience reacted to the film?</v>
      </c>
      <c r="L15" s="5" t="str">
        <f>IFERROR(__xludf.DUMMYFUNCTION("GOOGLETRANSLATE(C15, ""bn"", ""en"")"),"Stimulus")</f>
        <v>Stimulus</v>
      </c>
      <c r="M15" s="5" t="str">
        <f>IFERROR(__xludf.DUMMYFUNCTION("GOOGLETRANSLATE(D15, ""bn"", ""en"")"),"Silence")</f>
        <v>Silence</v>
      </c>
      <c r="N15" s="5" t="str">
        <f>IFERROR(__xludf.DUMMYFUNCTION("GOOGLETRANSLATE(E15, ""bn"", ""en"")"),"Annoyance")</f>
        <v>Annoyance</v>
      </c>
      <c r="O15" s="5" t="str">
        <f>IFERROR(__xludf.DUMMYFUNCTION("GOOGLETRANSLATE(F15, ""bn"", ""en"")"),"without hesitation")</f>
        <v>without hesitation</v>
      </c>
      <c r="P15" s="5" t="str">
        <f>IFERROR(__xludf.DUMMYFUNCTION("GOOGLETRANSLATE(G15, ""bn"", ""en"")"),"Stimulus")</f>
        <v>Stimulus</v>
      </c>
      <c r="Q15" s="5" t="str">
        <f>IFERROR(__xludf.DUMMYFUNCTION("GOOGLETRANSLATE(H15, ""bn"", ""en"")"),"pic7")</f>
        <v>pic7</v>
      </c>
    </row>
    <row r="16">
      <c r="A16" s="3">
        <v>15.0</v>
      </c>
      <c r="B16" s="4" t="s">
        <v>1678</v>
      </c>
      <c r="C16" s="4" t="s">
        <v>1317</v>
      </c>
      <c r="D16" s="4" t="s">
        <v>1679</v>
      </c>
      <c r="E16" s="4" t="s">
        <v>1676</v>
      </c>
      <c r="F16" s="4" t="s">
        <v>547</v>
      </c>
      <c r="G16" s="4" t="s">
        <v>1676</v>
      </c>
      <c r="H16" s="4" t="s">
        <v>72</v>
      </c>
      <c r="I16" s="19"/>
      <c r="J16" s="5" t="str">
        <f>IFERROR(__xludf.DUMMYFUNCTION("GOOGLETRANSLATE(A16, ""bn"", ""en"")"),"15")</f>
        <v>15</v>
      </c>
      <c r="K16" s="5" t="str">
        <f>IFERROR(__xludf.DUMMYFUNCTION("GOOGLETRANSLATE(B16, ""bn"", ""en"")"),"How are the competitors using their techniques in the Dariyabandha competition?")</f>
        <v>How are the competitors using their techniques in the Dariyabandha competition?</v>
      </c>
      <c r="L16" s="5" t="str">
        <f>IFERROR(__xludf.DUMMYFUNCTION("GOOGLETRANSLATE(C16, ""bn"", ""en"")"),"run fast")</f>
        <v>run fast</v>
      </c>
      <c r="M16" s="5" t="str">
        <f>IFERROR(__xludf.DUMMYFUNCTION("GOOGLETRANSLATE(D16, ""bn"", ""en"")"),"sustained attention")</f>
        <v>sustained attention</v>
      </c>
      <c r="N16" s="5" t="str">
        <f>IFERROR(__xludf.DUMMYFUNCTION("GOOGLETRANSLATE(E16, ""bn"", ""en"")"),"the plan")</f>
        <v>the plan</v>
      </c>
      <c r="O16" s="5" t="str">
        <f>IFERROR(__xludf.DUMMYFUNCTION("GOOGLETRANSLATE(F16, ""bn"", ""en"")"),"Show of strength")</f>
        <v>Show of strength</v>
      </c>
      <c r="P16" s="5" t="str">
        <f>IFERROR(__xludf.DUMMYFUNCTION("GOOGLETRANSLATE(G16, ""bn"", ""en"")"),"the plan")</f>
        <v>the plan</v>
      </c>
      <c r="Q16" s="5" t="str">
        <f>IFERROR(__xludf.DUMMYFUNCTION("GOOGLETRANSLATE(H16, ""bn"", ""en"")"),"pic7")</f>
        <v>pic7</v>
      </c>
    </row>
    <row r="17">
      <c r="A17" s="3">
        <v>16.0</v>
      </c>
      <c r="B17" s="4" t="s">
        <v>1076</v>
      </c>
      <c r="C17" s="4" t="s">
        <v>1680</v>
      </c>
      <c r="D17" s="4" t="s">
        <v>561</v>
      </c>
      <c r="E17" s="4" t="s">
        <v>1135</v>
      </c>
      <c r="F17" s="4" t="s">
        <v>1061</v>
      </c>
      <c r="G17" s="4" t="s">
        <v>1680</v>
      </c>
      <c r="H17" s="4" t="s">
        <v>81</v>
      </c>
      <c r="I17" s="19"/>
      <c r="J17" s="5" t="str">
        <f>IFERROR(__xludf.DUMMYFUNCTION("GOOGLETRANSLATE(A17, ""bn"", ""en"")"),"16")</f>
        <v>16</v>
      </c>
      <c r="K17" s="5" t="str">
        <f>IFERROR(__xludf.DUMMYFUNCTION("GOOGLETRANSLATE(B17, ""bn"", ""en"")"),"How has the audience reacted to the film?")</f>
        <v>How has the audience reacted to the film?</v>
      </c>
      <c r="L17" s="5" t="str">
        <f>IFERROR(__xludf.DUMMYFUNCTION("GOOGLETRANSLATE(C17, ""bn"", ""en"")"),"encouraged")</f>
        <v>encouraged</v>
      </c>
      <c r="M17" s="5" t="str">
        <f>IFERROR(__xludf.DUMMYFUNCTION("GOOGLETRANSLATE(D17, ""bn"", ""en"")"),"calm down")</f>
        <v>calm down</v>
      </c>
      <c r="N17" s="5" t="str">
        <f>IFERROR(__xludf.DUMMYFUNCTION("GOOGLETRANSLATE(E17, ""bn"", ""en"")"),"cheerful")</f>
        <v>cheerful</v>
      </c>
      <c r="O17" s="5" t="str">
        <f>IFERROR(__xludf.DUMMYFUNCTION("GOOGLETRANSLATE(F17, ""bn"", ""en"")"),"Boring")</f>
        <v>Boring</v>
      </c>
      <c r="P17" s="5" t="str">
        <f>IFERROR(__xludf.DUMMYFUNCTION("GOOGLETRANSLATE(G17, ""bn"", ""en"")"),"encouraged")</f>
        <v>encouraged</v>
      </c>
      <c r="Q17" s="5" t="str">
        <f>IFERROR(__xludf.DUMMYFUNCTION("GOOGLETRANSLATE(H17, ""bn"", ""en"")"),"pic8")</f>
        <v>pic8</v>
      </c>
    </row>
    <row r="18">
      <c r="A18" s="3">
        <v>17.0</v>
      </c>
      <c r="B18" s="4" t="s">
        <v>1681</v>
      </c>
      <c r="C18" s="4" t="s">
        <v>1317</v>
      </c>
      <c r="D18" s="4" t="s">
        <v>1670</v>
      </c>
      <c r="E18" s="4" t="s">
        <v>1058</v>
      </c>
      <c r="F18" s="4" t="s">
        <v>1318</v>
      </c>
      <c r="G18" s="4" t="s">
        <v>1670</v>
      </c>
      <c r="H18" s="4" t="s">
        <v>81</v>
      </c>
      <c r="I18" s="19"/>
      <c r="J18" s="5" t="str">
        <f>IFERROR(__xludf.DUMMYFUNCTION("GOOGLETRANSLATE(A18, ""bn"", ""en"")"),"17")</f>
        <v>17</v>
      </c>
      <c r="K18" s="5" t="str">
        <f>IFERROR(__xludf.DUMMYFUNCTION("GOOGLETRANSLATE(B18, ""bn"", ""en"")"),"Which strategy is the key to success in the Dariabandha competition?")</f>
        <v>Which strategy is the key to success in the Dariabandha competition?</v>
      </c>
      <c r="L18" s="5" t="str">
        <f>IFERROR(__xludf.DUMMYFUNCTION("GOOGLETRANSLATE(C18, ""bn"", ""en"")"),"run fast")</f>
        <v>run fast</v>
      </c>
      <c r="M18" s="5" t="str">
        <f>IFERROR(__xludf.DUMMYFUNCTION("GOOGLETRANSLATE(D18, ""bn"", ""en"")"),"Setting the right goals")</f>
        <v>Setting the right goals</v>
      </c>
      <c r="N18" s="5" t="str">
        <f>IFERROR(__xludf.DUMMYFUNCTION("GOOGLETRANSLATE(E18, ""bn"", ""en"")"),"combination")</f>
        <v>combination</v>
      </c>
      <c r="O18" s="5" t="str">
        <f>IFERROR(__xludf.DUMMYFUNCTION("GOOGLETRANSLATE(F18, ""bn"", ""en"")"),"Patience")</f>
        <v>Patience</v>
      </c>
      <c r="P18" s="5" t="str">
        <f>IFERROR(__xludf.DUMMYFUNCTION("GOOGLETRANSLATE(G18, ""bn"", ""en"")"),"Setting the right goals")</f>
        <v>Setting the right goals</v>
      </c>
      <c r="Q18" s="5" t="str">
        <f>IFERROR(__xludf.DUMMYFUNCTION("GOOGLETRANSLATE(H18, ""bn"", ""en"")"),"pic8")</f>
        <v>pic8</v>
      </c>
    </row>
    <row r="19">
      <c r="A19" s="3">
        <v>18.0</v>
      </c>
      <c r="B19" s="4" t="s">
        <v>1682</v>
      </c>
      <c r="C19" s="4" t="s">
        <v>1147</v>
      </c>
      <c r="D19" s="4" t="s">
        <v>561</v>
      </c>
      <c r="E19" s="4" t="s">
        <v>1680</v>
      </c>
      <c r="F19" s="4" t="s">
        <v>1135</v>
      </c>
      <c r="G19" s="4" t="s">
        <v>1680</v>
      </c>
      <c r="H19" s="4" t="s">
        <v>88</v>
      </c>
      <c r="I19" s="19"/>
      <c r="J19" s="5" t="str">
        <f>IFERROR(__xludf.DUMMYFUNCTION("GOOGLETRANSLATE(A19, ""bn"", ""en"")"),"18")</f>
        <v>18</v>
      </c>
      <c r="K19" s="5" t="str">
        <f>IFERROR(__xludf.DUMMYFUNCTION("GOOGLETRANSLATE(B19, ""bn"", ""en"")"),"How is the excitement of the contestants displayed in the film?")</f>
        <v>How is the excitement of the contestants displayed in the film?</v>
      </c>
      <c r="L19" s="5" t="str">
        <f>IFERROR(__xludf.DUMMYFUNCTION("GOOGLETRANSLATE(C19, ""bn"", ""en"")"),"enthusiasm")</f>
        <v>enthusiasm</v>
      </c>
      <c r="M19" s="5" t="str">
        <f>IFERROR(__xludf.DUMMYFUNCTION("GOOGLETRANSLATE(D19, ""bn"", ""en"")"),"calm down")</f>
        <v>calm down</v>
      </c>
      <c r="N19" s="5" t="str">
        <f>IFERROR(__xludf.DUMMYFUNCTION("GOOGLETRANSLATE(E19, ""bn"", ""en"")"),"encouraged")</f>
        <v>encouraged</v>
      </c>
      <c r="O19" s="5" t="str">
        <f>IFERROR(__xludf.DUMMYFUNCTION("GOOGLETRANSLATE(F19, ""bn"", ""en"")"),"cheerful")</f>
        <v>cheerful</v>
      </c>
      <c r="P19" s="5" t="str">
        <f>IFERROR(__xludf.DUMMYFUNCTION("GOOGLETRANSLATE(G19, ""bn"", ""en"")"),"encouraged")</f>
        <v>encouraged</v>
      </c>
      <c r="Q19" s="5" t="str">
        <f>IFERROR(__xludf.DUMMYFUNCTION("GOOGLETRANSLATE(H19, ""bn"", ""en"")"),"pic9")</f>
        <v>pic9</v>
      </c>
    </row>
    <row r="20">
      <c r="A20" s="3">
        <v>19.0</v>
      </c>
      <c r="B20" s="4" t="s">
        <v>1683</v>
      </c>
      <c r="C20" s="4" t="s">
        <v>156</v>
      </c>
      <c r="D20" s="4" t="s">
        <v>1058</v>
      </c>
      <c r="E20" s="4" t="s">
        <v>1318</v>
      </c>
      <c r="F20" s="4" t="s">
        <v>157</v>
      </c>
      <c r="G20" s="4" t="s">
        <v>157</v>
      </c>
      <c r="H20" s="4" t="s">
        <v>88</v>
      </c>
      <c r="I20" s="19"/>
      <c r="J20" s="5" t="str">
        <f>IFERROR(__xludf.DUMMYFUNCTION("GOOGLETRANSLATE(A20, ""bn"", ""en"")"),"19")</f>
        <v>19</v>
      </c>
      <c r="K20" s="5" t="str">
        <f>IFERROR(__xludf.DUMMYFUNCTION("GOOGLETRANSLATE(B20, ""bn"", ""en"")"),"What aspect are participants working to improve in Dariyabandha competition?")</f>
        <v>What aspect are participants working to improve in Dariyabandha competition?</v>
      </c>
      <c r="L20" s="5" t="str">
        <f>IFERROR(__xludf.DUMMYFUNCTION("GOOGLETRANSLATE(C20, ""bn"", ""en"")"),"Speed")</f>
        <v>Speed</v>
      </c>
      <c r="M20" s="5" t="str">
        <f>IFERROR(__xludf.DUMMYFUNCTION("GOOGLETRANSLATE(D20, ""bn"", ""en"")"),"combination")</f>
        <v>combination</v>
      </c>
      <c r="N20" s="5" t="str">
        <f>IFERROR(__xludf.DUMMYFUNCTION("GOOGLETRANSLATE(E20, ""bn"", ""en"")"),"Patience")</f>
        <v>Patience</v>
      </c>
      <c r="O20" s="5" t="str">
        <f>IFERROR(__xludf.DUMMYFUNCTION("GOOGLETRANSLATE(F20, ""bn"", ""en"")"),"Strategy")</f>
        <v>Strategy</v>
      </c>
      <c r="P20" s="5" t="str">
        <f>IFERROR(__xludf.DUMMYFUNCTION("GOOGLETRANSLATE(G20, ""bn"", ""en"")"),"Strategy")</f>
        <v>Strategy</v>
      </c>
      <c r="Q20" s="5" t="str">
        <f>IFERROR(__xludf.DUMMYFUNCTION("GOOGLETRANSLATE(H20, ""bn"", ""en"")"),"pic9")</f>
        <v>pic9</v>
      </c>
    </row>
    <row r="21">
      <c r="A21" s="3">
        <v>20.0</v>
      </c>
      <c r="B21" s="4" t="s">
        <v>1684</v>
      </c>
      <c r="C21" s="4" t="s">
        <v>1139</v>
      </c>
      <c r="D21" s="4" t="s">
        <v>1320</v>
      </c>
      <c r="E21" s="4" t="s">
        <v>1135</v>
      </c>
      <c r="F21" s="4" t="s">
        <v>579</v>
      </c>
      <c r="G21" s="4" t="s">
        <v>1320</v>
      </c>
      <c r="H21" s="4" t="s">
        <v>98</v>
      </c>
      <c r="I21" s="19"/>
      <c r="J21" s="5" t="str">
        <f>IFERROR(__xludf.DUMMYFUNCTION("GOOGLETRANSLATE(A21, ""bn"", ""en"")"),"20")</f>
        <v>20</v>
      </c>
      <c r="K21" s="5" t="str">
        <f>IFERROR(__xludf.DUMMYFUNCTION("GOOGLETRANSLATE(B21, ""bn"", ""en"")"),"What expressions are appearing among the contestants in the picture?")</f>
        <v>What expressions are appearing among the contestants in the picture?</v>
      </c>
      <c r="L21" s="5" t="str">
        <f>IFERROR(__xludf.DUMMYFUNCTION("GOOGLETRANSLATE(C21, ""bn"", ""en"")"),"Serious")</f>
        <v>Serious</v>
      </c>
      <c r="M21" s="5" t="str">
        <f>IFERROR(__xludf.DUMMYFUNCTION("GOOGLETRANSLATE(D21, ""bn"", ""en"")"),"enthusiastic")</f>
        <v>enthusiastic</v>
      </c>
      <c r="N21" s="5" t="str">
        <f>IFERROR(__xludf.DUMMYFUNCTION("GOOGLETRANSLATE(E21, ""bn"", ""en"")"),"cheerful")</f>
        <v>cheerful</v>
      </c>
      <c r="O21" s="5" t="str">
        <f>IFERROR(__xludf.DUMMYFUNCTION("GOOGLETRANSLATE(F21, ""bn"", ""en"")"),"careless")</f>
        <v>careless</v>
      </c>
      <c r="P21" s="5" t="str">
        <f>IFERROR(__xludf.DUMMYFUNCTION("GOOGLETRANSLATE(G21, ""bn"", ""en"")"),"enthusiastic")</f>
        <v>enthusiastic</v>
      </c>
      <c r="Q21" s="5" t="str">
        <f>IFERROR(__xludf.DUMMYFUNCTION("GOOGLETRANSLATE(H21, ""bn"", ""en"")"),"pic10")</f>
        <v>pic10</v>
      </c>
    </row>
    <row r="22">
      <c r="A22" s="3">
        <v>21.0</v>
      </c>
      <c r="B22" s="4" t="s">
        <v>1685</v>
      </c>
      <c r="C22" s="4" t="s">
        <v>156</v>
      </c>
      <c r="D22" s="4" t="s">
        <v>1123</v>
      </c>
      <c r="E22" s="4" t="s">
        <v>157</v>
      </c>
      <c r="F22" s="4" t="s">
        <v>143</v>
      </c>
      <c r="G22" s="4" t="s">
        <v>157</v>
      </c>
      <c r="H22" s="4" t="s">
        <v>98</v>
      </c>
      <c r="I22" s="19"/>
      <c r="J22" s="5" t="str">
        <f>IFERROR(__xludf.DUMMYFUNCTION("GOOGLETRANSLATE(A22, ""bn"", ""en"")"),"21")</f>
        <v>21</v>
      </c>
      <c r="K22" s="5" t="str">
        <f>IFERROR(__xludf.DUMMYFUNCTION("GOOGLETRANSLATE(B22, ""bn"", ""en"")"),"Which skill is most important among participants in the Dariabandha competition?")</f>
        <v>Which skill is most important among participants in the Dariabandha competition?</v>
      </c>
      <c r="L22" s="5" t="str">
        <f>IFERROR(__xludf.DUMMYFUNCTION("GOOGLETRANSLATE(C22, ""bn"", ""en"")"),"Speed")</f>
        <v>Speed</v>
      </c>
      <c r="M22" s="5" t="str">
        <f>IFERROR(__xludf.DUMMYFUNCTION("GOOGLETRANSLATE(D22, ""bn"", ""en"")"),"Endurance")</f>
        <v>Endurance</v>
      </c>
      <c r="N22" s="5" t="str">
        <f>IFERROR(__xludf.DUMMYFUNCTION("GOOGLETRANSLATE(E22, ""bn"", ""en"")"),"Strategy")</f>
        <v>Strategy</v>
      </c>
      <c r="O22" s="5" t="str">
        <f>IFERROR(__xludf.DUMMYFUNCTION("GOOGLETRANSLATE(F22, ""bn"", ""en"")"),"Power")</f>
        <v>Power</v>
      </c>
      <c r="P22" s="5" t="str">
        <f>IFERROR(__xludf.DUMMYFUNCTION("GOOGLETRANSLATE(G22, ""bn"", ""en"")"),"Strategy")</f>
        <v>Strategy</v>
      </c>
      <c r="Q22" s="5" t="str">
        <f>IFERROR(__xludf.DUMMYFUNCTION("GOOGLETRANSLATE(H22, ""bn"", ""en"")"),"pic10")</f>
        <v>pic10</v>
      </c>
    </row>
    <row r="23">
      <c r="A23" s="3">
        <v>22.0</v>
      </c>
      <c r="B23" s="4" t="s">
        <v>1686</v>
      </c>
      <c r="C23" s="4" t="s">
        <v>1317</v>
      </c>
      <c r="D23" s="4" t="s">
        <v>1687</v>
      </c>
      <c r="E23" s="4" t="s">
        <v>1688</v>
      </c>
      <c r="F23" s="4" t="s">
        <v>1689</v>
      </c>
      <c r="G23" s="4" t="s">
        <v>1687</v>
      </c>
      <c r="H23" s="4" t="s">
        <v>109</v>
      </c>
      <c r="I23" s="19"/>
      <c r="J23" s="5" t="str">
        <f>IFERROR(__xludf.DUMMYFUNCTION("GOOGLETRANSLATE(A23, ""bn"", ""en"")"),"22")</f>
        <v>22</v>
      </c>
      <c r="K23" s="5" t="str">
        <f>IFERROR(__xludf.DUMMYFUNCTION("GOOGLETRANSLATE(B23, ""bn"", ""en"")"),"How are the contestants performing their tricks in the film?")</f>
        <v>How are the contestants performing their tricks in the film?</v>
      </c>
      <c r="L23" s="5" t="str">
        <f>IFERROR(__xludf.DUMMYFUNCTION("GOOGLETRANSLATE(C23, ""bn"", ""en"")"),"run fast")</f>
        <v>run fast</v>
      </c>
      <c r="M23" s="5" t="str">
        <f>IFERROR(__xludf.DUMMYFUNCTION("GOOGLETRANSLATE(D23, ""bn"", ""en"")"),"coordinated action")</f>
        <v>coordinated action</v>
      </c>
      <c r="N23" s="5" t="str">
        <f>IFERROR(__xludf.DUMMYFUNCTION("GOOGLETRANSLATE(E23, ""bn"", ""en"")"),"Tactical rotation")</f>
        <v>Tactical rotation</v>
      </c>
      <c r="O23" s="5" t="str">
        <f>IFERROR(__xludf.DUMMYFUNCTION("GOOGLETRANSLATE(F23, ""bn"", ""en"")"),"Patient planning")</f>
        <v>Patient planning</v>
      </c>
      <c r="P23" s="5" t="str">
        <f>IFERROR(__xludf.DUMMYFUNCTION("GOOGLETRANSLATE(G23, ""bn"", ""en"")"),"coordinated action")</f>
        <v>coordinated action</v>
      </c>
      <c r="Q23" s="5" t="str">
        <f>IFERROR(__xludf.DUMMYFUNCTION("GOOGLETRANSLATE(H23, ""bn"", ""en"")"),"pic11")</f>
        <v>pic11</v>
      </c>
    </row>
    <row r="24">
      <c r="A24" s="3">
        <v>23.0</v>
      </c>
      <c r="B24" s="4" t="s">
        <v>1690</v>
      </c>
      <c r="C24" s="4" t="s">
        <v>1058</v>
      </c>
      <c r="D24" s="4" t="s">
        <v>156</v>
      </c>
      <c r="E24" s="4" t="s">
        <v>1318</v>
      </c>
      <c r="F24" s="4" t="s">
        <v>1691</v>
      </c>
      <c r="G24" s="4" t="s">
        <v>1058</v>
      </c>
      <c r="H24" s="4" t="s">
        <v>109</v>
      </c>
      <c r="I24" s="19"/>
      <c r="J24" s="5" t="str">
        <f>IFERROR(__xludf.DUMMYFUNCTION("GOOGLETRANSLATE(A24, ""bn"", ""en"")"),"23")</f>
        <v>23</v>
      </c>
      <c r="K24" s="5" t="str">
        <f>IFERROR(__xludf.DUMMYFUNCTION("GOOGLETRANSLATE(B24, ""bn"", ""en"")"),"What kind of strategy is required in fencing competition?")</f>
        <v>What kind of strategy is required in fencing competition?</v>
      </c>
      <c r="L24" s="5" t="str">
        <f>IFERROR(__xludf.DUMMYFUNCTION("GOOGLETRANSLATE(C24, ""bn"", ""en"")"),"combination")</f>
        <v>combination</v>
      </c>
      <c r="M24" s="5" t="str">
        <f>IFERROR(__xludf.DUMMYFUNCTION("GOOGLETRANSLATE(D24, ""bn"", ""en"")"),"Speed")</f>
        <v>Speed</v>
      </c>
      <c r="N24" s="5" t="str">
        <f>IFERROR(__xludf.DUMMYFUNCTION("GOOGLETRANSLATE(E24, ""bn"", ""en"")"),"Patience")</f>
        <v>Patience</v>
      </c>
      <c r="O24" s="5" t="str">
        <f>IFERROR(__xludf.DUMMYFUNCTION("GOOGLETRANSLATE(F24, ""bn"", ""en"")"),"Accuracy")</f>
        <v>Accuracy</v>
      </c>
      <c r="P24" s="5" t="str">
        <f>IFERROR(__xludf.DUMMYFUNCTION("GOOGLETRANSLATE(G24, ""bn"", ""en"")"),"combination")</f>
        <v>combination</v>
      </c>
      <c r="Q24" s="5" t="str">
        <f>IFERROR(__xludf.DUMMYFUNCTION("GOOGLETRANSLATE(H24, ""bn"", ""en"")"),"pic11")</f>
        <v>pic11</v>
      </c>
    </row>
    <row r="25">
      <c r="A25" s="3">
        <v>24.0</v>
      </c>
      <c r="B25" s="4" t="s">
        <v>1692</v>
      </c>
      <c r="C25" s="4" t="s">
        <v>1116</v>
      </c>
      <c r="D25" s="4" t="s">
        <v>1118</v>
      </c>
      <c r="E25" s="4" t="s">
        <v>1117</v>
      </c>
      <c r="F25" s="4" t="s">
        <v>1119</v>
      </c>
      <c r="G25" s="4" t="s">
        <v>1116</v>
      </c>
      <c r="H25" s="4" t="s">
        <v>120</v>
      </c>
      <c r="I25" s="19"/>
      <c r="J25" s="5" t="str">
        <f>IFERROR(__xludf.DUMMYFUNCTION("GOOGLETRANSLATE(A25, ""bn"", ""en"")"),"24")</f>
        <v>24</v>
      </c>
      <c r="K25" s="5" t="str">
        <f>IFERROR(__xludf.DUMMYFUNCTION("GOOGLETRANSLATE(B25, ""bn"", ""en"")"),"What kind of attention are the contestants paying in the film?")</f>
        <v>What kind of attention are the contestants paying in the film?</v>
      </c>
      <c r="L25" s="5" t="str">
        <f>IFERROR(__xludf.DUMMYFUNCTION("GOOGLETRANSLATE(C25, ""bn"", ""en"")"),"high")</f>
        <v>high</v>
      </c>
      <c r="M25" s="5" t="str">
        <f>IFERROR(__xludf.DUMMYFUNCTION("GOOGLETRANSLATE(D25, ""bn"", ""en"")"),"Medium")</f>
        <v>Medium</v>
      </c>
      <c r="N25" s="5" t="str">
        <f>IFERROR(__xludf.DUMMYFUNCTION("GOOGLETRANSLATE(E25, ""bn"", ""en"")"),"Low")</f>
        <v>Low</v>
      </c>
      <c r="O25" s="5" t="str">
        <f>IFERROR(__xludf.DUMMYFUNCTION("GOOGLETRANSLATE(F25, ""bn"", ""en"")"),"Variable")</f>
        <v>Variable</v>
      </c>
      <c r="P25" s="5" t="str">
        <f>IFERROR(__xludf.DUMMYFUNCTION("GOOGLETRANSLATE(G25, ""bn"", ""en"")"),"high")</f>
        <v>high</v>
      </c>
      <c r="Q25" s="5" t="str">
        <f>IFERROR(__xludf.DUMMYFUNCTION("GOOGLETRANSLATE(H25, ""bn"", ""en"")"),"pic12")</f>
        <v>pic12</v>
      </c>
    </row>
    <row r="26">
      <c r="A26" s="3">
        <v>25.0</v>
      </c>
      <c r="B26" s="4" t="s">
        <v>1693</v>
      </c>
      <c r="C26" s="4" t="s">
        <v>1317</v>
      </c>
      <c r="D26" s="4" t="s">
        <v>1058</v>
      </c>
      <c r="E26" s="4" t="s">
        <v>157</v>
      </c>
      <c r="F26" s="4" t="s">
        <v>1318</v>
      </c>
      <c r="G26" s="4" t="s">
        <v>157</v>
      </c>
      <c r="H26" s="4" t="s">
        <v>120</v>
      </c>
      <c r="I26" s="19"/>
      <c r="J26" s="5" t="str">
        <f>IFERROR(__xludf.DUMMYFUNCTION("GOOGLETRANSLATE(A26, ""bn"", ""en"")"),"25")</f>
        <v>25</v>
      </c>
      <c r="K26" s="5" t="str">
        <f>IFERROR(__xludf.DUMMYFUNCTION("GOOGLETRANSLATE(B26, ""bn"", ""en"")"),"How are the participants in the Dariyabandha competition achieving their goals?")</f>
        <v>How are the participants in the Dariyabandha competition achieving their goals?</v>
      </c>
      <c r="L26" s="5" t="str">
        <f>IFERROR(__xludf.DUMMYFUNCTION("GOOGLETRANSLATE(C26, ""bn"", ""en"")"),"run fast")</f>
        <v>run fast</v>
      </c>
      <c r="M26" s="5" t="str">
        <f>IFERROR(__xludf.DUMMYFUNCTION("GOOGLETRANSLATE(D26, ""bn"", ""en"")"),"combination")</f>
        <v>combination</v>
      </c>
      <c r="N26" s="5" t="str">
        <f>IFERROR(__xludf.DUMMYFUNCTION("GOOGLETRANSLATE(E26, ""bn"", ""en"")"),"Strategy")</f>
        <v>Strategy</v>
      </c>
      <c r="O26" s="5" t="str">
        <f>IFERROR(__xludf.DUMMYFUNCTION("GOOGLETRANSLATE(F26, ""bn"", ""en"")"),"Patience")</f>
        <v>Patience</v>
      </c>
      <c r="P26" s="5" t="str">
        <f>IFERROR(__xludf.DUMMYFUNCTION("GOOGLETRANSLATE(G26, ""bn"", ""en"")"),"Strategy")</f>
        <v>Strategy</v>
      </c>
      <c r="Q26" s="5" t="str">
        <f>IFERROR(__xludf.DUMMYFUNCTION("GOOGLETRANSLATE(H26, ""bn"", ""en"")"),"pic12")</f>
        <v>pic12</v>
      </c>
    </row>
    <row r="27">
      <c r="A27" s="3">
        <v>26.0</v>
      </c>
      <c r="B27" s="4" t="s">
        <v>1059</v>
      </c>
      <c r="C27" s="4" t="s">
        <v>1077</v>
      </c>
      <c r="D27" s="4" t="s">
        <v>1099</v>
      </c>
      <c r="E27" s="4" t="s">
        <v>1079</v>
      </c>
      <c r="F27" s="4" t="s">
        <v>1065</v>
      </c>
      <c r="G27" s="4" t="s">
        <v>1077</v>
      </c>
      <c r="H27" s="4" t="s">
        <v>131</v>
      </c>
      <c r="I27" s="19"/>
      <c r="J27" s="5" t="str">
        <f>IFERROR(__xludf.DUMMYFUNCTION("GOOGLETRANSLATE(A27, ""bn"", ""en"")"),"26")</f>
        <v>26</v>
      </c>
      <c r="K27" s="5" t="str">
        <f>IFERROR(__xludf.DUMMYFUNCTION("GOOGLETRANSLATE(B27, ""bn"", ""en"")"),"How is the competition environment in the film?")</f>
        <v>How is the competition environment in the film?</v>
      </c>
      <c r="L27" s="5" t="str">
        <f>IFERROR(__xludf.DUMMYFUNCTION("GOOGLETRANSLATE(C27, ""bn"", ""en"")"),"Stimulus")</f>
        <v>Stimulus</v>
      </c>
      <c r="M27" s="5" t="str">
        <f>IFERROR(__xludf.DUMMYFUNCTION("GOOGLETRANSLATE(D27, ""bn"", ""en"")"),"Silent")</f>
        <v>Silent</v>
      </c>
      <c r="N27" s="5" t="str">
        <f>IFERROR(__xludf.DUMMYFUNCTION("GOOGLETRANSLATE(E27, ""bn"", ""en"")"),"Silence")</f>
        <v>Silence</v>
      </c>
      <c r="O27" s="5" t="str">
        <f>IFERROR(__xludf.DUMMYFUNCTION("GOOGLETRANSLATE(F27, ""bn"", ""en"")"),"normal")</f>
        <v>normal</v>
      </c>
      <c r="P27" s="5" t="str">
        <f>IFERROR(__xludf.DUMMYFUNCTION("GOOGLETRANSLATE(G27, ""bn"", ""en"")"),"Stimulus")</f>
        <v>Stimulus</v>
      </c>
      <c r="Q27" s="5" t="str">
        <f>IFERROR(__xludf.DUMMYFUNCTION("GOOGLETRANSLATE(H27, ""bn"", ""en"")"),"pic13")</f>
        <v>pic13</v>
      </c>
    </row>
    <row r="28">
      <c r="A28" s="3">
        <v>27.0</v>
      </c>
      <c r="B28" s="4" t="s">
        <v>1694</v>
      </c>
      <c r="C28" s="4" t="s">
        <v>547</v>
      </c>
      <c r="D28" s="4" t="s">
        <v>1318</v>
      </c>
      <c r="E28" s="4" t="s">
        <v>156</v>
      </c>
      <c r="F28" s="4" t="s">
        <v>157</v>
      </c>
      <c r="G28" s="4" t="s">
        <v>157</v>
      </c>
      <c r="H28" s="4" t="s">
        <v>131</v>
      </c>
      <c r="I28" s="19"/>
      <c r="J28" s="5" t="str">
        <f>IFERROR(__xludf.DUMMYFUNCTION("GOOGLETRANSLATE(A28, ""bn"", ""en"")"),"27")</f>
        <v>27</v>
      </c>
      <c r="K28" s="5" t="str">
        <f>IFERROR(__xludf.DUMMYFUNCTION("GOOGLETRANSLATE(B28, ""bn"", ""en"")"),"What kind of competition are the contestants facing in Dariyabandha competition?")</f>
        <v>What kind of competition are the contestants facing in Dariyabandha competition?</v>
      </c>
      <c r="L28" s="5" t="str">
        <f>IFERROR(__xludf.DUMMYFUNCTION("GOOGLETRANSLATE(C28, ""bn"", ""en"")"),"Show of strength")</f>
        <v>Show of strength</v>
      </c>
      <c r="M28" s="5" t="str">
        <f>IFERROR(__xludf.DUMMYFUNCTION("GOOGLETRANSLATE(D28, ""bn"", ""en"")"),"Patience")</f>
        <v>Patience</v>
      </c>
      <c r="N28" s="5" t="str">
        <f>IFERROR(__xludf.DUMMYFUNCTION("GOOGLETRANSLATE(E28, ""bn"", ""en"")"),"Speed")</f>
        <v>Speed</v>
      </c>
      <c r="O28" s="5" t="str">
        <f>IFERROR(__xludf.DUMMYFUNCTION("GOOGLETRANSLATE(F28, ""bn"", ""en"")"),"Strategy")</f>
        <v>Strategy</v>
      </c>
      <c r="P28" s="5" t="str">
        <f>IFERROR(__xludf.DUMMYFUNCTION("GOOGLETRANSLATE(G28, ""bn"", ""en"")"),"Strategy")</f>
        <v>Strategy</v>
      </c>
      <c r="Q28" s="5" t="str">
        <f>IFERROR(__xludf.DUMMYFUNCTION("GOOGLETRANSLATE(H28, ""bn"", ""en"")"),"pic13")</f>
        <v>pic13</v>
      </c>
    </row>
    <row r="29">
      <c r="A29" s="3">
        <v>28.0</v>
      </c>
      <c r="B29" s="4" t="s">
        <v>1319</v>
      </c>
      <c r="C29" s="4" t="s">
        <v>1139</v>
      </c>
      <c r="D29" s="4" t="s">
        <v>1320</v>
      </c>
      <c r="E29" s="4" t="s">
        <v>1135</v>
      </c>
      <c r="F29" s="4" t="s">
        <v>1078</v>
      </c>
      <c r="G29" s="4" t="s">
        <v>1320</v>
      </c>
      <c r="H29" s="4" t="s">
        <v>141</v>
      </c>
      <c r="I29" s="19"/>
      <c r="J29" s="5" t="str">
        <f>IFERROR(__xludf.DUMMYFUNCTION("GOOGLETRANSLATE(A29, ""bn"", ""en"")"),"28")</f>
        <v>28</v>
      </c>
      <c r="K29" s="5" t="str">
        <f>IFERROR(__xludf.DUMMYFUNCTION("GOOGLETRANSLATE(B29, ""bn"", ""en"")"),"How is the attitude of the contestants being displayed in the film?")</f>
        <v>How is the attitude of the contestants being displayed in the film?</v>
      </c>
      <c r="L29" s="5" t="str">
        <f>IFERROR(__xludf.DUMMYFUNCTION("GOOGLETRANSLATE(C29, ""bn"", ""en"")"),"Serious")</f>
        <v>Serious</v>
      </c>
      <c r="M29" s="5" t="str">
        <f>IFERROR(__xludf.DUMMYFUNCTION("GOOGLETRANSLATE(D29, ""bn"", ""en"")"),"enthusiastic")</f>
        <v>enthusiastic</v>
      </c>
      <c r="N29" s="5" t="str">
        <f>IFERROR(__xludf.DUMMYFUNCTION("GOOGLETRANSLATE(E29, ""bn"", ""en"")"),"cheerful")</f>
        <v>cheerful</v>
      </c>
      <c r="O29" s="5" t="str">
        <f>IFERROR(__xludf.DUMMYFUNCTION("GOOGLETRANSLATE(F29, ""bn"", ""en"")"),"without hesitation")</f>
        <v>without hesitation</v>
      </c>
      <c r="P29" s="5" t="str">
        <f>IFERROR(__xludf.DUMMYFUNCTION("GOOGLETRANSLATE(G29, ""bn"", ""en"")"),"enthusiastic")</f>
        <v>enthusiastic</v>
      </c>
      <c r="Q29" s="5" t="str">
        <f>IFERROR(__xludf.DUMMYFUNCTION("GOOGLETRANSLATE(H29, ""bn"", ""en"")"),"pic14")</f>
        <v>pic14</v>
      </c>
    </row>
    <row r="30">
      <c r="A30" s="3">
        <v>29.0</v>
      </c>
      <c r="B30" s="4" t="s">
        <v>1695</v>
      </c>
      <c r="C30" s="4" t="s">
        <v>156</v>
      </c>
      <c r="D30" s="4" t="s">
        <v>143</v>
      </c>
      <c r="E30" s="4" t="s">
        <v>157</v>
      </c>
      <c r="F30" s="4" t="s">
        <v>1123</v>
      </c>
      <c r="G30" s="4" t="s">
        <v>157</v>
      </c>
      <c r="H30" s="4" t="s">
        <v>141</v>
      </c>
      <c r="I30" s="19"/>
      <c r="J30" s="5" t="str">
        <f>IFERROR(__xludf.DUMMYFUNCTION("GOOGLETRANSLATE(A30, ""bn"", ""en"")"),"29")</f>
        <v>29</v>
      </c>
      <c r="K30" s="5" t="str">
        <f>IFERROR(__xludf.DUMMYFUNCTION("GOOGLETRANSLATE(B30, ""bn"", ""en"")"),"Which skill is most important in fencing competition?")</f>
        <v>Which skill is most important in fencing competition?</v>
      </c>
      <c r="L30" s="5" t="str">
        <f>IFERROR(__xludf.DUMMYFUNCTION("GOOGLETRANSLATE(C30, ""bn"", ""en"")"),"Speed")</f>
        <v>Speed</v>
      </c>
      <c r="M30" s="5" t="str">
        <f>IFERROR(__xludf.DUMMYFUNCTION("GOOGLETRANSLATE(D30, ""bn"", ""en"")"),"Power")</f>
        <v>Power</v>
      </c>
      <c r="N30" s="5" t="str">
        <f>IFERROR(__xludf.DUMMYFUNCTION("GOOGLETRANSLATE(E30, ""bn"", ""en"")"),"Strategy")</f>
        <v>Strategy</v>
      </c>
      <c r="O30" s="5" t="str">
        <f>IFERROR(__xludf.DUMMYFUNCTION("GOOGLETRANSLATE(F30, ""bn"", ""en"")"),"Endurance")</f>
        <v>Endurance</v>
      </c>
      <c r="P30" s="5" t="str">
        <f>IFERROR(__xludf.DUMMYFUNCTION("GOOGLETRANSLATE(G30, ""bn"", ""en"")"),"Strategy")</f>
        <v>Strategy</v>
      </c>
      <c r="Q30" s="5" t="str">
        <f>IFERROR(__xludf.DUMMYFUNCTION("GOOGLETRANSLATE(H30, ""bn"", ""en"")"),"pic14")</f>
        <v>pic14</v>
      </c>
    </row>
    <row r="31">
      <c r="A31" s="3">
        <v>30.0</v>
      </c>
      <c r="B31" s="4" t="s">
        <v>1696</v>
      </c>
      <c r="C31" s="4" t="s">
        <v>569</v>
      </c>
      <c r="D31" s="4" t="s">
        <v>561</v>
      </c>
      <c r="E31" s="4" t="s">
        <v>1099</v>
      </c>
      <c r="F31" s="4" t="s">
        <v>1065</v>
      </c>
      <c r="G31" s="4" t="s">
        <v>569</v>
      </c>
      <c r="H31" s="4" t="s">
        <v>608</v>
      </c>
      <c r="I31" s="19"/>
      <c r="J31" s="5" t="str">
        <f>IFERROR(__xludf.DUMMYFUNCTION("GOOGLETRANSLATE(A31, ""bn"", ""en"")"),"30")</f>
        <v>30</v>
      </c>
      <c r="K31" s="5" t="str">
        <f>IFERROR(__xludf.DUMMYFUNCTION("GOOGLETRANSLATE(B31, ""bn"", ""en"")"),"How is the competitive environment depicted in the film?")</f>
        <v>How is the competitive environment depicted in the film?</v>
      </c>
      <c r="L31" s="5" t="str">
        <f>IFERROR(__xludf.DUMMYFUNCTION("GOOGLETRANSLATE(C31, ""bn"", ""en"")"),"Excitement")</f>
        <v>Excitement</v>
      </c>
      <c r="M31" s="5" t="str">
        <f>IFERROR(__xludf.DUMMYFUNCTION("GOOGLETRANSLATE(D31, ""bn"", ""en"")"),"calm down")</f>
        <v>calm down</v>
      </c>
      <c r="N31" s="5" t="str">
        <f>IFERROR(__xludf.DUMMYFUNCTION("GOOGLETRANSLATE(E31, ""bn"", ""en"")"),"Silent")</f>
        <v>Silent</v>
      </c>
      <c r="O31" s="5" t="str">
        <f>IFERROR(__xludf.DUMMYFUNCTION("GOOGLETRANSLATE(F31, ""bn"", ""en"")"),"normal")</f>
        <v>normal</v>
      </c>
      <c r="P31" s="5" t="str">
        <f>IFERROR(__xludf.DUMMYFUNCTION("GOOGLETRANSLATE(G31, ""bn"", ""en"")"),"Excitement")</f>
        <v>Excitement</v>
      </c>
      <c r="Q31" s="5" t="str">
        <f>IFERROR(__xludf.DUMMYFUNCTION("GOOGLETRANSLATE(H31, ""bn"", ""en"")"),"pic15")</f>
        <v>pic15</v>
      </c>
    </row>
    <row r="32">
      <c r="A32" s="3">
        <v>31.0</v>
      </c>
      <c r="B32" s="4" t="s">
        <v>1697</v>
      </c>
      <c r="C32" s="4" t="s">
        <v>1317</v>
      </c>
      <c r="D32" s="4" t="s">
        <v>1058</v>
      </c>
      <c r="E32" s="4" t="s">
        <v>1318</v>
      </c>
      <c r="F32" s="4" t="s">
        <v>143</v>
      </c>
      <c r="G32" s="4" t="s">
        <v>1317</v>
      </c>
      <c r="H32" s="4" t="s">
        <v>608</v>
      </c>
      <c r="I32" s="19"/>
      <c r="J32" s="5" t="str">
        <f>IFERROR(__xludf.DUMMYFUNCTION("GOOGLETRANSLATE(A32, ""bn"", ""en"")"),"31")</f>
        <v>31</v>
      </c>
      <c r="K32" s="5" t="str">
        <f>IFERROR(__xludf.DUMMYFUNCTION("GOOGLETRANSLATE(B32, ""bn"", ""en"")"),"How are participants controlling their speed in Dariyabandha competition?")</f>
        <v>How are participants controlling their speed in Dariyabandha competition?</v>
      </c>
      <c r="L32" s="5" t="str">
        <f>IFERROR(__xludf.DUMMYFUNCTION("GOOGLETRANSLATE(C32, ""bn"", ""en"")"),"run fast")</f>
        <v>run fast</v>
      </c>
      <c r="M32" s="5" t="str">
        <f>IFERROR(__xludf.DUMMYFUNCTION("GOOGLETRANSLATE(D32, ""bn"", ""en"")"),"combination")</f>
        <v>combination</v>
      </c>
      <c r="N32" s="5" t="str">
        <f>IFERROR(__xludf.DUMMYFUNCTION("GOOGLETRANSLATE(E32, ""bn"", ""en"")"),"Patience")</f>
        <v>Patience</v>
      </c>
      <c r="O32" s="5" t="str">
        <f>IFERROR(__xludf.DUMMYFUNCTION("GOOGLETRANSLATE(F32, ""bn"", ""en"")"),"Power")</f>
        <v>Power</v>
      </c>
      <c r="P32" s="5" t="str">
        <f>IFERROR(__xludf.DUMMYFUNCTION("GOOGLETRANSLATE(G32, ""bn"", ""en"")"),"run fast")</f>
        <v>run fast</v>
      </c>
      <c r="Q32" s="5" t="str">
        <f>IFERROR(__xludf.DUMMYFUNCTION("GOOGLETRANSLATE(H32, ""bn"", ""en"")"),"pic15")</f>
        <v>pic15</v>
      </c>
    </row>
    <row r="33">
      <c r="A33" s="3">
        <v>32.0</v>
      </c>
      <c r="B33" s="4" t="s">
        <v>1059</v>
      </c>
      <c r="C33" s="4" t="s">
        <v>1077</v>
      </c>
      <c r="D33" s="4" t="s">
        <v>561</v>
      </c>
      <c r="E33" s="4" t="s">
        <v>1135</v>
      </c>
      <c r="F33" s="4" t="s">
        <v>1061</v>
      </c>
      <c r="G33" s="4" t="s">
        <v>1077</v>
      </c>
      <c r="H33" s="4" t="s">
        <v>149</v>
      </c>
      <c r="I33" s="19"/>
      <c r="J33" s="5" t="str">
        <f>IFERROR(__xludf.DUMMYFUNCTION("GOOGLETRANSLATE(A33, ""bn"", ""en"")"),"32")</f>
        <v>32</v>
      </c>
      <c r="K33" s="5" t="str">
        <f>IFERROR(__xludf.DUMMYFUNCTION("GOOGLETRANSLATE(B33, ""bn"", ""en"")"),"How is the competition environment in the film?")</f>
        <v>How is the competition environment in the film?</v>
      </c>
      <c r="L33" s="5" t="str">
        <f>IFERROR(__xludf.DUMMYFUNCTION("GOOGLETRANSLATE(C33, ""bn"", ""en"")"),"Stimulus")</f>
        <v>Stimulus</v>
      </c>
      <c r="M33" s="5" t="str">
        <f>IFERROR(__xludf.DUMMYFUNCTION("GOOGLETRANSLATE(D33, ""bn"", ""en"")"),"calm down")</f>
        <v>calm down</v>
      </c>
      <c r="N33" s="5" t="str">
        <f>IFERROR(__xludf.DUMMYFUNCTION("GOOGLETRANSLATE(E33, ""bn"", ""en"")"),"cheerful")</f>
        <v>cheerful</v>
      </c>
      <c r="O33" s="5" t="str">
        <f>IFERROR(__xludf.DUMMYFUNCTION("GOOGLETRANSLATE(F33, ""bn"", ""en"")"),"Boring")</f>
        <v>Boring</v>
      </c>
      <c r="P33" s="5" t="str">
        <f>IFERROR(__xludf.DUMMYFUNCTION("GOOGLETRANSLATE(G33, ""bn"", ""en"")"),"Stimulus")</f>
        <v>Stimulus</v>
      </c>
      <c r="Q33" s="5" t="str">
        <f>IFERROR(__xludf.DUMMYFUNCTION("GOOGLETRANSLATE(H33, ""bn"", ""en"")"),"pic16")</f>
        <v>pic16</v>
      </c>
    </row>
    <row r="34">
      <c r="A34" s="3">
        <v>33.0</v>
      </c>
      <c r="B34" s="4" t="s">
        <v>1698</v>
      </c>
      <c r="C34" s="4" t="s">
        <v>1317</v>
      </c>
      <c r="D34" s="4" t="s">
        <v>1058</v>
      </c>
      <c r="E34" s="4" t="s">
        <v>1318</v>
      </c>
      <c r="F34" s="4" t="s">
        <v>143</v>
      </c>
      <c r="G34" s="4" t="s">
        <v>1317</v>
      </c>
      <c r="H34" s="4" t="s">
        <v>149</v>
      </c>
      <c r="I34" s="19"/>
      <c r="J34" s="5" t="str">
        <f>IFERROR(__xludf.DUMMYFUNCTION("GOOGLETRANSLATE(A34, ""bn"", ""en"")"),"33")</f>
        <v>33</v>
      </c>
      <c r="K34" s="5" t="str">
        <f>IFERROR(__xludf.DUMMYFUNCTION("GOOGLETRANSLATE(B34, ""bn"", ""en"")"),"How do competitors increase their speed in a fencing competition?")</f>
        <v>How do competitors increase their speed in a fencing competition?</v>
      </c>
      <c r="L34" s="5" t="str">
        <f>IFERROR(__xludf.DUMMYFUNCTION("GOOGLETRANSLATE(C34, ""bn"", ""en"")"),"run fast")</f>
        <v>run fast</v>
      </c>
      <c r="M34" s="5" t="str">
        <f>IFERROR(__xludf.DUMMYFUNCTION("GOOGLETRANSLATE(D34, ""bn"", ""en"")"),"combination")</f>
        <v>combination</v>
      </c>
      <c r="N34" s="5" t="str">
        <f>IFERROR(__xludf.DUMMYFUNCTION("GOOGLETRANSLATE(E34, ""bn"", ""en"")"),"Patience")</f>
        <v>Patience</v>
      </c>
      <c r="O34" s="5" t="str">
        <f>IFERROR(__xludf.DUMMYFUNCTION("GOOGLETRANSLATE(F34, ""bn"", ""en"")"),"Power")</f>
        <v>Power</v>
      </c>
      <c r="P34" s="5" t="str">
        <f>IFERROR(__xludf.DUMMYFUNCTION("GOOGLETRANSLATE(G34, ""bn"", ""en"")"),"run fast")</f>
        <v>run fast</v>
      </c>
      <c r="Q34" s="5" t="str">
        <f>IFERROR(__xludf.DUMMYFUNCTION("GOOGLETRANSLATE(H34, ""bn"", ""en"")"),"pic16")</f>
        <v>pic16</v>
      </c>
    </row>
    <row r="35">
      <c r="A35" s="3">
        <v>34.0</v>
      </c>
      <c r="B35" s="4" t="s">
        <v>1699</v>
      </c>
      <c r="C35" s="4" t="s">
        <v>1077</v>
      </c>
      <c r="D35" s="4" t="s">
        <v>561</v>
      </c>
      <c r="E35" s="4" t="s">
        <v>1135</v>
      </c>
      <c r="F35" s="4" t="s">
        <v>1078</v>
      </c>
      <c r="G35" s="4" t="s">
        <v>1077</v>
      </c>
      <c r="H35" s="4" t="s">
        <v>158</v>
      </c>
      <c r="I35" s="19"/>
      <c r="J35" s="5" t="str">
        <f>IFERROR(__xludf.DUMMYFUNCTION("GOOGLETRANSLATE(A35, ""bn"", ""en"")"),"34")</f>
        <v>34</v>
      </c>
      <c r="K35" s="5" t="str">
        <f>IFERROR(__xludf.DUMMYFUNCTION("GOOGLETRANSLATE(B35, ""bn"", ""en"")"),"How are the contestants' postures displayed in the film?")</f>
        <v>How are the contestants' postures displayed in the film?</v>
      </c>
      <c r="L35" s="5" t="str">
        <f>IFERROR(__xludf.DUMMYFUNCTION("GOOGLETRANSLATE(C35, ""bn"", ""en"")"),"Stimulus")</f>
        <v>Stimulus</v>
      </c>
      <c r="M35" s="5" t="str">
        <f>IFERROR(__xludf.DUMMYFUNCTION("GOOGLETRANSLATE(D35, ""bn"", ""en"")"),"calm down")</f>
        <v>calm down</v>
      </c>
      <c r="N35" s="5" t="str">
        <f>IFERROR(__xludf.DUMMYFUNCTION("GOOGLETRANSLATE(E35, ""bn"", ""en"")"),"cheerful")</f>
        <v>cheerful</v>
      </c>
      <c r="O35" s="5" t="str">
        <f>IFERROR(__xludf.DUMMYFUNCTION("GOOGLETRANSLATE(F35, ""bn"", ""en"")"),"without hesitation")</f>
        <v>without hesitation</v>
      </c>
      <c r="P35" s="5" t="str">
        <f>IFERROR(__xludf.DUMMYFUNCTION("GOOGLETRANSLATE(G35, ""bn"", ""en"")"),"Stimulus")</f>
        <v>Stimulus</v>
      </c>
      <c r="Q35" s="5" t="str">
        <f>IFERROR(__xludf.DUMMYFUNCTION("GOOGLETRANSLATE(H35, ""bn"", ""en"")"),"pic17")</f>
        <v>pic17</v>
      </c>
    </row>
    <row r="36">
      <c r="A36" s="3">
        <v>35.0</v>
      </c>
      <c r="B36" s="4" t="s">
        <v>1700</v>
      </c>
      <c r="C36" s="4" t="s">
        <v>1317</v>
      </c>
      <c r="D36" s="4" t="s">
        <v>1058</v>
      </c>
      <c r="E36" s="4" t="s">
        <v>143</v>
      </c>
      <c r="F36" s="4" t="s">
        <v>1318</v>
      </c>
      <c r="G36" s="4" t="s">
        <v>1317</v>
      </c>
      <c r="H36" s="4" t="s">
        <v>158</v>
      </c>
      <c r="I36" s="19"/>
      <c r="J36" s="5" t="str">
        <f>IFERROR(__xludf.DUMMYFUNCTION("GOOGLETRANSLATE(A36, ""bn"", ""en"")"),"35")</f>
        <v>35</v>
      </c>
      <c r="K36" s="5" t="str">
        <f>IFERROR(__xludf.DUMMYFUNCTION("GOOGLETRANSLATE(B36, ""bn"", ""en"")"),"How are the competitors maintaining their speed in the Dariyabandha competition?")</f>
        <v>How are the competitors maintaining their speed in the Dariyabandha competition?</v>
      </c>
      <c r="L36" s="5" t="str">
        <f>IFERROR(__xludf.DUMMYFUNCTION("GOOGLETRANSLATE(C36, ""bn"", ""en"")"),"run fast")</f>
        <v>run fast</v>
      </c>
      <c r="M36" s="5" t="str">
        <f>IFERROR(__xludf.DUMMYFUNCTION("GOOGLETRANSLATE(D36, ""bn"", ""en"")"),"combination")</f>
        <v>combination</v>
      </c>
      <c r="N36" s="5" t="str">
        <f>IFERROR(__xludf.DUMMYFUNCTION("GOOGLETRANSLATE(E36, ""bn"", ""en"")"),"Power")</f>
        <v>Power</v>
      </c>
      <c r="O36" s="5" t="str">
        <f>IFERROR(__xludf.DUMMYFUNCTION("GOOGLETRANSLATE(F36, ""bn"", ""en"")"),"Patience")</f>
        <v>Patience</v>
      </c>
      <c r="P36" s="5" t="str">
        <f>IFERROR(__xludf.DUMMYFUNCTION("GOOGLETRANSLATE(G36, ""bn"", ""en"")"),"run fast")</f>
        <v>run fast</v>
      </c>
      <c r="Q36" s="5" t="str">
        <f>IFERROR(__xludf.DUMMYFUNCTION("GOOGLETRANSLATE(H36, ""bn"", ""en"")"),"pic17")</f>
        <v>pic17</v>
      </c>
    </row>
    <row r="37">
      <c r="A37" s="3">
        <v>36.0</v>
      </c>
      <c r="B37" s="4" t="s">
        <v>1076</v>
      </c>
      <c r="C37" s="4" t="s">
        <v>1077</v>
      </c>
      <c r="D37" s="4" t="s">
        <v>561</v>
      </c>
      <c r="E37" s="4" t="s">
        <v>1135</v>
      </c>
      <c r="F37" s="4" t="s">
        <v>1061</v>
      </c>
      <c r="G37" s="4" t="s">
        <v>1077</v>
      </c>
      <c r="H37" s="4" t="s">
        <v>166</v>
      </c>
      <c r="I37" s="19"/>
      <c r="J37" s="5" t="str">
        <f>IFERROR(__xludf.DUMMYFUNCTION("GOOGLETRANSLATE(A37, ""bn"", ""en"")"),"36")</f>
        <v>36</v>
      </c>
      <c r="K37" s="5" t="str">
        <f>IFERROR(__xludf.DUMMYFUNCTION("GOOGLETRANSLATE(B37, ""bn"", ""en"")"),"How has the audience reacted to the film?")</f>
        <v>How has the audience reacted to the film?</v>
      </c>
      <c r="L37" s="5" t="str">
        <f>IFERROR(__xludf.DUMMYFUNCTION("GOOGLETRANSLATE(C37, ""bn"", ""en"")"),"Stimulus")</f>
        <v>Stimulus</v>
      </c>
      <c r="M37" s="5" t="str">
        <f>IFERROR(__xludf.DUMMYFUNCTION("GOOGLETRANSLATE(D37, ""bn"", ""en"")"),"calm down")</f>
        <v>calm down</v>
      </c>
      <c r="N37" s="5" t="str">
        <f>IFERROR(__xludf.DUMMYFUNCTION("GOOGLETRANSLATE(E37, ""bn"", ""en"")"),"cheerful")</f>
        <v>cheerful</v>
      </c>
      <c r="O37" s="5" t="str">
        <f>IFERROR(__xludf.DUMMYFUNCTION("GOOGLETRANSLATE(F37, ""bn"", ""en"")"),"Boring")</f>
        <v>Boring</v>
      </c>
      <c r="P37" s="5" t="str">
        <f>IFERROR(__xludf.DUMMYFUNCTION("GOOGLETRANSLATE(G37, ""bn"", ""en"")"),"Stimulus")</f>
        <v>Stimulus</v>
      </c>
      <c r="Q37" s="5" t="str">
        <f>IFERROR(__xludf.DUMMYFUNCTION("GOOGLETRANSLATE(H37, ""bn"", ""en"")"),"pic18")</f>
        <v>pic18</v>
      </c>
    </row>
    <row r="38">
      <c r="A38" s="3">
        <v>37.0</v>
      </c>
      <c r="B38" s="4" t="s">
        <v>1701</v>
      </c>
      <c r="C38" s="4" t="s">
        <v>1317</v>
      </c>
      <c r="D38" s="4" t="s">
        <v>1058</v>
      </c>
      <c r="E38" s="4" t="s">
        <v>1688</v>
      </c>
      <c r="F38" s="4" t="s">
        <v>1318</v>
      </c>
      <c r="G38" s="4" t="s">
        <v>1688</v>
      </c>
      <c r="H38" s="4" t="s">
        <v>166</v>
      </c>
      <c r="I38" s="19"/>
      <c r="J38" s="5" t="str">
        <f>IFERROR(__xludf.DUMMYFUNCTION("GOOGLETRANSLATE(A38, ""bn"", ""en"")"),"37")</f>
        <v>37</v>
      </c>
      <c r="K38" s="5" t="str">
        <f>IFERROR(__xludf.DUMMYFUNCTION("GOOGLETRANSLATE(B38, ""bn"", ""en"")"),"How are the participants in the Dariabandha competition implementing their strategies?")</f>
        <v>How are the participants in the Dariabandha competition implementing their strategies?</v>
      </c>
      <c r="L38" s="5" t="str">
        <f>IFERROR(__xludf.DUMMYFUNCTION("GOOGLETRANSLATE(C38, ""bn"", ""en"")"),"run fast")</f>
        <v>run fast</v>
      </c>
      <c r="M38" s="5" t="str">
        <f>IFERROR(__xludf.DUMMYFUNCTION("GOOGLETRANSLATE(D38, ""bn"", ""en"")"),"combination")</f>
        <v>combination</v>
      </c>
      <c r="N38" s="5" t="str">
        <f>IFERROR(__xludf.DUMMYFUNCTION("GOOGLETRANSLATE(E38, ""bn"", ""en"")"),"Tactical rotation")</f>
        <v>Tactical rotation</v>
      </c>
      <c r="O38" s="5" t="str">
        <f>IFERROR(__xludf.DUMMYFUNCTION("GOOGLETRANSLATE(F38, ""bn"", ""en"")"),"Patience")</f>
        <v>Patience</v>
      </c>
      <c r="P38" s="5" t="str">
        <f>IFERROR(__xludf.DUMMYFUNCTION("GOOGLETRANSLATE(G38, ""bn"", ""en"")"),"Tactical rotation")</f>
        <v>Tactical rotation</v>
      </c>
      <c r="Q38" s="5" t="str">
        <f>IFERROR(__xludf.DUMMYFUNCTION("GOOGLETRANSLATE(H38, ""bn"", ""en"")"),"pic18")</f>
        <v>pic18</v>
      </c>
    </row>
    <row r="39">
      <c r="A39" s="3">
        <v>38.0</v>
      </c>
      <c r="B39" s="4" t="s">
        <v>1702</v>
      </c>
      <c r="C39" s="4" t="s">
        <v>1139</v>
      </c>
      <c r="D39" s="4" t="s">
        <v>1320</v>
      </c>
      <c r="E39" s="4" t="s">
        <v>1135</v>
      </c>
      <c r="F39" s="4" t="s">
        <v>1078</v>
      </c>
      <c r="G39" s="4" t="s">
        <v>1320</v>
      </c>
      <c r="H39" s="4" t="s">
        <v>174</v>
      </c>
      <c r="I39" s="19"/>
      <c r="J39" s="5" t="str">
        <f>IFERROR(__xludf.DUMMYFUNCTION("GOOGLETRANSLATE(A39, ""bn"", ""en"")"),"38")</f>
        <v>38</v>
      </c>
      <c r="K39" s="5" t="str">
        <f>IFERROR(__xludf.DUMMYFUNCTION("GOOGLETRANSLATE(B39, ""bn"", ""en"")"),"How is the attitude of the contestants expressed in the film?")</f>
        <v>How is the attitude of the contestants expressed in the film?</v>
      </c>
      <c r="L39" s="5" t="str">
        <f>IFERROR(__xludf.DUMMYFUNCTION("GOOGLETRANSLATE(C39, ""bn"", ""en"")"),"Serious")</f>
        <v>Serious</v>
      </c>
      <c r="M39" s="5" t="str">
        <f>IFERROR(__xludf.DUMMYFUNCTION("GOOGLETRANSLATE(D39, ""bn"", ""en"")"),"enthusiastic")</f>
        <v>enthusiastic</v>
      </c>
      <c r="N39" s="5" t="str">
        <f>IFERROR(__xludf.DUMMYFUNCTION("GOOGLETRANSLATE(E39, ""bn"", ""en"")"),"cheerful")</f>
        <v>cheerful</v>
      </c>
      <c r="O39" s="5" t="str">
        <f>IFERROR(__xludf.DUMMYFUNCTION("GOOGLETRANSLATE(F39, ""bn"", ""en"")"),"without hesitation")</f>
        <v>without hesitation</v>
      </c>
      <c r="P39" s="5" t="str">
        <f>IFERROR(__xludf.DUMMYFUNCTION("GOOGLETRANSLATE(G39, ""bn"", ""en"")"),"enthusiastic")</f>
        <v>enthusiastic</v>
      </c>
      <c r="Q39" s="5" t="str">
        <f>IFERROR(__xludf.DUMMYFUNCTION("GOOGLETRANSLATE(H39, ""bn"", ""en"")"),"pic19")</f>
        <v>pic19</v>
      </c>
    </row>
    <row r="40">
      <c r="A40" s="3">
        <v>39.0</v>
      </c>
      <c r="B40" s="4" t="s">
        <v>1703</v>
      </c>
      <c r="C40" s="4" t="s">
        <v>1058</v>
      </c>
      <c r="D40" s="4" t="s">
        <v>156</v>
      </c>
      <c r="E40" s="4" t="s">
        <v>1317</v>
      </c>
      <c r="F40" s="4" t="s">
        <v>1329</v>
      </c>
      <c r="G40" s="4" t="s">
        <v>1329</v>
      </c>
      <c r="H40" s="4" t="s">
        <v>174</v>
      </c>
      <c r="I40" s="19"/>
      <c r="J40" s="5" t="str">
        <f>IFERROR(__xludf.DUMMYFUNCTION("GOOGLETRANSLATE(A40, ""bn"", ""en"")"),"39")</f>
        <v>39</v>
      </c>
      <c r="K40" s="5" t="str">
        <f>IFERROR(__xludf.DUMMYFUNCTION("GOOGLETRANSLATE(B40, ""bn"", ""en"")"),"How are contestants managing their energy in Dariyabandha competitions?")</f>
        <v>How are contestants managing their energy in Dariyabandha competitions?</v>
      </c>
      <c r="L40" s="5" t="str">
        <f>IFERROR(__xludf.DUMMYFUNCTION("GOOGLETRANSLATE(C40, ""bn"", ""en"")"),"combination")</f>
        <v>combination</v>
      </c>
      <c r="M40" s="5" t="str">
        <f>IFERROR(__xludf.DUMMYFUNCTION("GOOGLETRANSLATE(D40, ""bn"", ""en"")"),"Speed")</f>
        <v>Speed</v>
      </c>
      <c r="N40" s="5" t="str">
        <f>IFERROR(__xludf.DUMMYFUNCTION("GOOGLETRANSLATE(E40, ""bn"", ""en"")"),"run fast")</f>
        <v>run fast</v>
      </c>
      <c r="O40" s="5" t="str">
        <f>IFERROR(__xludf.DUMMYFUNCTION("GOOGLETRANSLATE(F40, ""bn"", ""en"")"),"energy conservation")</f>
        <v>energy conservation</v>
      </c>
      <c r="P40" s="5" t="str">
        <f>IFERROR(__xludf.DUMMYFUNCTION("GOOGLETRANSLATE(G40, ""bn"", ""en"")"),"energy conservation")</f>
        <v>energy conservation</v>
      </c>
      <c r="Q40" s="5" t="str">
        <f>IFERROR(__xludf.DUMMYFUNCTION("GOOGLETRANSLATE(H40, ""bn"", ""en"")"),"pic19")</f>
        <v>pic19</v>
      </c>
    </row>
    <row r="41">
      <c r="A41" s="3">
        <v>40.0</v>
      </c>
      <c r="B41" s="4" t="s">
        <v>1158</v>
      </c>
      <c r="C41" s="4" t="s">
        <v>1704</v>
      </c>
      <c r="D41" s="4" t="s">
        <v>1705</v>
      </c>
      <c r="E41" s="4" t="s">
        <v>1091</v>
      </c>
      <c r="F41" s="4" t="s">
        <v>547</v>
      </c>
      <c r="G41" s="4" t="s">
        <v>1704</v>
      </c>
      <c r="H41" s="4" t="s">
        <v>175</v>
      </c>
      <c r="I41" s="19"/>
      <c r="J41" s="5" t="str">
        <f>IFERROR(__xludf.DUMMYFUNCTION("GOOGLETRANSLATE(A41, ""bn"", ""en"")"),"40")</f>
        <v>40</v>
      </c>
      <c r="K41" s="5" t="str">
        <f>IFERROR(__xludf.DUMMYFUNCTION("GOOGLETRANSLATE(B41, ""bn"", ""en"")"),"How is the enthusiasm of the contestants displayed in the film?")</f>
        <v>How is the enthusiasm of the contestants displayed in the film?</v>
      </c>
      <c r="L41" s="5" t="str">
        <f>IFERROR(__xludf.DUMMYFUNCTION("GOOGLETRANSLATE(C41, ""bn"", ""en"")"),"Running hard")</f>
        <v>Running hard</v>
      </c>
      <c r="M41" s="5" t="str">
        <f>IFERROR(__xludf.DUMMYFUNCTION("GOOGLETRANSLATE(D41, ""bn"", ""en"")"),"Coordinated action")</f>
        <v>Coordinated action</v>
      </c>
      <c r="N41" s="5" t="str">
        <f>IFERROR(__xludf.DUMMYFUNCTION("GOOGLETRANSLATE(E41, ""bn"", ""en"")"),"fast speed")</f>
        <v>fast speed</v>
      </c>
      <c r="O41" s="5" t="str">
        <f>IFERROR(__xludf.DUMMYFUNCTION("GOOGLETRANSLATE(F41, ""bn"", ""en"")"),"Show of strength")</f>
        <v>Show of strength</v>
      </c>
      <c r="P41" s="5" t="str">
        <f>IFERROR(__xludf.DUMMYFUNCTION("GOOGLETRANSLATE(G41, ""bn"", ""en"")"),"Running hard")</f>
        <v>Running hard</v>
      </c>
      <c r="Q41" s="5" t="str">
        <f>IFERROR(__xludf.DUMMYFUNCTION("GOOGLETRANSLATE(H41, ""bn"", ""en"")"),"pic20")</f>
        <v>pic20</v>
      </c>
    </row>
    <row r="42">
      <c r="A42" s="3">
        <v>41.0</v>
      </c>
      <c r="B42" s="4" t="s">
        <v>1697</v>
      </c>
      <c r="C42" s="4" t="s">
        <v>1317</v>
      </c>
      <c r="D42" s="4" t="s">
        <v>1058</v>
      </c>
      <c r="E42" s="4" t="s">
        <v>1318</v>
      </c>
      <c r="F42" s="4" t="s">
        <v>143</v>
      </c>
      <c r="G42" s="4" t="s">
        <v>1317</v>
      </c>
      <c r="H42" s="4" t="s">
        <v>175</v>
      </c>
      <c r="I42" s="19"/>
      <c r="J42" s="5" t="str">
        <f>IFERROR(__xludf.DUMMYFUNCTION("GOOGLETRANSLATE(A42, ""bn"", ""en"")"),"41")</f>
        <v>41</v>
      </c>
      <c r="K42" s="5" t="str">
        <f>IFERROR(__xludf.DUMMYFUNCTION("GOOGLETRANSLATE(B42, ""bn"", ""en"")"),"How are participants controlling their speed in Dariyabandha competition?")</f>
        <v>How are participants controlling their speed in Dariyabandha competition?</v>
      </c>
      <c r="L42" s="5" t="str">
        <f>IFERROR(__xludf.DUMMYFUNCTION("GOOGLETRANSLATE(C42, ""bn"", ""en"")"),"run fast")</f>
        <v>run fast</v>
      </c>
      <c r="M42" s="5" t="str">
        <f>IFERROR(__xludf.DUMMYFUNCTION("GOOGLETRANSLATE(D42, ""bn"", ""en"")"),"combination")</f>
        <v>combination</v>
      </c>
      <c r="N42" s="5" t="str">
        <f>IFERROR(__xludf.DUMMYFUNCTION("GOOGLETRANSLATE(E42, ""bn"", ""en"")"),"Patience")</f>
        <v>Patience</v>
      </c>
      <c r="O42" s="5" t="str">
        <f>IFERROR(__xludf.DUMMYFUNCTION("GOOGLETRANSLATE(F42, ""bn"", ""en"")"),"Power")</f>
        <v>Power</v>
      </c>
      <c r="P42" s="5" t="str">
        <f>IFERROR(__xludf.DUMMYFUNCTION("GOOGLETRANSLATE(G42, ""bn"", ""en"")"),"run fast")</f>
        <v>run fast</v>
      </c>
      <c r="Q42" s="5" t="str">
        <f>IFERROR(__xludf.DUMMYFUNCTION("GOOGLETRANSLATE(H42, ""bn"", ""en"")"),"pic20")</f>
        <v>pic20</v>
      </c>
    </row>
    <row r="43">
      <c r="A43" s="3">
        <v>42.0</v>
      </c>
      <c r="B43" s="4" t="s">
        <v>1322</v>
      </c>
      <c r="C43" s="4" t="s">
        <v>1116</v>
      </c>
      <c r="D43" s="4" t="s">
        <v>1117</v>
      </c>
      <c r="E43" s="4" t="s">
        <v>1118</v>
      </c>
      <c r="F43" s="4" t="s">
        <v>1119</v>
      </c>
      <c r="G43" s="4" t="s">
        <v>1116</v>
      </c>
      <c r="H43" s="4" t="s">
        <v>631</v>
      </c>
      <c r="I43" s="19"/>
      <c r="J43" s="5" t="str">
        <f>IFERROR(__xludf.DUMMYFUNCTION("GOOGLETRANSLATE(A43, ""bn"", ""en"")"),"42")</f>
        <v>42</v>
      </c>
      <c r="K43" s="5" t="str">
        <f>IFERROR(__xludf.DUMMYFUNCTION("GOOGLETRANSLATE(B43, ""bn"", ""en"")"),"How is the excitement of the competition in the film?")</f>
        <v>How is the excitement of the competition in the film?</v>
      </c>
      <c r="L43" s="5" t="str">
        <f>IFERROR(__xludf.DUMMYFUNCTION("GOOGLETRANSLATE(C43, ""bn"", ""en"")"),"high")</f>
        <v>high</v>
      </c>
      <c r="M43" s="5" t="str">
        <f>IFERROR(__xludf.DUMMYFUNCTION("GOOGLETRANSLATE(D43, ""bn"", ""en"")"),"Low")</f>
        <v>Low</v>
      </c>
      <c r="N43" s="5" t="str">
        <f>IFERROR(__xludf.DUMMYFUNCTION("GOOGLETRANSLATE(E43, ""bn"", ""en"")"),"Medium")</f>
        <v>Medium</v>
      </c>
      <c r="O43" s="5" t="str">
        <f>IFERROR(__xludf.DUMMYFUNCTION("GOOGLETRANSLATE(F43, ""bn"", ""en"")"),"Variable")</f>
        <v>Variable</v>
      </c>
      <c r="P43" s="5" t="str">
        <f>IFERROR(__xludf.DUMMYFUNCTION("GOOGLETRANSLATE(G43, ""bn"", ""en"")"),"high")</f>
        <v>high</v>
      </c>
      <c r="Q43" s="5" t="str">
        <f>IFERROR(__xludf.DUMMYFUNCTION("GOOGLETRANSLATE(H43, ""bn"", ""en"")"),"pic21")</f>
        <v>pic21</v>
      </c>
    </row>
    <row r="44">
      <c r="A44" s="3">
        <v>43.0</v>
      </c>
      <c r="B44" s="4" t="s">
        <v>1703</v>
      </c>
      <c r="C44" s="4" t="s">
        <v>1058</v>
      </c>
      <c r="D44" s="4" t="s">
        <v>156</v>
      </c>
      <c r="E44" s="4" t="s">
        <v>1317</v>
      </c>
      <c r="F44" s="4" t="s">
        <v>1329</v>
      </c>
      <c r="G44" s="4" t="s">
        <v>1329</v>
      </c>
      <c r="H44" s="4" t="s">
        <v>178</v>
      </c>
      <c r="I44" s="19"/>
      <c r="J44" s="5" t="str">
        <f>IFERROR(__xludf.DUMMYFUNCTION("GOOGLETRANSLATE(A44, ""bn"", ""en"")"),"43")</f>
        <v>43</v>
      </c>
      <c r="K44" s="5" t="str">
        <f>IFERROR(__xludf.DUMMYFUNCTION("GOOGLETRANSLATE(B44, ""bn"", ""en"")"),"How are contestants managing their energy in Dariyabandha competitions?")</f>
        <v>How are contestants managing their energy in Dariyabandha competitions?</v>
      </c>
      <c r="L44" s="5" t="str">
        <f>IFERROR(__xludf.DUMMYFUNCTION("GOOGLETRANSLATE(C44, ""bn"", ""en"")"),"combination")</f>
        <v>combination</v>
      </c>
      <c r="M44" s="5" t="str">
        <f>IFERROR(__xludf.DUMMYFUNCTION("GOOGLETRANSLATE(D44, ""bn"", ""en"")"),"Speed")</f>
        <v>Speed</v>
      </c>
      <c r="N44" s="5" t="str">
        <f>IFERROR(__xludf.DUMMYFUNCTION("GOOGLETRANSLATE(E44, ""bn"", ""en"")"),"run fast")</f>
        <v>run fast</v>
      </c>
      <c r="O44" s="5" t="str">
        <f>IFERROR(__xludf.DUMMYFUNCTION("GOOGLETRANSLATE(F44, ""bn"", ""en"")"),"energy conservation")</f>
        <v>energy conservation</v>
      </c>
      <c r="P44" s="5" t="str">
        <f>IFERROR(__xludf.DUMMYFUNCTION("GOOGLETRANSLATE(G44, ""bn"", ""en"")"),"energy conservation")</f>
        <v>energy conservation</v>
      </c>
      <c r="Q44" s="5" t="str">
        <f>IFERROR(__xludf.DUMMYFUNCTION("GOOGLETRANSLATE(H44, ""bn"", ""en"")"),"pic22")</f>
        <v>pic22</v>
      </c>
    </row>
    <row r="45">
      <c r="A45" s="3">
        <v>44.0</v>
      </c>
      <c r="B45" s="4" t="s">
        <v>1158</v>
      </c>
      <c r="C45" s="4" t="s">
        <v>1704</v>
      </c>
      <c r="D45" s="4" t="s">
        <v>1705</v>
      </c>
      <c r="E45" s="4" t="s">
        <v>1091</v>
      </c>
      <c r="F45" s="4" t="s">
        <v>547</v>
      </c>
      <c r="G45" s="4" t="s">
        <v>1704</v>
      </c>
      <c r="H45" s="4" t="s">
        <v>178</v>
      </c>
      <c r="I45" s="19"/>
      <c r="J45" s="5" t="str">
        <f>IFERROR(__xludf.DUMMYFUNCTION("GOOGLETRANSLATE(A45, ""bn"", ""en"")"),"44")</f>
        <v>44</v>
      </c>
      <c r="K45" s="5" t="str">
        <f>IFERROR(__xludf.DUMMYFUNCTION("GOOGLETRANSLATE(B45, ""bn"", ""en"")"),"How is the enthusiasm of the contestants displayed in the film?")</f>
        <v>How is the enthusiasm of the contestants displayed in the film?</v>
      </c>
      <c r="L45" s="5" t="str">
        <f>IFERROR(__xludf.DUMMYFUNCTION("GOOGLETRANSLATE(C45, ""bn"", ""en"")"),"Running hard")</f>
        <v>Running hard</v>
      </c>
      <c r="M45" s="5" t="str">
        <f>IFERROR(__xludf.DUMMYFUNCTION("GOOGLETRANSLATE(D45, ""bn"", ""en"")"),"Coordinated action")</f>
        <v>Coordinated action</v>
      </c>
      <c r="N45" s="5" t="str">
        <f>IFERROR(__xludf.DUMMYFUNCTION("GOOGLETRANSLATE(E45, ""bn"", ""en"")"),"fast speed")</f>
        <v>fast speed</v>
      </c>
      <c r="O45" s="5" t="str">
        <f>IFERROR(__xludf.DUMMYFUNCTION("GOOGLETRANSLATE(F45, ""bn"", ""en"")"),"Show of strength")</f>
        <v>Show of strength</v>
      </c>
      <c r="P45" s="5" t="str">
        <f>IFERROR(__xludf.DUMMYFUNCTION("GOOGLETRANSLATE(G45, ""bn"", ""en"")"),"Running hard")</f>
        <v>Running hard</v>
      </c>
      <c r="Q45" s="5" t="str">
        <f>IFERROR(__xludf.DUMMYFUNCTION("GOOGLETRANSLATE(H45, ""bn"", ""en"")"),"pic22")</f>
        <v>pic22</v>
      </c>
    </row>
    <row r="46">
      <c r="A46" s="3">
        <v>45.0</v>
      </c>
      <c r="B46" s="4" t="s">
        <v>1706</v>
      </c>
      <c r="C46" s="4" t="s">
        <v>1091</v>
      </c>
      <c r="D46" s="4" t="s">
        <v>1058</v>
      </c>
      <c r="E46" s="4" t="s">
        <v>1318</v>
      </c>
      <c r="F46" s="4" t="s">
        <v>143</v>
      </c>
      <c r="G46" s="4" t="s">
        <v>1058</v>
      </c>
      <c r="H46" s="4" t="s">
        <v>184</v>
      </c>
      <c r="I46" s="19"/>
      <c r="J46" s="5" t="str">
        <f>IFERROR(__xludf.DUMMYFUNCTION("GOOGLETRANSLATE(A46, ""bn"", ""en"")"),"45")</f>
        <v>45</v>
      </c>
      <c r="K46" s="5" t="str">
        <f>IFERROR(__xludf.DUMMYFUNCTION("GOOGLETRANSLATE(B46, ""bn"", ""en"")"),"Which technique is used by the participants in the Dariyabandha competition?")</f>
        <v>Which technique is used by the participants in the Dariyabandha competition?</v>
      </c>
      <c r="L46" s="5" t="str">
        <f>IFERROR(__xludf.DUMMYFUNCTION("GOOGLETRANSLATE(C46, ""bn"", ""en"")"),"fast speed")</f>
        <v>fast speed</v>
      </c>
      <c r="M46" s="5" t="str">
        <f>IFERROR(__xludf.DUMMYFUNCTION("GOOGLETRANSLATE(D46, ""bn"", ""en"")"),"combination")</f>
        <v>combination</v>
      </c>
      <c r="N46" s="5" t="str">
        <f>IFERROR(__xludf.DUMMYFUNCTION("GOOGLETRANSLATE(E46, ""bn"", ""en"")"),"Patience")</f>
        <v>Patience</v>
      </c>
      <c r="O46" s="5" t="str">
        <f>IFERROR(__xludf.DUMMYFUNCTION("GOOGLETRANSLATE(F46, ""bn"", ""en"")"),"Power")</f>
        <v>Power</v>
      </c>
      <c r="P46" s="5" t="str">
        <f>IFERROR(__xludf.DUMMYFUNCTION("GOOGLETRANSLATE(G46, ""bn"", ""en"")"),"combination")</f>
        <v>combination</v>
      </c>
      <c r="Q46" s="5" t="str">
        <f>IFERROR(__xludf.DUMMYFUNCTION("GOOGLETRANSLATE(H46, ""bn"", ""en"")"),"pic23")</f>
        <v>pic23</v>
      </c>
    </row>
    <row r="47">
      <c r="A47" s="3">
        <v>46.0</v>
      </c>
      <c r="B47" s="4" t="s">
        <v>1330</v>
      </c>
      <c r="C47" s="4" t="s">
        <v>1320</v>
      </c>
      <c r="D47" s="4" t="s">
        <v>561</v>
      </c>
      <c r="E47" s="4" t="s">
        <v>1135</v>
      </c>
      <c r="F47" s="4" t="s">
        <v>1061</v>
      </c>
      <c r="G47" s="4" t="s">
        <v>1320</v>
      </c>
      <c r="H47" s="4" t="s">
        <v>184</v>
      </c>
      <c r="I47" s="19"/>
      <c r="J47" s="5" t="str">
        <f>IFERROR(__xludf.DUMMYFUNCTION("GOOGLETRANSLATE(A47, ""bn"", ""en"")"),"46")</f>
        <v>46</v>
      </c>
      <c r="K47" s="5" t="str">
        <f>IFERROR(__xludf.DUMMYFUNCTION("GOOGLETRANSLATE(B47, ""bn"", ""en"")"),"What is the attitude of the contestants in the film?")</f>
        <v>What is the attitude of the contestants in the film?</v>
      </c>
      <c r="L47" s="5" t="str">
        <f>IFERROR(__xludf.DUMMYFUNCTION("GOOGLETRANSLATE(C47, ""bn"", ""en"")"),"enthusiastic")</f>
        <v>enthusiastic</v>
      </c>
      <c r="M47" s="5" t="str">
        <f>IFERROR(__xludf.DUMMYFUNCTION("GOOGLETRANSLATE(D47, ""bn"", ""en"")"),"calm down")</f>
        <v>calm down</v>
      </c>
      <c r="N47" s="5" t="str">
        <f>IFERROR(__xludf.DUMMYFUNCTION("GOOGLETRANSLATE(E47, ""bn"", ""en"")"),"cheerful")</f>
        <v>cheerful</v>
      </c>
      <c r="O47" s="5" t="str">
        <f>IFERROR(__xludf.DUMMYFUNCTION("GOOGLETRANSLATE(F47, ""bn"", ""en"")"),"Boring")</f>
        <v>Boring</v>
      </c>
      <c r="P47" s="5" t="str">
        <f>IFERROR(__xludf.DUMMYFUNCTION("GOOGLETRANSLATE(G47, ""bn"", ""en"")"),"enthusiastic")</f>
        <v>enthusiastic</v>
      </c>
      <c r="Q47" s="5" t="str">
        <f>IFERROR(__xludf.DUMMYFUNCTION("GOOGLETRANSLATE(H47, ""bn"", ""en"")"),"pic23")</f>
        <v>pic23</v>
      </c>
    </row>
    <row r="48">
      <c r="A48" s="3">
        <v>47.0</v>
      </c>
      <c r="B48" s="4" t="s">
        <v>1698</v>
      </c>
      <c r="C48" s="4" t="s">
        <v>1317</v>
      </c>
      <c r="D48" s="4" t="s">
        <v>1058</v>
      </c>
      <c r="E48" s="4" t="s">
        <v>1318</v>
      </c>
      <c r="F48" s="4" t="s">
        <v>143</v>
      </c>
      <c r="G48" s="4" t="s">
        <v>1317</v>
      </c>
      <c r="H48" s="4" t="s">
        <v>191</v>
      </c>
      <c r="I48" s="19"/>
      <c r="J48" s="5" t="str">
        <f>IFERROR(__xludf.DUMMYFUNCTION("GOOGLETRANSLATE(A48, ""bn"", ""en"")"),"47")</f>
        <v>47</v>
      </c>
      <c r="K48" s="5" t="str">
        <f>IFERROR(__xludf.DUMMYFUNCTION("GOOGLETRANSLATE(B48, ""bn"", ""en"")"),"How do competitors increase their speed in a fencing competition?")</f>
        <v>How do competitors increase their speed in a fencing competition?</v>
      </c>
      <c r="L48" s="5" t="str">
        <f>IFERROR(__xludf.DUMMYFUNCTION("GOOGLETRANSLATE(C48, ""bn"", ""en"")"),"run fast")</f>
        <v>run fast</v>
      </c>
      <c r="M48" s="5" t="str">
        <f>IFERROR(__xludf.DUMMYFUNCTION("GOOGLETRANSLATE(D48, ""bn"", ""en"")"),"combination")</f>
        <v>combination</v>
      </c>
      <c r="N48" s="5" t="str">
        <f>IFERROR(__xludf.DUMMYFUNCTION("GOOGLETRANSLATE(E48, ""bn"", ""en"")"),"Patience")</f>
        <v>Patience</v>
      </c>
      <c r="O48" s="5" t="str">
        <f>IFERROR(__xludf.DUMMYFUNCTION("GOOGLETRANSLATE(F48, ""bn"", ""en"")"),"Power")</f>
        <v>Power</v>
      </c>
      <c r="P48" s="5" t="str">
        <f>IFERROR(__xludf.DUMMYFUNCTION("GOOGLETRANSLATE(G48, ""bn"", ""en"")"),"run fast")</f>
        <v>run fast</v>
      </c>
      <c r="Q48" s="5" t="str">
        <f>IFERROR(__xludf.DUMMYFUNCTION("GOOGLETRANSLATE(H48, ""bn"", ""en"")"),"pic24")</f>
        <v>pic24</v>
      </c>
    </row>
    <row r="49">
      <c r="A49" s="3">
        <v>48.0</v>
      </c>
      <c r="B49" s="4" t="s">
        <v>1699</v>
      </c>
      <c r="C49" s="4" t="s">
        <v>1077</v>
      </c>
      <c r="D49" s="4" t="s">
        <v>561</v>
      </c>
      <c r="E49" s="4" t="s">
        <v>1135</v>
      </c>
      <c r="F49" s="4" t="s">
        <v>1078</v>
      </c>
      <c r="G49" s="4" t="s">
        <v>1077</v>
      </c>
      <c r="H49" s="4" t="s">
        <v>191</v>
      </c>
      <c r="I49" s="19"/>
      <c r="J49" s="5" t="str">
        <f>IFERROR(__xludf.DUMMYFUNCTION("GOOGLETRANSLATE(A49, ""bn"", ""en"")"),"48")</f>
        <v>48</v>
      </c>
      <c r="K49" s="5" t="str">
        <f>IFERROR(__xludf.DUMMYFUNCTION("GOOGLETRANSLATE(B49, ""bn"", ""en"")"),"How are the contestants' postures displayed in the film?")</f>
        <v>How are the contestants' postures displayed in the film?</v>
      </c>
      <c r="L49" s="5" t="str">
        <f>IFERROR(__xludf.DUMMYFUNCTION("GOOGLETRANSLATE(C49, ""bn"", ""en"")"),"Stimulus")</f>
        <v>Stimulus</v>
      </c>
      <c r="M49" s="5" t="str">
        <f>IFERROR(__xludf.DUMMYFUNCTION("GOOGLETRANSLATE(D49, ""bn"", ""en"")"),"calm down")</f>
        <v>calm down</v>
      </c>
      <c r="N49" s="5" t="str">
        <f>IFERROR(__xludf.DUMMYFUNCTION("GOOGLETRANSLATE(E49, ""bn"", ""en"")"),"cheerful")</f>
        <v>cheerful</v>
      </c>
      <c r="O49" s="5" t="str">
        <f>IFERROR(__xludf.DUMMYFUNCTION("GOOGLETRANSLATE(F49, ""bn"", ""en"")"),"without hesitation")</f>
        <v>without hesitation</v>
      </c>
      <c r="P49" s="5" t="str">
        <f>IFERROR(__xludf.DUMMYFUNCTION("GOOGLETRANSLATE(G49, ""bn"", ""en"")"),"Stimulus")</f>
        <v>Stimulus</v>
      </c>
      <c r="Q49" s="5" t="str">
        <f>IFERROR(__xludf.DUMMYFUNCTION("GOOGLETRANSLATE(H49, ""bn"", ""en"")"),"pic24")</f>
        <v>pic24</v>
      </c>
    </row>
    <row r="50">
      <c r="A50" s="3">
        <v>49.0</v>
      </c>
      <c r="B50" s="4" t="s">
        <v>1707</v>
      </c>
      <c r="C50" s="4" t="s">
        <v>1317</v>
      </c>
      <c r="D50" s="4" t="s">
        <v>1318</v>
      </c>
      <c r="E50" s="4" t="s">
        <v>1670</v>
      </c>
      <c r="F50" s="4" t="s">
        <v>1058</v>
      </c>
      <c r="G50" s="4" t="s">
        <v>1317</v>
      </c>
      <c r="H50" s="4" t="s">
        <v>198</v>
      </c>
      <c r="I50" s="19"/>
      <c r="J50" s="5" t="str">
        <f>IFERROR(__xludf.DUMMYFUNCTION("GOOGLETRANSLATE(A50, ""bn"", ""en"")"),"49")</f>
        <v>49</v>
      </c>
      <c r="K50" s="5" t="str">
        <f>IFERROR(__xludf.DUMMYFUNCTION("GOOGLETRANSLATE(B50, ""bn"", ""en"")"),"Which technique is used in the fencing competition?")</f>
        <v>Which technique is used in the fencing competition?</v>
      </c>
      <c r="L50" s="5" t="str">
        <f>IFERROR(__xludf.DUMMYFUNCTION("GOOGLETRANSLATE(C50, ""bn"", ""en"")"),"run fast")</f>
        <v>run fast</v>
      </c>
      <c r="M50" s="5" t="str">
        <f>IFERROR(__xludf.DUMMYFUNCTION("GOOGLETRANSLATE(D50, ""bn"", ""en"")"),"Patience")</f>
        <v>Patience</v>
      </c>
      <c r="N50" s="5" t="str">
        <f>IFERROR(__xludf.DUMMYFUNCTION("GOOGLETRANSLATE(E50, ""bn"", ""en"")"),"Setting the right goals")</f>
        <v>Setting the right goals</v>
      </c>
      <c r="O50" s="5" t="str">
        <f>IFERROR(__xludf.DUMMYFUNCTION("GOOGLETRANSLATE(F50, ""bn"", ""en"")"),"combination")</f>
        <v>combination</v>
      </c>
      <c r="P50" s="5" t="str">
        <f>IFERROR(__xludf.DUMMYFUNCTION("GOOGLETRANSLATE(G50, ""bn"", ""en"")"),"run fast")</f>
        <v>run fast</v>
      </c>
      <c r="Q50" s="5" t="str">
        <f>IFERROR(__xludf.DUMMYFUNCTION("GOOGLETRANSLATE(H50, ""bn"", ""en"")"),"pic25")</f>
        <v>pic25</v>
      </c>
    </row>
    <row r="51">
      <c r="A51" s="3">
        <v>50.0</v>
      </c>
      <c r="B51" s="4" t="s">
        <v>1699</v>
      </c>
      <c r="C51" s="4" t="s">
        <v>1077</v>
      </c>
      <c r="D51" s="4" t="s">
        <v>561</v>
      </c>
      <c r="E51" s="4" t="s">
        <v>1135</v>
      </c>
      <c r="F51" s="4" t="s">
        <v>1078</v>
      </c>
      <c r="G51" s="4" t="s">
        <v>1077</v>
      </c>
      <c r="H51" s="4" t="s">
        <v>198</v>
      </c>
      <c r="I51" s="19"/>
      <c r="J51" s="5" t="str">
        <f>IFERROR(__xludf.DUMMYFUNCTION("GOOGLETRANSLATE(A51, ""bn"", ""en"")"),"50")</f>
        <v>50</v>
      </c>
      <c r="K51" s="5" t="str">
        <f>IFERROR(__xludf.DUMMYFUNCTION("GOOGLETRANSLATE(B51, ""bn"", ""en"")"),"How are the contestants' postures displayed in the film?")</f>
        <v>How are the contestants' postures displayed in the film?</v>
      </c>
      <c r="L51" s="5" t="str">
        <f>IFERROR(__xludf.DUMMYFUNCTION("GOOGLETRANSLATE(C51, ""bn"", ""en"")"),"Stimulus")</f>
        <v>Stimulus</v>
      </c>
      <c r="M51" s="5" t="str">
        <f>IFERROR(__xludf.DUMMYFUNCTION("GOOGLETRANSLATE(D51, ""bn"", ""en"")"),"calm down")</f>
        <v>calm down</v>
      </c>
      <c r="N51" s="5" t="str">
        <f>IFERROR(__xludf.DUMMYFUNCTION("GOOGLETRANSLATE(E51, ""bn"", ""en"")"),"cheerful")</f>
        <v>cheerful</v>
      </c>
      <c r="O51" s="5" t="str">
        <f>IFERROR(__xludf.DUMMYFUNCTION("GOOGLETRANSLATE(F51, ""bn"", ""en"")"),"without hesitation")</f>
        <v>without hesitation</v>
      </c>
      <c r="P51" s="5" t="str">
        <f>IFERROR(__xludf.DUMMYFUNCTION("GOOGLETRANSLATE(G51, ""bn"", ""en"")"),"Stimulus")</f>
        <v>Stimulus</v>
      </c>
      <c r="Q51" s="5" t="str">
        <f>IFERROR(__xludf.DUMMYFUNCTION("GOOGLETRANSLATE(H51, ""bn"", ""en"")"),"pic25")</f>
        <v>pic25</v>
      </c>
    </row>
    <row r="52">
      <c r="A52" s="3">
        <v>51.0</v>
      </c>
      <c r="B52" s="4" t="str">
        <f>IFERROR(__xludf.DUMMYFUNCTION("GOOGLETRANSLATE(K51, ""en"", ""bn"")"),"ছবিতে প্রতিযোগীদের ভঙ্গি কীভাবে প্রদর্শিত হয়?")</f>
        <v>ছবিতে প্রতিযোগীদের ভঙ্গি কীভাবে প্রদর্শিত হয়?</v>
      </c>
      <c r="C52" s="4" t="str">
        <f>IFERROR(__xludf.DUMMYFUNCTION("GOOGLETRANSLATE(L51, ""en"", ""bn"")"),"Loading...")</f>
        <v>Loading...</v>
      </c>
      <c r="D52" s="4" t="str">
        <f>IFERROR(__xludf.DUMMYFUNCTION("GOOGLETRANSLATE(M51, ""en"", ""bn"")"),"শান্ত হও")</f>
        <v>শান্ত হও</v>
      </c>
      <c r="E52" s="4" t="str">
        <f>IFERROR(__xludf.DUMMYFUNCTION("GOOGLETRANSLATE(N51, ""en"", ""bn"")"),"প্রফুল্ল")</f>
        <v>প্রফুল্ল</v>
      </c>
      <c r="F52" s="4" t="str">
        <f>IFERROR(__xludf.DUMMYFUNCTION("GOOGLETRANSLATE(O51, ""en"", ""bn"")"),"বিনা দ্বিধায়")</f>
        <v>বিনা দ্বিধায়</v>
      </c>
      <c r="G52" s="4" t="str">
        <f>IFERROR(__xludf.DUMMYFUNCTION("GOOGLETRANSLATE(P51, ""en"", ""bn"")"),"Loading...")</f>
        <v>Loading...</v>
      </c>
      <c r="H52" s="4" t="str">
        <f>IFERROR(__xludf.DUMMYFUNCTION("GOOGLETRANSLATE(Q51, ""en"", ""bn"")"),"ছবি25")</f>
        <v>ছবি25</v>
      </c>
      <c r="I52" s="19"/>
      <c r="J52" s="5" t="str">
        <f>IFERROR(__xludf.DUMMYFUNCTION("GOOGLETRANSLATE(A52, ""bn"", ""en"")"),"51")</f>
        <v>51</v>
      </c>
      <c r="K52" s="6" t="s">
        <v>1708</v>
      </c>
      <c r="L52" s="6" t="s">
        <v>347</v>
      </c>
      <c r="M52" s="6" t="s">
        <v>1709</v>
      </c>
      <c r="N52" s="6" t="s">
        <v>1491</v>
      </c>
      <c r="O52" s="6" t="s">
        <v>1710</v>
      </c>
      <c r="P52" s="6" t="s">
        <v>347</v>
      </c>
      <c r="Q52" s="7" t="s">
        <v>21</v>
      </c>
    </row>
    <row r="53">
      <c r="A53" s="3">
        <v>52.0</v>
      </c>
      <c r="B53" s="4" t="str">
        <f>IFERROR(__xludf.DUMMYFUNCTION("GOOGLETRANSLATE(K52, ""en"", ""bn"")"),"ছবিতে প্রতিযোগীতার জন্য কোন ধরনের ক্ষেত্র ব্যবহার করা হচ্ছে?")</f>
        <v>ছবিতে প্রতিযোগীতার জন্য কোন ধরনের ক্ষেত্র ব্যবহার করা হচ্ছে?</v>
      </c>
      <c r="C53" s="4" t="str">
        <f>IFERROR(__xludf.DUMMYFUNCTION("GOOGLETRANSLATE(L52, ""en"", ""bn"")"),"ঘাসের মাঠ।")</f>
        <v>ঘাসের মাঠ।</v>
      </c>
      <c r="D53" s="4" t="str">
        <f>IFERROR(__xludf.DUMMYFUNCTION("GOOGLETRANSLATE(M52, ""en"", ""bn"")"),"একটি কংক্রিট আদালত")</f>
        <v>একটি কংক্রিট আদালত</v>
      </c>
      <c r="E53" s="4" t="str">
        <f>IFERROR(__xludf.DUMMYFUNCTION("GOOGLETRANSLATE(N52, ""en"", ""bn"")"),"একটি বালুকাময় সৈকত")</f>
        <v>একটি বালুকাময় সৈকত</v>
      </c>
      <c r="F53" s="4" t="str">
        <f>IFERROR(__xludf.DUMMYFUNCTION("GOOGLETRANSLATE(O52, ""en"", ""bn"")"),"একটি ইনডোর জিম")</f>
        <v>একটি ইনডোর জিম</v>
      </c>
      <c r="G53" s="4" t="str">
        <f>IFERROR(__xludf.DUMMYFUNCTION("GOOGLETRANSLATE(P52, ""en"", ""bn"")"),"ঘাসের মাঠ।")</f>
        <v>ঘাসের মাঠ।</v>
      </c>
      <c r="H53" s="4" t="str">
        <f>IFERROR(__xludf.DUMMYFUNCTION("GOOGLETRANSLATE(Q52, ""en"", ""bn"")"),"ছবি1")</f>
        <v>ছবি1</v>
      </c>
      <c r="I53" s="19"/>
      <c r="J53" s="5" t="str">
        <f>IFERROR(__xludf.DUMMYFUNCTION("GOOGLETRANSLATE(A53, ""bn"", ""en"")"),"52")</f>
        <v>52</v>
      </c>
      <c r="K53" s="6" t="s">
        <v>1711</v>
      </c>
      <c r="L53" s="6">
        <v>10.0</v>
      </c>
      <c r="M53" s="6" t="s">
        <v>1712</v>
      </c>
      <c r="N53" s="6" t="s">
        <v>1713</v>
      </c>
      <c r="O53" s="6" t="s">
        <v>1714</v>
      </c>
      <c r="P53" s="6" t="s">
        <v>1712</v>
      </c>
      <c r="Q53" s="7" t="s">
        <v>21</v>
      </c>
    </row>
    <row r="54">
      <c r="A54" s="3">
        <v>53.0</v>
      </c>
      <c r="B54" s="4" t="str">
        <f>IFERROR(__xludf.DUMMYFUNCTION("GOOGLETRANSLATE(K53, ""en"", ""bn"")"),"ছবিতে দৃশ্যমান খেলোয়াড়ের সংখ্যা কত?")</f>
        <v>ছবিতে দৃশ্যমান খেলোয়াড়ের সংখ্যা কত?</v>
      </c>
      <c r="C54" s="4" t="str">
        <f>IFERROR(__xludf.DUMMYFUNCTION("GOOGLETRANSLATE(L53, ""en"", ""bn"")"),"10")</f>
        <v>10</v>
      </c>
      <c r="D54" s="4" t="str">
        <f>IFERROR(__xludf.DUMMYFUNCTION("GOOGLETRANSLATE(M53, ""en"", ""bn"")"),"১০ টিরও বেশি")</f>
        <v>১০ টিরও বেশি</v>
      </c>
      <c r="E54" s="4" t="str">
        <f>IFERROR(__xludf.DUMMYFUNCTION("GOOGLETRANSLATE(N53, ""en"", ""bn"")"),"৫ এর কম")</f>
        <v>৫ এর কম</v>
      </c>
      <c r="F54" s="4" t="str">
        <f>IFERROR(__xludf.DUMMYFUNCTION("GOOGLETRANSLATE(O53, ""en"", ""bn"")"),"ঠিক 5")</f>
        <v>ঠিক 5</v>
      </c>
      <c r="G54" s="4" t="str">
        <f>IFERROR(__xludf.DUMMYFUNCTION("GOOGLETRANSLATE(P53, ""en"", ""bn"")"),"১০ টিরও বেশি")</f>
        <v>১০ টিরও বেশি</v>
      </c>
      <c r="H54" s="4" t="str">
        <f>IFERROR(__xludf.DUMMYFUNCTION("GOOGLETRANSLATE(Q53, ""en"", ""bn"")"),"ছবি1")</f>
        <v>ছবি1</v>
      </c>
      <c r="I54" s="19"/>
      <c r="J54" s="5" t="str">
        <f>IFERROR(__xludf.DUMMYFUNCTION("GOOGLETRANSLATE(A54, ""bn"", ""en"")"),"53")</f>
        <v>53</v>
      </c>
      <c r="K54" s="6" t="s">
        <v>1715</v>
      </c>
      <c r="L54" s="6" t="s">
        <v>1716</v>
      </c>
      <c r="M54" s="6" t="s">
        <v>279</v>
      </c>
      <c r="N54" s="6" t="s">
        <v>1717</v>
      </c>
      <c r="O54" s="6" t="s">
        <v>1718</v>
      </c>
      <c r="P54" s="6" t="s">
        <v>1717</v>
      </c>
      <c r="Q54" s="7" t="s">
        <v>21</v>
      </c>
    </row>
    <row r="55">
      <c r="A55" s="3">
        <v>54.0</v>
      </c>
      <c r="B55" s="4" t="str">
        <f>IFERROR(__xludf.DUMMYFUNCTION("GOOGLETRANSLATE(K54, ""en"", ""bn"")"),"ছবিতে উভয় পক্ষের খেলোয়াড়রা কী করছেন?")</f>
        <v>ছবিতে উভয় পক্ষের খেলোয়াড়রা কী করছেন?</v>
      </c>
      <c r="C55" s="4" t="str">
        <f>IFERROR(__xludf.DUMMYFUNCTION("GOOGLETRANSLATE(L54, ""en"", ""bn"")"),"বিভিন্ন গেম খেলে")</f>
        <v>বিভিন্ন গেম খেলে</v>
      </c>
      <c r="D55" s="4" t="str">
        <f>IFERROR(__xludf.DUMMYFUNCTION("GOOGLETRANSLATE(M54, ""en"", ""bn"")"),"স্থির হয়ে দাঁড়িয়ে আছে")</f>
        <v>স্থির হয়ে দাঁড়িয়ে আছে</v>
      </c>
      <c r="E55" s="4" t="str">
        <f>IFERROR(__xludf.DUMMYFUNCTION("GOOGLETRANSLATE(N54, ""en"", ""bn"")"),"খেলাধুলায় নিযুক্ত।")</f>
        <v>খেলাধুলায় নিযুক্ত।</v>
      </c>
      <c r="F55" s="4" t="str">
        <f>IFERROR(__xludf.DUMMYFUNCTION("GOOGLETRANSLATE(O54, ""en"", ""bn"")"),"একে অপরের সাথে কথা বলছে")</f>
        <v>একে অপরের সাথে কথা বলছে</v>
      </c>
      <c r="G55" s="4" t="str">
        <f>IFERROR(__xludf.DUMMYFUNCTION("GOOGLETRANSLATE(P54, ""en"", ""bn"")"),"খেলাধুলায় নিযুক্ত।")</f>
        <v>খেলাধুলায় নিযুক্ত।</v>
      </c>
      <c r="H55" s="4" t="str">
        <f>IFERROR(__xludf.DUMMYFUNCTION("GOOGLETRANSLATE(Q54, ""en"", ""bn"")"),"ছবি1")</f>
        <v>ছবি1</v>
      </c>
      <c r="I55" s="19"/>
      <c r="J55" s="5" t="str">
        <f>IFERROR(__xludf.DUMMYFUNCTION("GOOGLETRANSLATE(A55, ""bn"", ""en"")"),"54")</f>
        <v>54</v>
      </c>
      <c r="K55" s="6" t="s">
        <v>1719</v>
      </c>
      <c r="L55" s="6" t="s">
        <v>1720</v>
      </c>
      <c r="M55" s="6" t="s">
        <v>1600</v>
      </c>
      <c r="N55" s="6" t="s">
        <v>1721</v>
      </c>
      <c r="O55" s="6" t="s">
        <v>1553</v>
      </c>
      <c r="P55" s="6" t="s">
        <v>1721</v>
      </c>
      <c r="Q55" s="7" t="s">
        <v>21</v>
      </c>
    </row>
    <row r="56">
      <c r="A56" s="3">
        <v>55.0</v>
      </c>
      <c r="B56" s="4" t="str">
        <f>IFERROR(__xludf.DUMMYFUNCTION("GOOGLETRANSLATE(K55, ""en"", ""bn"")"),"ইমেজে খেলা কি খেলা হচ্ছে?")</f>
        <v>ইমেজে খেলা কি খেলা হচ্ছে?</v>
      </c>
      <c r="C56" s="4" t="str">
        <f>IFERROR(__xludf.DUMMYFUNCTION("GOOGLETRANSLATE(L55, ""en"", ""bn"")"),"কাবাডি")</f>
        <v>কাবাডি</v>
      </c>
      <c r="D56" s="4" t="str">
        <f>IFERROR(__xludf.DUMMYFUNCTION("GOOGLETRANSLATE(M55, ""en"", ""bn"")"),"ফুটবল")</f>
        <v>ফুটবল</v>
      </c>
      <c r="E56" s="4" t="str">
        <f>IFERROR(__xludf.DUMMYFUNCTION("GOOGLETRANSLATE(N55, ""en"", ""bn"")"),"দাড়িয়াবান্ধা")</f>
        <v>দাড়িয়াবান্ধা</v>
      </c>
      <c r="F56" s="4" t="str">
        <f>IFERROR(__xludf.DUMMYFUNCTION("GOOGLETRANSLATE(O55, ""en"", ""bn"")"),"ক্রিকেট")</f>
        <v>ক্রিকেট</v>
      </c>
      <c r="G56" s="4" t="str">
        <f>IFERROR(__xludf.DUMMYFUNCTION("GOOGLETRANSLATE(P55, ""en"", ""bn"")"),"দাড়িয়াবান্ধা")</f>
        <v>দাড়িয়াবান্ধা</v>
      </c>
      <c r="H56" s="4" t="str">
        <f>IFERROR(__xludf.DUMMYFUNCTION("GOOGLETRANSLATE(Q55, ""en"", ""bn"")"),"ছবি1")</f>
        <v>ছবি1</v>
      </c>
      <c r="I56" s="19"/>
      <c r="J56" s="5" t="str">
        <f>IFERROR(__xludf.DUMMYFUNCTION("GOOGLETRANSLATE(A56, ""bn"", ""en"")"),"55")</f>
        <v>55</v>
      </c>
      <c r="K56" s="6" t="s">
        <v>1722</v>
      </c>
      <c r="L56" s="6" t="s">
        <v>1723</v>
      </c>
      <c r="M56" s="6" t="s">
        <v>1724</v>
      </c>
      <c r="N56" s="6" t="s">
        <v>1725</v>
      </c>
      <c r="O56" s="6" t="s">
        <v>1726</v>
      </c>
      <c r="P56" s="6" t="s">
        <v>1724</v>
      </c>
      <c r="Q56" s="7" t="s">
        <v>21</v>
      </c>
    </row>
    <row r="57">
      <c r="A57" s="3">
        <v>56.0</v>
      </c>
      <c r="B57" s="4" t="str">
        <f>IFERROR(__xludf.DUMMYFUNCTION("GOOGLETRANSLATE(K56, ""en"", ""bn"")"),"দাড়িয়াবান্ধা এই ঐতিহ্যবাহী খেলাটি কোন দেশে খেলা হয়?")</f>
        <v>দাড়িয়াবান্ধা এই ঐতিহ্যবাহী খেলাটি কোন দেশে খেলা হয়?</v>
      </c>
      <c r="C57" s="4" t="str">
        <f>IFERROR(__xludf.DUMMYFUNCTION("GOOGLETRANSLATE(L56, ""en"", ""bn"")"),"ভারত")</f>
        <v>ভারত</v>
      </c>
      <c r="D57" s="4" t="str">
        <f>IFERROR(__xludf.DUMMYFUNCTION("GOOGLETRANSLATE(M56, ""en"", ""bn"")"),"বাংলাদেশ")</f>
        <v>বাংলাদেশ</v>
      </c>
      <c r="E57" s="4" t="str">
        <f>IFERROR(__xludf.DUMMYFUNCTION("GOOGLETRANSLATE(N56, ""en"", ""bn"")"),"পাকিস্তান")</f>
        <v>পাকিস্তান</v>
      </c>
      <c r="F57" s="4" t="str">
        <f>IFERROR(__xludf.DUMMYFUNCTION("GOOGLETRANSLATE(O56, ""en"", ""bn"")"),"আফগানিস্তান")</f>
        <v>আফগানিস্তান</v>
      </c>
      <c r="G57" s="4" t="str">
        <f>IFERROR(__xludf.DUMMYFUNCTION("GOOGLETRANSLATE(P56, ""en"", ""bn"")"),"বাংলাদেশ")</f>
        <v>বাংলাদেশ</v>
      </c>
      <c r="H57" s="4" t="str">
        <f>IFERROR(__xludf.DUMMYFUNCTION("GOOGLETRANSLATE(Q56, ""en"", ""bn"")"),"ছবি1")</f>
        <v>ছবি1</v>
      </c>
      <c r="I57" s="19"/>
      <c r="J57" s="5" t="str">
        <f>IFERROR(__xludf.DUMMYFUNCTION("GOOGLETRANSLATE(A57, ""bn"", ""en"")"),"56")</f>
        <v>56</v>
      </c>
      <c r="K57" s="6" t="s">
        <v>1727</v>
      </c>
      <c r="L57" s="6" t="s">
        <v>1490</v>
      </c>
      <c r="M57" s="6" t="s">
        <v>347</v>
      </c>
      <c r="N57" s="6" t="s">
        <v>1709</v>
      </c>
      <c r="O57" s="6" t="s">
        <v>1491</v>
      </c>
      <c r="P57" s="6" t="s">
        <v>1490</v>
      </c>
      <c r="Q57" s="7" t="s">
        <v>32</v>
      </c>
    </row>
    <row r="58">
      <c r="A58" s="3">
        <v>57.0</v>
      </c>
      <c r="B58" s="4" t="str">
        <f>IFERROR(__xludf.DUMMYFUNCTION("GOOGLETRANSLATE(K57, ""en"", ""bn"")"),"এই ছবিতে খেলাটি কি ধরনের মাঠে খেলা হচ্ছে?")</f>
        <v>এই ছবিতে খেলাটি কি ধরনের মাঠে খেলা হচ্ছে?</v>
      </c>
      <c r="C58" s="4" t="str">
        <f>IFERROR(__xludf.DUMMYFUNCTION("GOOGLETRANSLATE(L57, ""en"", ""bn"")"),"কর্দমাক্ত মাঠ")</f>
        <v>কর্দমাক্ত মাঠ</v>
      </c>
      <c r="D58" s="4" t="str">
        <f>IFERROR(__xludf.DUMMYFUNCTION("GOOGLETRANSLATE(M57, ""en"", ""bn"")"),"ঘাসের মাঠ।")</f>
        <v>ঘাসের মাঠ।</v>
      </c>
      <c r="E58" s="4" t="str">
        <f>IFERROR(__xludf.DUMMYFUNCTION("GOOGLETRANSLATE(N57, ""en"", ""bn"")"),"একটি কংক্রিট আদালত")</f>
        <v>একটি কংক্রিট আদালত</v>
      </c>
      <c r="F58" s="4" t="str">
        <f>IFERROR(__xludf.DUMMYFUNCTION("GOOGLETRANSLATE(O57, ""en"", ""bn"")"),"একটি বালুকাময় সৈকত")</f>
        <v>একটি বালুকাময় সৈকত</v>
      </c>
      <c r="G58" s="4" t="str">
        <f>IFERROR(__xludf.DUMMYFUNCTION("GOOGLETRANSLATE(P57, ""en"", ""bn"")"),"কর্দমাক্ত মাঠ")</f>
        <v>কর্দমাক্ত মাঠ</v>
      </c>
      <c r="H58" s="4" t="str">
        <f>IFERROR(__xludf.DUMMYFUNCTION("GOOGLETRANSLATE(Q57, ""en"", ""bn"")"),"ছবি2")</f>
        <v>ছবি2</v>
      </c>
      <c r="I58" s="19"/>
      <c r="J58" s="5" t="str">
        <f>IFERROR(__xludf.DUMMYFUNCTION("GOOGLETRANSLATE(A58, ""bn"", ""en"")"),"57")</f>
        <v>57</v>
      </c>
      <c r="K58" s="6" t="s">
        <v>1728</v>
      </c>
      <c r="L58" s="6" t="s">
        <v>1729</v>
      </c>
      <c r="M58" s="6" t="s">
        <v>1730</v>
      </c>
      <c r="N58" s="6" t="s">
        <v>1731</v>
      </c>
      <c r="O58" s="6" t="s">
        <v>1732</v>
      </c>
      <c r="P58" s="6" t="s">
        <v>1729</v>
      </c>
      <c r="Q58" s="7" t="s">
        <v>32</v>
      </c>
    </row>
    <row r="59">
      <c r="A59" s="3">
        <v>58.0</v>
      </c>
      <c r="B59" s="4" t="str">
        <f>IFERROR(__xludf.DUMMYFUNCTION("GOOGLETRANSLATE(K58, ""en"", ""bn"")"),"ছবির উপর ভিত্তি করে, অংশগ্রহণকারী খেলোয়াড়দের লিঙ্গ কি?")</f>
        <v>ছবির উপর ভিত্তি করে, অংশগ্রহণকারী খেলোয়াড়দের লিঙ্গ কি?</v>
      </c>
      <c r="C59" s="4" t="str">
        <f>IFERROR(__xludf.DUMMYFUNCTION("GOOGLETRANSLATE(L58, ""en"", ""bn"")"),"একচেটিয়াভাবে পুরুষ")</f>
        <v>একচেটিয়াভাবে পুরুষ</v>
      </c>
      <c r="D59" s="4" t="str">
        <f>IFERROR(__xludf.DUMMYFUNCTION("GOOGLETRANSLATE(M58, ""en"", ""bn"")"),"একচেটিয়াভাবে মহিলা")</f>
        <v>একচেটিয়াভাবে মহিলা</v>
      </c>
      <c r="E59" s="4" t="str">
        <f>IFERROR(__xludf.DUMMYFUNCTION("GOOGLETRANSLATE(N58, ""en"", ""bn"")"),"পুরুষ এবং মহিলা উভয়ই")</f>
        <v>পুরুষ এবং মহিলা উভয়ই</v>
      </c>
      <c r="F59" s="4" t="str">
        <f>IFERROR(__xludf.DUMMYFUNCTION("GOOGLETRANSLATE(O58, ""en"", ""bn"")"),"নির্ধারণ করা যাবে না")</f>
        <v>নির্ধারণ করা যাবে না</v>
      </c>
      <c r="G59" s="4" t="str">
        <f>IFERROR(__xludf.DUMMYFUNCTION("GOOGLETRANSLATE(P58, ""en"", ""bn"")"),"একচেটিয়াভাবে পুরুষ")</f>
        <v>একচেটিয়াভাবে পুরুষ</v>
      </c>
      <c r="H59" s="4" t="str">
        <f>IFERROR(__xludf.DUMMYFUNCTION("GOOGLETRANSLATE(Q58, ""en"", ""bn"")"),"ছবি2")</f>
        <v>ছবি2</v>
      </c>
      <c r="I59" s="19"/>
      <c r="J59" s="5" t="str">
        <f>IFERROR(__xludf.DUMMYFUNCTION("GOOGLETRANSLATE(A59, ""bn"", ""en"")"),"58")</f>
        <v>58</v>
      </c>
      <c r="K59" s="6" t="s">
        <v>1733</v>
      </c>
      <c r="L59" s="6" t="s">
        <v>1734</v>
      </c>
      <c r="M59" s="6" t="s">
        <v>1735</v>
      </c>
      <c r="N59" s="6" t="s">
        <v>1736</v>
      </c>
      <c r="O59" s="6" t="s">
        <v>840</v>
      </c>
      <c r="P59" s="6" t="s">
        <v>1734</v>
      </c>
      <c r="Q59" s="7" t="s">
        <v>32</v>
      </c>
    </row>
    <row r="60">
      <c r="A60" s="3">
        <v>59.0</v>
      </c>
      <c r="B60" s="4" t="str">
        <f>IFERROR(__xludf.DUMMYFUNCTION("GOOGLETRANSLATE(K59, ""en"", ""bn"")"),"ছবির অগ্রভাগে দর্শকরা কী করছেন?")</f>
        <v>ছবির অগ্রভাগে দর্শকরা কী করছেন?</v>
      </c>
      <c r="C60" s="4" t="str">
        <f>IFERROR(__xludf.DUMMYFUNCTION("GOOGLETRANSLATE(L59, ""en"", ""bn"")"),"খেলা দেখছি")</f>
        <v>খেলা দেখছি</v>
      </c>
      <c r="D60" s="4" t="str">
        <f>IFERROR(__xludf.DUMMYFUNCTION("GOOGLETRANSLATE(M59, ""en"", ""bn"")"),"নিজেদের খেলা খেলছে")</f>
        <v>নিজেদের খেলা খেলছে</v>
      </c>
      <c r="E60" s="4" t="str">
        <f>IFERROR(__xludf.DUMMYFUNCTION("GOOGLETRANSLATE(N59, ""en"", ""bn"")"),"তাদের ফোনে কথা হচ্ছে")</f>
        <v>তাদের ফোনে কথা হচ্ছে</v>
      </c>
      <c r="F60" s="4" t="str">
        <f>IFERROR(__xludf.DUMMYFUNCTION("GOOGLETRANSLATE(O59, ""en"", ""bn"")"),"ঘুমন্ত")</f>
        <v>ঘুমন্ত</v>
      </c>
      <c r="G60" s="4" t="str">
        <f>IFERROR(__xludf.DUMMYFUNCTION("GOOGLETRANSLATE(P59, ""en"", ""bn"")"),"খেলা দেখছি")</f>
        <v>খেলা দেখছি</v>
      </c>
      <c r="H60" s="4" t="str">
        <f>IFERROR(__xludf.DUMMYFUNCTION("GOOGLETRANSLATE(Q59, ""en"", ""bn"")"),"ছবি2")</f>
        <v>ছবি2</v>
      </c>
      <c r="I60" s="19"/>
      <c r="J60" s="5" t="str">
        <f>IFERROR(__xludf.DUMMYFUNCTION("GOOGLETRANSLATE(A60, ""bn"", ""en"")"),"59")</f>
        <v>59</v>
      </c>
      <c r="K60" s="6" t="s">
        <v>1737</v>
      </c>
      <c r="L60" s="6" t="s">
        <v>868</v>
      </c>
      <c r="M60" s="6" t="s">
        <v>1738</v>
      </c>
      <c r="N60" s="6" t="s">
        <v>1739</v>
      </c>
      <c r="O60" s="6" t="s">
        <v>1740</v>
      </c>
      <c r="P60" s="6" t="s">
        <v>868</v>
      </c>
      <c r="Q60" s="7" t="s">
        <v>32</v>
      </c>
    </row>
    <row r="61">
      <c r="A61" s="3">
        <v>60.0</v>
      </c>
      <c r="B61" s="4" t="str">
        <f>IFERROR(__xludf.DUMMYFUNCTION("GOOGLETRANSLATE(K60, ""en"", ""bn"")"),"এই ঐতিহ্যবাহী খেলার খেলোয়াড়দের সাধারণ পোশাক কী?")</f>
        <v>এই ঐতিহ্যবাহী খেলার খেলোয়াড়দের সাধারণ পোশাক কী?</v>
      </c>
      <c r="C61" s="4" t="str">
        <f>IFERROR(__xludf.DUMMYFUNCTION("GOOGLETRANSLATE(L60, ""en"", ""bn"")"),"টি-শার্ট এবং শর্টস")</f>
        <v>টি-শার্ট এবং শর্টস</v>
      </c>
      <c r="D61" s="4" t="str">
        <f>IFERROR(__xludf.DUMMYFUNCTION("GOOGLETRANSLATE(M60, ""en"", ""bn"")"),"আনুষ্ঠানিক পরিধান")</f>
        <v>আনুষ্ঠানিক পরিধান</v>
      </c>
      <c r="E61" s="4" t="str">
        <f>IFERROR(__xludf.DUMMYFUNCTION("GOOGLETRANSLATE(N60, ""en"", ""bn"")"),"জিন্স এবং জ্যাকেট")</f>
        <v>জিন্স এবং জ্যাকেট</v>
      </c>
      <c r="F61" s="4" t="str">
        <f>IFERROR(__xludf.DUMMYFUNCTION("GOOGLETRANSLATE(O60, ""en"", ""bn"")"),"ঐতিহ্যবাহী পোশাক")</f>
        <v>ঐতিহ্যবাহী পোশাক</v>
      </c>
      <c r="G61" s="4" t="str">
        <f>IFERROR(__xludf.DUMMYFUNCTION("GOOGLETRANSLATE(P60, ""en"", ""bn"")"),"টি-শার্ট এবং শর্টস")</f>
        <v>টি-শার্ট এবং শর্টস</v>
      </c>
      <c r="H61" s="4" t="str">
        <f>IFERROR(__xludf.DUMMYFUNCTION("GOOGLETRANSLATE(Q60, ""en"", ""bn"")"),"ছবি2")</f>
        <v>ছবি2</v>
      </c>
      <c r="I61" s="19"/>
      <c r="J61" s="5" t="str">
        <f>IFERROR(__xludf.DUMMYFUNCTION("GOOGLETRANSLATE(A61, ""bn"", ""en"")"),"60")</f>
        <v>60</v>
      </c>
      <c r="K61" s="6" t="s">
        <v>1741</v>
      </c>
      <c r="L61" s="6" t="s">
        <v>1475</v>
      </c>
      <c r="M61" s="6" t="s">
        <v>1742</v>
      </c>
      <c r="N61" s="6" t="s">
        <v>1381</v>
      </c>
      <c r="O61" s="6" t="s">
        <v>1743</v>
      </c>
      <c r="P61" s="6" t="s">
        <v>1742</v>
      </c>
      <c r="Q61" s="7" t="s">
        <v>32</v>
      </c>
    </row>
    <row r="62">
      <c r="A62" s="3">
        <v>61.0</v>
      </c>
      <c r="B62" s="4" t="str">
        <f>IFERROR(__xludf.DUMMYFUNCTION("GOOGLETRANSLATE(K61, ""en"", ""bn"")"),"ঐতিহ্যবাহী এই খেলায় খেলার প্রাথমিক পদ্ধতি কী?")</f>
        <v>ঐতিহ্যবাহী এই খেলায় খেলার প্রাথমিক পদ্ধতি কী?</v>
      </c>
      <c r="C62" s="4" t="str">
        <f>IFERROR(__xludf.DUMMYFUNCTION("GOOGLETRANSLATE(L61, ""en"", ""bn"")"),"একটি বল নিক্ষেপ")</f>
        <v>একটি বল নিক্ষেপ</v>
      </c>
      <c r="D62" s="4" t="str">
        <f>IFERROR(__xludf.DUMMYFUNCTION("GOOGLETRANSLATE(M61, ""en"", ""bn"")"),"তাড়া করা এবং ট্যাগ করা")</f>
        <v>তাড়া করা এবং ট্যাগ করা</v>
      </c>
      <c r="E62" s="4" t="str">
        <f>IFERROR(__xludf.DUMMYFUNCTION("GOOGLETRANSLATE(N61, ""en"", ""bn"")"),"একটি বল কিকিং")</f>
        <v>একটি বল কিকিং</v>
      </c>
      <c r="F62" s="4" t="str">
        <f>IFERROR(__xludf.DUMMYFUNCTION("GOOGLETRANSLATE(O61, ""en"", ""bn"")"),"লাঠি দিয়ে আঘাত করা")</f>
        <v>লাঠি দিয়ে আঘাত করা</v>
      </c>
      <c r="G62" s="4" t="str">
        <f>IFERROR(__xludf.DUMMYFUNCTION("GOOGLETRANSLATE(P61, ""en"", ""bn"")"),"তাড়া করা এবং ট্যাগ করা")</f>
        <v>তাড়া করা এবং ট্যাগ করা</v>
      </c>
      <c r="H62" s="4" t="str">
        <f>IFERROR(__xludf.DUMMYFUNCTION("GOOGLETRANSLATE(Q61, ""en"", ""bn"")"),"ছবি2")</f>
        <v>ছবি2</v>
      </c>
      <c r="I62" s="19"/>
      <c r="J62" s="5" t="str">
        <f>IFERROR(__xludf.DUMMYFUNCTION("GOOGLETRANSLATE(A62, ""bn"", ""en"")"),"61")</f>
        <v>61</v>
      </c>
      <c r="K62" s="6" t="s">
        <v>1744</v>
      </c>
      <c r="L62" s="6" t="s">
        <v>326</v>
      </c>
      <c r="M62" s="6" t="s">
        <v>1745</v>
      </c>
      <c r="N62" s="6" t="s">
        <v>1746</v>
      </c>
      <c r="O62" s="6" t="s">
        <v>1747</v>
      </c>
      <c r="P62" s="6" t="s">
        <v>1747</v>
      </c>
      <c r="Q62" s="7" t="s">
        <v>39</v>
      </c>
    </row>
    <row r="63">
      <c r="A63" s="3">
        <v>62.0</v>
      </c>
      <c r="B63" s="4" t="str">
        <f>IFERROR(__xludf.DUMMYFUNCTION("GOOGLETRANSLATE(K62, ""en"", ""bn"")"),"ছবিতে দৃশ্যমান অংশগ্রহণকারীদের বয়স কত?")</f>
        <v>ছবিতে দৃশ্যমান অংশগ্রহণকারীদের বয়স কত?</v>
      </c>
      <c r="C63" s="4" t="str">
        <f>IFERROR(__xludf.DUMMYFUNCTION("GOOGLETRANSLATE(L62, ""en"", ""bn"")"),"সকল প্রাপ্তবয়স্ক")</f>
        <v>সকল প্রাপ্তবয়স্ক</v>
      </c>
      <c r="D63" s="4" t="str">
        <f>IFERROR(__xludf.DUMMYFUNCTION("GOOGLETRANSLATE(M62, ""en"", ""bn"")"),"সকল শিশু")</f>
        <v>সকল শিশু</v>
      </c>
      <c r="E63" s="4" t="str">
        <f>IFERROR(__xludf.DUMMYFUNCTION("GOOGLETRANSLATE(N62, ""en"", ""bn"")"),"মিশ্র বয়সী গ্রুপ")</f>
        <v>মিশ্র বয়সী গ্রুপ</v>
      </c>
      <c r="F63" s="4" t="str">
        <f>IFERROR(__xludf.DUMMYFUNCTION("GOOGLETRANSLATE(O62, ""en"", ""bn"")"),"মূলত কিশোর-কিশোরী")</f>
        <v>মূলত কিশোর-কিশোরী</v>
      </c>
      <c r="G63" s="4" t="str">
        <f>IFERROR(__xludf.DUMMYFUNCTION("GOOGLETRANSLATE(P62, ""en"", ""bn"")"),"মূলত কিশোর-কিশোরী")</f>
        <v>মূলত কিশোর-কিশোরী</v>
      </c>
      <c r="H63" s="4" t="str">
        <f>IFERROR(__xludf.DUMMYFUNCTION("GOOGLETRANSLATE(Q62, ""en"", ""bn"")"),"ছবি3")</f>
        <v>ছবি3</v>
      </c>
      <c r="I63" s="19"/>
      <c r="J63" s="5" t="str">
        <f>IFERROR(__xludf.DUMMYFUNCTION("GOOGLETRANSLATE(A63, ""bn"", ""en"")"),"62")</f>
        <v>62</v>
      </c>
      <c r="K63" s="6" t="s">
        <v>1748</v>
      </c>
      <c r="L63" s="6" t="s">
        <v>1749</v>
      </c>
      <c r="M63" s="6" t="s">
        <v>1709</v>
      </c>
      <c r="N63" s="6" t="s">
        <v>347</v>
      </c>
      <c r="O63" s="6" t="s">
        <v>1750</v>
      </c>
      <c r="P63" s="6" t="s">
        <v>1749</v>
      </c>
      <c r="Q63" s="7" t="s">
        <v>39</v>
      </c>
    </row>
    <row r="64">
      <c r="A64" s="3">
        <v>63.0</v>
      </c>
      <c r="B64" s="4" t="str">
        <f>IFERROR(__xludf.DUMMYFUNCTION("GOOGLETRANSLATE(K63, ""en"", ""bn"")"),"এই প্রতিযোগিতায় ক্ষেত্রের পৃষ্ঠের ধরন কি?")</f>
        <v>এই প্রতিযোগিতায় ক্ষেত্রের পৃষ্ঠের ধরন কি?</v>
      </c>
      <c r="C64" s="4" t="str">
        <f>IFERROR(__xludf.DUMMYFUNCTION("GOOGLETRANSLATE(L63, ""en"", ""bn"")"),"বালুকাময়/কাদাযুক্ত জমি")</f>
        <v>বালুকাময়/কাদাযুক্ত জমি</v>
      </c>
      <c r="D64" s="4" t="str">
        <f>IFERROR(__xludf.DUMMYFUNCTION("GOOGLETRANSLATE(M63, ""en"", ""bn"")"),"একটি কংক্রিট আদালত")</f>
        <v>একটি কংক্রিট আদালত</v>
      </c>
      <c r="E64" s="4" t="str">
        <f>IFERROR(__xludf.DUMMYFUNCTION("GOOGLETRANSLATE(N63, ""en"", ""bn"")"),"ঘাসের মাঠ।")</f>
        <v>ঘাসের মাঠ।</v>
      </c>
      <c r="F64" s="4" t="str">
        <f>IFERROR(__xludf.DUMMYFUNCTION("GOOGLETRANSLATE(O63, ""en"", ""bn"")"),"একটি ডামার রাস্তা")</f>
        <v>একটি ডামার রাস্তা</v>
      </c>
      <c r="G64" s="4" t="str">
        <f>IFERROR(__xludf.DUMMYFUNCTION("GOOGLETRANSLATE(P63, ""en"", ""bn"")"),"বালুকাময়/কাদাযুক্ত জমি")</f>
        <v>বালুকাময়/কাদাযুক্ত জমি</v>
      </c>
      <c r="H64" s="4" t="str">
        <f>IFERROR(__xludf.DUMMYFUNCTION("GOOGLETRANSLATE(Q63, ""en"", ""bn"")"),"ছবি3")</f>
        <v>ছবি3</v>
      </c>
      <c r="I64" s="19"/>
      <c r="J64" s="5" t="str">
        <f>IFERROR(__xludf.DUMMYFUNCTION("GOOGLETRANSLATE(A64, ""bn"", ""en"")"),"63")</f>
        <v>63</v>
      </c>
      <c r="K64" s="6" t="s">
        <v>1751</v>
      </c>
      <c r="L64" s="6" t="s">
        <v>1752</v>
      </c>
      <c r="M64" s="6" t="s">
        <v>1753</v>
      </c>
      <c r="N64" s="6" t="s">
        <v>1754</v>
      </c>
      <c r="O64" s="6" t="s">
        <v>1755</v>
      </c>
      <c r="P64" s="6" t="s">
        <v>1752</v>
      </c>
      <c r="Q64" s="7" t="s">
        <v>39</v>
      </c>
    </row>
    <row r="65">
      <c r="A65" s="3">
        <v>64.0</v>
      </c>
      <c r="B65" s="4" t="str">
        <f>IFERROR(__xludf.DUMMYFUNCTION("GOOGLETRANSLATE(K64, ""en"", ""bn"")"),"খেলায় মাটির রেখাগুলি কীসের জন্য ব্যবহৃত হয়?")</f>
        <v>খেলায় মাটির রেখাগুলি কীসের জন্য ব্যবহৃত হয়?</v>
      </c>
      <c r="C65" s="4" t="str">
        <f>IFERROR(__xludf.DUMMYFUNCTION("GOOGLETRANSLATE(L64, ""en"", ""bn"")"),"আদালত চিহ্নিত করার জন্য")</f>
        <v>আদালত চিহ্নিত করার জন্য</v>
      </c>
      <c r="D65" s="4" t="str">
        <f>IFERROR(__xludf.DUMMYFUNCTION("GOOGLETRANSLATE(M64, ""en"", ""bn"")"),"দর্শকদের আলাদা করার জন্য")</f>
        <v>দর্শকদের আলাদা করার জন্য</v>
      </c>
      <c r="E65" s="4" t="str">
        <f>IFERROR(__xludf.DUMMYFUNCTION("GOOGLETRANSLATE(N64, ""en"", ""bn"")"),"ফাউল প্লে নির্দেশ করার জন্য")</f>
        <v>ফাউল প্লে নির্দেশ করার জন্য</v>
      </c>
      <c r="F65" s="4" t="str">
        <f>IFERROR(__xludf.DUMMYFUNCTION("GOOGLETRANSLATE(O64, ""en"", ""bn"")"),"শেষ রেখা দেখানোর জন্য")</f>
        <v>শেষ রেখা দেখানোর জন্য</v>
      </c>
      <c r="G65" s="4" t="str">
        <f>IFERROR(__xludf.DUMMYFUNCTION("GOOGLETRANSLATE(P64, ""en"", ""bn"")"),"আদালত চিহ্নিত করার জন্য")</f>
        <v>আদালত চিহ্নিত করার জন্য</v>
      </c>
      <c r="H65" s="4" t="str">
        <f>IFERROR(__xludf.DUMMYFUNCTION("GOOGLETRANSLATE(Q64, ""en"", ""bn"")"),"ছবি3")</f>
        <v>ছবি3</v>
      </c>
      <c r="I65" s="19"/>
      <c r="J65" s="5" t="str">
        <f>IFERROR(__xludf.DUMMYFUNCTION("GOOGLETRANSLATE(A65, ""bn"", ""en"")"),"64")</f>
        <v>64</v>
      </c>
      <c r="K65" s="6" t="s">
        <v>1756</v>
      </c>
      <c r="L65" s="6" t="s">
        <v>1757</v>
      </c>
      <c r="M65" s="6" t="s">
        <v>1758</v>
      </c>
      <c r="N65" s="6" t="s">
        <v>1759</v>
      </c>
      <c r="O65" s="6" t="s">
        <v>1760</v>
      </c>
      <c r="P65" s="6" t="s">
        <v>1759</v>
      </c>
      <c r="Q65" s="7" t="s">
        <v>39</v>
      </c>
    </row>
    <row r="66">
      <c r="A66" s="3">
        <v>65.0</v>
      </c>
      <c r="B66" s="4" t="str">
        <f>IFERROR(__xludf.DUMMYFUNCTION("GOOGLETRANSLATE(K65, ""en"", ""bn"")"),"চিত্র থেকে আবহাওয়ার অবস্থা সম্পর্কে কি অনুমান করা যায়?")</f>
        <v>চিত্র থেকে আবহাওয়ার অবস্থা সম্পর্কে কি অনুমান করা যায়?</v>
      </c>
      <c r="C66" s="4" t="str">
        <f>IFERROR(__xludf.DUMMYFUNCTION("GOOGLETRANSLATE(L65, ""en"", ""bn"")"),"বৃষ্টি হচ্ছে।")</f>
        <v>বৃষ্টি হচ্ছে।</v>
      </c>
      <c r="D66" s="4" t="str">
        <f>IFERROR(__xludf.DUMMYFUNCTION("GOOGLETRANSLATE(M65, ""en"", ""bn"")"),"মেঘলা।")</f>
        <v>মেঘলা।</v>
      </c>
      <c r="E66" s="4" t="str">
        <f>IFERROR(__xludf.DUMMYFUNCTION("GOOGLETRANSLATE(N65, ""en"", ""bn"")"),"এটি একটি রৌদ্রোজ্জ্বল দিন")</f>
        <v>এটি একটি রৌদ্রোজ্জ্বল দিন</v>
      </c>
      <c r="F66" s="4" t="str">
        <f>IFERROR(__xludf.DUMMYFUNCTION("GOOGLETRANSLATE(O65, ""en"", ""bn"")"),"তুষারপাত হচ্ছে।")</f>
        <v>তুষারপাত হচ্ছে।</v>
      </c>
      <c r="G66" s="4" t="str">
        <f>IFERROR(__xludf.DUMMYFUNCTION("GOOGLETRANSLATE(P65, ""en"", ""bn"")"),"এটি একটি রৌদ্রোজ্জ্বল দিন")</f>
        <v>এটি একটি রৌদ্রোজ্জ্বল দিন</v>
      </c>
      <c r="H66" s="4" t="str">
        <f>IFERROR(__xludf.DUMMYFUNCTION("GOOGLETRANSLATE(Q65, ""en"", ""bn"")"),"ছবি3")</f>
        <v>ছবি3</v>
      </c>
      <c r="I66" s="19"/>
      <c r="J66" s="5" t="str">
        <f>IFERROR(__xludf.DUMMYFUNCTION("GOOGLETRANSLATE(A66, ""bn"", ""en"")"),"65")</f>
        <v>65</v>
      </c>
      <c r="K66" s="6" t="s">
        <v>1761</v>
      </c>
      <c r="L66" s="6" t="s">
        <v>1762</v>
      </c>
      <c r="M66" s="6" t="s">
        <v>1763</v>
      </c>
      <c r="N66" s="6" t="s">
        <v>1764</v>
      </c>
      <c r="O66" s="6" t="s">
        <v>1765</v>
      </c>
      <c r="P66" s="6" t="s">
        <v>1763</v>
      </c>
      <c r="Q66" s="7" t="s">
        <v>39</v>
      </c>
    </row>
    <row r="67">
      <c r="A67" s="3">
        <v>66.0</v>
      </c>
      <c r="B67" s="4" t="str">
        <f>IFERROR(__xludf.DUMMYFUNCTION("GOOGLETRANSLATE(K66, ""en"", ""bn"")"),"সাদা শার্টের মাঝখানে দাঁড়িয়ে থাকা ব্যক্তিটির ভূমিকা কী?")</f>
        <v>সাদা শার্টের মাঝখানে দাঁড়িয়ে থাকা ব্যক্তিটির ভূমিকা কী?</v>
      </c>
      <c r="C67" s="4" t="str">
        <f>IFERROR(__xludf.DUMMYFUNCTION("GOOGLETRANSLATE(L66, ""en"", ""bn"")"),"একজন দর্শক")</f>
        <v>একজন দর্শক</v>
      </c>
      <c r="D67" s="4" t="str">
        <f>IFERROR(__xludf.DUMMYFUNCTION("GOOGLETRANSLATE(M66, ""en"", ""bn"")"),"একজন কর্মকর্তা বা রেফারি")</f>
        <v>একজন কর্মকর্তা বা রেফারি</v>
      </c>
      <c r="E67" s="4" t="str">
        <f>IFERROR(__xludf.DUMMYFUNCTION("GOOGLETRANSLATE(N66, ""en"", ""bn"")"),"একজন প্রশিক্ষক")</f>
        <v>একজন প্রশিক্ষক</v>
      </c>
      <c r="F67" s="4" t="str">
        <f>IFERROR(__xludf.DUMMYFUNCTION("GOOGLETRANSLATE(O66, ""en"", ""bn"")"),"বিরতিতে একজন খেলোয়াড়")</f>
        <v>বিরতিতে একজন খেলোয়াড়</v>
      </c>
      <c r="G67" s="4" t="str">
        <f>IFERROR(__xludf.DUMMYFUNCTION("GOOGLETRANSLATE(P66, ""en"", ""bn"")"),"একজন কর্মকর্তা বা রেফারি")</f>
        <v>একজন কর্মকর্তা বা রেফারি</v>
      </c>
      <c r="H67" s="4" t="str">
        <f>IFERROR(__xludf.DUMMYFUNCTION("GOOGLETRANSLATE(Q66, ""en"", ""bn"")"),"ছবি3")</f>
        <v>ছবি3</v>
      </c>
      <c r="I67" s="19"/>
      <c r="J67" s="5" t="str">
        <f>IFERROR(__xludf.DUMMYFUNCTION("GOOGLETRANSLATE(A67, ""bn"", ""en"")"),"66")</f>
        <v>66</v>
      </c>
      <c r="K67" s="6" t="s">
        <v>1766</v>
      </c>
      <c r="L67" s="6" t="s">
        <v>1767</v>
      </c>
      <c r="M67" s="6" t="s">
        <v>1768</v>
      </c>
      <c r="N67" s="6" t="s">
        <v>1769</v>
      </c>
      <c r="O67" s="6" t="s">
        <v>1770</v>
      </c>
      <c r="P67" s="6" t="s">
        <v>1769</v>
      </c>
      <c r="Q67" s="6" t="s">
        <v>46</v>
      </c>
      <c r="R67" s="17"/>
    </row>
    <row r="68">
      <c r="A68" s="3">
        <v>67.0</v>
      </c>
      <c r="B68" s="4" t="str">
        <f>IFERROR(__xludf.DUMMYFUNCTION("GOOGLETRANSLATE(K67, ""en"", ""bn"")"),"দিনের খেলাটি খেলার সময় সম্পর্কে কী অনুমান করা যায়?")</f>
        <v>দিনের খেলাটি খেলার সময় সম্পর্কে কী অনুমান করা যায়?</v>
      </c>
      <c r="C68" s="4" t="str">
        <f>IFERROR(__xludf.DUMMYFUNCTION("GOOGLETRANSLATE(L67, ""en"", ""bn"")"),"সকালে")</f>
        <v>সকালে</v>
      </c>
      <c r="D68" s="4" t="str">
        <f>IFERROR(__xludf.DUMMYFUNCTION("GOOGLETRANSLATE(M67, ""en"", ""bn"")"),"রাতে")</f>
        <v>রাতে</v>
      </c>
      <c r="E68" s="4" t="str">
        <f>IFERROR(__xludf.DUMMYFUNCTION("GOOGLETRANSLATE(N67, ""en"", ""bn"")"),"সন্ধ্যায়")</f>
        <v>সন্ধ্যায়</v>
      </c>
      <c r="F68" s="4" t="str">
        <f>IFERROR(__xludf.DUMMYFUNCTION("GOOGLETRANSLATE(O67, ""en"", ""bn"")"),"দুপুরে")</f>
        <v>দুপুরে</v>
      </c>
      <c r="G68" s="4" t="str">
        <f>IFERROR(__xludf.DUMMYFUNCTION("GOOGLETRANSLATE(P67, ""en"", ""bn"")"),"সন্ধ্যায়")</f>
        <v>সন্ধ্যায়</v>
      </c>
      <c r="H68" s="4" t="str">
        <f>IFERROR(__xludf.DUMMYFUNCTION("GOOGLETRANSLATE(Q67, ""en"", ""bn"")"),"ছবি4")</f>
        <v>ছবি4</v>
      </c>
      <c r="I68" s="19"/>
      <c r="J68" s="5" t="str">
        <f>IFERROR(__xludf.DUMMYFUNCTION("GOOGLETRANSLATE(A68, ""bn"", ""en"")"),"67")</f>
        <v>67</v>
      </c>
      <c r="K68" s="6" t="s">
        <v>1771</v>
      </c>
      <c r="L68" s="6" t="s">
        <v>347</v>
      </c>
      <c r="M68" s="6" t="s">
        <v>1709</v>
      </c>
      <c r="N68" s="6" t="s">
        <v>1772</v>
      </c>
      <c r="O68" s="6" t="s">
        <v>1489</v>
      </c>
      <c r="P68" s="6" t="s">
        <v>1772</v>
      </c>
      <c r="Q68" s="7" t="s">
        <v>46</v>
      </c>
    </row>
    <row r="69">
      <c r="A69" s="3">
        <v>68.0</v>
      </c>
      <c r="B69" s="4" t="str">
        <f>IFERROR(__xludf.DUMMYFUNCTION("GOOGLETRANSLATE(K68, ""en"", ""bn"")"),"খেলার পৃষ্ঠের প্রাথমিক বৈশিষ্ট্য কী?")</f>
        <v>খেলার পৃষ্ঠের প্রাথমিক বৈশিষ্ট্য কী?</v>
      </c>
      <c r="C69" s="4" t="str">
        <f>IFERROR(__xludf.DUMMYFUNCTION("GOOGLETRANSLATE(L68, ""en"", ""bn"")"),"ঘাসের মাঠ।")</f>
        <v>ঘাসের মাঠ।</v>
      </c>
      <c r="D69" s="4" t="str">
        <f>IFERROR(__xludf.DUMMYFUNCTION("GOOGLETRANSLATE(M68, ""en"", ""bn"")"),"একটি কংক্রিট আদালত")</f>
        <v>একটি কংক্রিট আদালত</v>
      </c>
      <c r="E69" s="4" t="str">
        <f>IFERROR(__xludf.DUMMYFUNCTION("GOOGLETRANSLATE(N68, ""en"", ""bn"")"),"বস্তাবন্দী ময়লা মাটি")</f>
        <v>বস্তাবন্দী ময়লা মাটি</v>
      </c>
      <c r="F69" s="4" t="str">
        <f>IFERROR(__xludf.DUMMYFUNCTION("GOOGLETRANSLATE(O68, ""en"", ""bn"")"),"পাকা রাস্তা।")</f>
        <v>পাকা রাস্তা।</v>
      </c>
      <c r="G69" s="4" t="str">
        <f>IFERROR(__xludf.DUMMYFUNCTION("GOOGLETRANSLATE(P68, ""en"", ""bn"")"),"বস্তাবন্দী ময়লা মাটি")</f>
        <v>বস্তাবন্দী ময়লা মাটি</v>
      </c>
      <c r="H69" s="4" t="str">
        <f>IFERROR(__xludf.DUMMYFUNCTION("GOOGLETRANSLATE(Q68, ""en"", ""bn"")"),"ছবি4")</f>
        <v>ছবি4</v>
      </c>
      <c r="I69" s="19"/>
      <c r="J69" s="5" t="str">
        <f>IFERROR(__xludf.DUMMYFUNCTION("GOOGLETRANSLATE(A69, ""bn"", ""en"")"),"68")</f>
        <v>68</v>
      </c>
      <c r="K69" s="6" t="s">
        <v>1773</v>
      </c>
      <c r="L69" s="6" t="s">
        <v>252</v>
      </c>
      <c r="M69" s="6" t="s">
        <v>253</v>
      </c>
      <c r="N69" s="6" t="s">
        <v>254</v>
      </c>
      <c r="O69" s="6" t="s">
        <v>1774</v>
      </c>
      <c r="P69" s="6" t="s">
        <v>254</v>
      </c>
      <c r="Q69" s="7" t="s">
        <v>46</v>
      </c>
    </row>
    <row r="70">
      <c r="A70" s="3">
        <v>69.0</v>
      </c>
      <c r="B70" s="4" t="str">
        <f>IFERROR(__xludf.DUMMYFUNCTION("GOOGLETRANSLATE(K69, ""en"", ""bn"")"),"প্রতিযোগিতা দেখে সাধারণ মানুষের মেজাজ কেমন?")</f>
        <v>প্রতিযোগিতা দেখে সাধারণ মানুষের মেজাজ কেমন?</v>
      </c>
      <c r="C70" s="4" t="str">
        <f>IFERROR(__xludf.DUMMYFUNCTION("GOOGLETRANSLATE(L69, ""en"", ""bn"")"),"আগ্রহহীন")</f>
        <v>আগ্রহহীন</v>
      </c>
      <c r="D70" s="4" t="str">
        <f>IFERROR(__xludf.DUMMYFUNCTION("GOOGLETRANSLATE(M69, ""en"", ""bn"")"),"উদাস")</f>
        <v>উদাস</v>
      </c>
      <c r="E70" s="4" t="str">
        <f>IFERROR(__xludf.DUMMYFUNCTION("GOOGLETRANSLATE(N69, ""en"", ""bn"")"),"নিযুক্ত এবং উত্তেজিত")</f>
        <v>নিযুক্ত এবং উত্তেজিত</v>
      </c>
      <c r="F70" s="4" t="str">
        <f>IFERROR(__xludf.DUMMYFUNCTION("GOOGLETRANSLATE(O69, ""en"", ""bn"")"),"উদাসীন")</f>
        <v>উদাসীন</v>
      </c>
      <c r="G70" s="4" t="str">
        <f>IFERROR(__xludf.DUMMYFUNCTION("GOOGLETRANSLATE(P69, ""en"", ""bn"")"),"নিযুক্ত এবং উত্তেজিত")</f>
        <v>নিযুক্ত এবং উত্তেজিত</v>
      </c>
      <c r="H70" s="4" t="str">
        <f>IFERROR(__xludf.DUMMYFUNCTION("GOOGLETRANSLATE(Q69, ""en"", ""bn"")"),"ছবি4")</f>
        <v>ছবি4</v>
      </c>
      <c r="I70" s="19"/>
      <c r="J70" s="5" t="str">
        <f>IFERROR(__xludf.DUMMYFUNCTION("GOOGLETRANSLATE(A70, ""bn"", ""en"")"),"69")</f>
        <v>69</v>
      </c>
      <c r="K70" s="6" t="s">
        <v>1775</v>
      </c>
      <c r="L70" s="6" t="s">
        <v>1776</v>
      </c>
      <c r="M70" s="6" t="s">
        <v>1740</v>
      </c>
      <c r="N70" s="6" t="s">
        <v>1777</v>
      </c>
      <c r="O70" s="6" t="s">
        <v>1778</v>
      </c>
      <c r="P70" s="6" t="s">
        <v>1777</v>
      </c>
      <c r="Q70" s="7" t="s">
        <v>46</v>
      </c>
    </row>
    <row r="71">
      <c r="A71" s="3">
        <v>70.0</v>
      </c>
      <c r="B71" s="4" t="str">
        <f>IFERROR(__xludf.DUMMYFUNCTION("GOOGLETRANSLATE(K70, ""en"", ""bn"")"),"খেলোয়াড়রা কি পরছে?")</f>
        <v>খেলোয়াড়রা কি পরছে?</v>
      </c>
      <c r="C71" s="4" t="str">
        <f>IFERROR(__xludf.DUMMYFUNCTION("GOOGLETRANSLATE(L70, ""en"", ""bn"")"),"লম্বা প্যান্ট এবং শার্ট")</f>
        <v>লম্বা প্যান্ট এবং শার্ট</v>
      </c>
      <c r="D71" s="4" t="str">
        <f>IFERROR(__xludf.DUMMYFUNCTION("GOOGLETRANSLATE(M70, ""en"", ""bn"")"),"ঐতিহ্যবাহী পোশাক")</f>
        <v>ঐতিহ্যবাহী পোশাক</v>
      </c>
      <c r="E71" s="4" t="str">
        <f>IFERROR(__xludf.DUMMYFUNCTION("GOOGLETRANSLATE(N70, ""en"", ""bn"")"),"শর্টস এবং ভেস্ট")</f>
        <v>শর্টস এবং ভেস্ট</v>
      </c>
      <c r="F71" s="4" t="str">
        <f>IFERROR(__xludf.DUMMYFUNCTION("GOOGLETRANSLATE(O70, ""en"", ""bn"")"),"ট্র্যাকসুট")</f>
        <v>ট্র্যাকসুট</v>
      </c>
      <c r="G71" s="4" t="str">
        <f>IFERROR(__xludf.DUMMYFUNCTION("GOOGLETRANSLATE(P70, ""en"", ""bn"")"),"শর্টস এবং ভেস্ট")</f>
        <v>শর্টস এবং ভেস্ট</v>
      </c>
      <c r="H71" s="4" t="str">
        <f>IFERROR(__xludf.DUMMYFUNCTION("GOOGLETRANSLATE(Q70, ""en"", ""bn"")"),"ছবি4")</f>
        <v>ছবি4</v>
      </c>
      <c r="I71" s="19"/>
      <c r="J71" s="5" t="str">
        <f>IFERROR(__xludf.DUMMYFUNCTION("GOOGLETRANSLATE(A71, ""bn"", ""en"")"),"70")</f>
        <v>70</v>
      </c>
      <c r="K71" s="6" t="s">
        <v>1779</v>
      </c>
      <c r="L71" s="6" t="s">
        <v>1780</v>
      </c>
      <c r="M71" s="6" t="s">
        <v>1781</v>
      </c>
      <c r="N71" s="6" t="s">
        <v>1782</v>
      </c>
      <c r="O71" s="6" t="s">
        <v>1783</v>
      </c>
      <c r="P71" s="6" t="s">
        <v>1782</v>
      </c>
      <c r="Q71" s="7" t="s">
        <v>46</v>
      </c>
    </row>
    <row r="72">
      <c r="A72" s="3">
        <v>71.0</v>
      </c>
      <c r="B72" s="4" t="str">
        <f>IFERROR(__xludf.DUMMYFUNCTION("GOOGLETRANSLATE(K71, ""en"", ""bn"")"),"মাঠের চারপাশে বৃত্তে বসে থাকা মানুষের ভূমিকা কী?")</f>
        <v>মাঠের চারপাশে বৃত্তে বসে থাকা মানুষের ভূমিকা কী?</v>
      </c>
      <c r="C72" s="4" t="str">
        <f>IFERROR(__xludf.DUMMYFUNCTION("GOOGLETRANSLATE(L71, ""en"", ""bn"")"),"প্রতিযোগী")</f>
        <v>প্রতিযোগী</v>
      </c>
      <c r="D72" s="4" t="str">
        <f>IFERROR(__xludf.DUMMYFUNCTION("GOOGLETRANSLATE(M71, ""en"", ""bn"")"),"রেফারি")</f>
        <v>রেফারি</v>
      </c>
      <c r="E72" s="4" t="str">
        <f>IFERROR(__xludf.DUMMYFUNCTION("GOOGLETRANSLATE(N71, ""en"", ""bn"")"),"দর্শকরা")</f>
        <v>দর্শকরা</v>
      </c>
      <c r="F72" s="4" t="str">
        <f>IFERROR(__xludf.DUMMYFUNCTION("GOOGLETRANSLATE(O71, ""en"", ""bn"")"),"প্রশিক্ষক")</f>
        <v>প্রশিক্ষক</v>
      </c>
      <c r="G72" s="4" t="str">
        <f>IFERROR(__xludf.DUMMYFUNCTION("GOOGLETRANSLATE(P71, ""en"", ""bn"")"),"দর্শকরা")</f>
        <v>দর্শকরা</v>
      </c>
      <c r="H72" s="4" t="str">
        <f>IFERROR(__xludf.DUMMYFUNCTION("GOOGLETRANSLATE(Q71, ""en"", ""bn"")"),"ছবি4")</f>
        <v>ছবি4</v>
      </c>
      <c r="I72" s="19"/>
      <c r="J72" s="5" t="str">
        <f>IFERROR(__xludf.DUMMYFUNCTION("GOOGLETRANSLATE(A72, ""bn"", ""en"")"),"71")</f>
        <v>71</v>
      </c>
      <c r="K72" s="6" t="s">
        <v>1784</v>
      </c>
      <c r="L72" s="6" t="s">
        <v>1392</v>
      </c>
      <c r="M72" s="6" t="s">
        <v>1785</v>
      </c>
      <c r="N72" s="6" t="s">
        <v>1786</v>
      </c>
      <c r="O72" s="6" t="s">
        <v>1787</v>
      </c>
      <c r="P72" s="6" t="s">
        <v>1785</v>
      </c>
      <c r="Q72" s="7" t="s">
        <v>57</v>
      </c>
    </row>
    <row r="73">
      <c r="A73" s="3">
        <v>72.0</v>
      </c>
      <c r="B73" s="4" t="str">
        <f>IFERROR(__xludf.DUMMYFUNCTION("GOOGLETRANSLATE(K72, ""en"", ""bn"")"),"এই প্রতিযোগিতার অবস্থান সম্পর্কে কি অনুমান করা যেতে পারে?")</f>
        <v>এই প্রতিযোগিতার অবস্থান সম্পর্কে কি অনুমান করা যেতে পারে?</v>
      </c>
      <c r="C73" s="4" t="str">
        <f>IFERROR(__xludf.DUMMYFUNCTION("GOOGLETRANSLATE(L72, ""en"", ""bn"")"),"একটি শহুরে পার্ক")</f>
        <v>একটি শহুরে পার্ক</v>
      </c>
      <c r="D73" s="4" t="str">
        <f>IFERROR(__xludf.DUMMYFUNCTION("GOOGLETRANSLATE(M72, ""en"", ""bn"")"),"গ্রাম্য মাঠ")</f>
        <v>গ্রাম্য মাঠ</v>
      </c>
      <c r="E73" s="4" t="str">
        <f>IFERROR(__xludf.DUMMYFUNCTION("GOOGLETRANSLATE(N72, ""en"", ""bn"")"),"একটি স্কুল জিমনেসিয়াম")</f>
        <v>একটি স্কুল জিমনেসিয়াম</v>
      </c>
      <c r="F73" s="4" t="str">
        <f>IFERROR(__xludf.DUMMYFUNCTION("GOOGLETRANSLATE(O72, ""en"", ""bn"")"),"একটি পেশাদার স্টেডিয়াম")</f>
        <v>একটি পেশাদার স্টেডিয়াম</v>
      </c>
      <c r="G73" s="4" t="str">
        <f>IFERROR(__xludf.DUMMYFUNCTION("GOOGLETRANSLATE(P72, ""en"", ""bn"")"),"গ্রাম্য মাঠ")</f>
        <v>গ্রাম্য মাঠ</v>
      </c>
      <c r="H73" s="4" t="str">
        <f>IFERROR(__xludf.DUMMYFUNCTION("GOOGLETRANSLATE(Q72, ""en"", ""bn"")"),"ছবি ৫")</f>
        <v>ছবি ৫</v>
      </c>
      <c r="I73" s="19"/>
      <c r="J73" s="5" t="str">
        <f>IFERROR(__xludf.DUMMYFUNCTION("GOOGLETRANSLATE(A73, ""bn"", ""en"")"),"72")</f>
        <v>72</v>
      </c>
      <c r="K73" s="6" t="s">
        <v>1788</v>
      </c>
      <c r="L73" s="6" t="s">
        <v>1789</v>
      </c>
      <c r="M73" s="6" t="s">
        <v>1790</v>
      </c>
      <c r="N73" s="6" t="s">
        <v>1791</v>
      </c>
      <c r="O73" s="6" t="s">
        <v>1792</v>
      </c>
      <c r="P73" s="6" t="s">
        <v>1791</v>
      </c>
      <c r="Q73" s="6" t="s">
        <v>57</v>
      </c>
      <c r="R73" s="17"/>
    </row>
    <row r="74">
      <c r="A74" s="3">
        <v>73.0</v>
      </c>
      <c r="B74" s="4" t="str">
        <f>IFERROR(__xludf.DUMMYFUNCTION("GOOGLETRANSLATE(K73, ""en"", ""bn"")"),"চিহ্নের উপর ভিত্তি করে, খেলার জন্য ব্যবহৃত কোর্টের আকৃতি কেমন হবে?")</f>
        <v>চিহ্নের উপর ভিত্তি করে, খেলার জন্য ব্যবহৃত কোর্টের আকৃতি কেমন হবে?</v>
      </c>
      <c r="C74" s="4" t="str">
        <f>IFERROR(__xludf.DUMMYFUNCTION("GOOGLETRANSLATE(L73, ""en"", ""bn"")"),"বর্গক্ষেত্র")</f>
        <v>বর্গক্ষেত্র</v>
      </c>
      <c r="D74" s="4" t="str">
        <f>IFERROR(__xludf.DUMMYFUNCTION("GOOGLETRANSLATE(M73, ""en"", ""bn"")"),"ওভাল")</f>
        <v>ওভাল</v>
      </c>
      <c r="E74" s="4" t="str">
        <f>IFERROR(__xludf.DUMMYFUNCTION("GOOGLETRANSLATE(N73, ""en"", ""bn"")"),"আয়তক্ষেত্র")</f>
        <v>আয়তক্ষেত্র</v>
      </c>
      <c r="F74" s="4" t="str">
        <f>IFERROR(__xludf.DUMMYFUNCTION("GOOGLETRANSLATE(O73, ""en"", ""bn"")"),"বৃত্ত")</f>
        <v>বৃত্ত</v>
      </c>
      <c r="G74" s="4" t="str">
        <f>IFERROR(__xludf.DUMMYFUNCTION("GOOGLETRANSLATE(P73, ""en"", ""bn"")"),"আয়তক্ষেত্র")</f>
        <v>আয়তক্ষেত্র</v>
      </c>
      <c r="H74" s="4" t="str">
        <f>IFERROR(__xludf.DUMMYFUNCTION("GOOGLETRANSLATE(Q73, ""en"", ""bn"")"),"ছবি ৫")</f>
        <v>ছবি ৫</v>
      </c>
      <c r="I74" s="19"/>
      <c r="J74" s="5" t="str">
        <f>IFERROR(__xludf.DUMMYFUNCTION("GOOGLETRANSLATE(A74, ""bn"", ""en"")"),"73")</f>
        <v>73</v>
      </c>
      <c r="K74" s="6" t="s">
        <v>1793</v>
      </c>
      <c r="L74" s="6" t="s">
        <v>1413</v>
      </c>
      <c r="M74" s="6" t="s">
        <v>1794</v>
      </c>
      <c r="N74" s="6" t="s">
        <v>1795</v>
      </c>
      <c r="O74" s="6" t="s">
        <v>1796</v>
      </c>
      <c r="P74" s="6" t="s">
        <v>1413</v>
      </c>
      <c r="Q74" s="7" t="s">
        <v>57</v>
      </c>
    </row>
    <row r="75">
      <c r="A75" s="3">
        <v>74.0</v>
      </c>
      <c r="B75" s="4" t="str">
        <f>IFERROR(__xludf.DUMMYFUNCTION("GOOGLETRANSLATE(K74, ""en"", ""bn"")"),"কোর্টে দৃশ্যমান খেলোয়াড়ের সংখ্যা কত?")</f>
        <v>কোর্টে দৃশ্যমান খেলোয়াড়ের সংখ্যা কত?</v>
      </c>
      <c r="C75" s="4" t="str">
        <f>IFERROR(__xludf.DUMMYFUNCTION("GOOGLETRANSLATE(L74, ""en"", ""bn"")"),"চার")</f>
        <v>চার</v>
      </c>
      <c r="D75" s="4" t="str">
        <f>IFERROR(__xludf.DUMMYFUNCTION("GOOGLETRANSLATE(M74, ""en"", ""bn"")"),"ছয়")</f>
        <v>ছয়</v>
      </c>
      <c r="E75" s="4" t="str">
        <f>IFERROR(__xludf.DUMMYFUNCTION("GOOGLETRANSLATE(N74, ""en"", ""bn"")"),"দশ")</f>
        <v>দশ</v>
      </c>
      <c r="F75" s="4" t="str">
        <f>IFERROR(__xludf.DUMMYFUNCTION("GOOGLETRANSLATE(O74, ""en"", ""bn"")"),"দশের বেশি")</f>
        <v>দশের বেশি</v>
      </c>
      <c r="G75" s="4" t="str">
        <f>IFERROR(__xludf.DUMMYFUNCTION("GOOGLETRANSLATE(P74, ""en"", ""bn"")"),"চার")</f>
        <v>চার</v>
      </c>
      <c r="H75" s="4" t="str">
        <f>IFERROR(__xludf.DUMMYFUNCTION("GOOGLETRANSLATE(Q74, ""en"", ""bn"")"),"ছবি ৫")</f>
        <v>ছবি ৫</v>
      </c>
      <c r="I75" s="19"/>
      <c r="J75" s="5" t="str">
        <f>IFERROR(__xludf.DUMMYFUNCTION("GOOGLETRANSLATE(A75, ""bn"", ""en"")"),"74")</f>
        <v>74</v>
      </c>
      <c r="K75" s="6" t="s">
        <v>1797</v>
      </c>
      <c r="L75" s="6" t="s">
        <v>275</v>
      </c>
      <c r="M75" s="6" t="s">
        <v>274</v>
      </c>
      <c r="N75" s="6" t="s">
        <v>273</v>
      </c>
      <c r="O75" s="6" t="s">
        <v>790</v>
      </c>
      <c r="P75" s="6" t="s">
        <v>275</v>
      </c>
      <c r="Q75" s="7" t="s">
        <v>57</v>
      </c>
    </row>
    <row r="76">
      <c r="A76" s="3">
        <v>75.0</v>
      </c>
      <c r="B76" s="4" t="str">
        <f>IFERROR(__xludf.DUMMYFUNCTION("GOOGLETRANSLATE(K75, ""en"", ""bn"")"),"বেশির ভাগ খেলোয়াড়ের পরনে শর্টসের রঙ কী?")</f>
        <v>বেশির ভাগ খেলোয়াড়ের পরনে শর্টসের রঙ কী?</v>
      </c>
      <c r="C76" s="4" t="str">
        <f>IFERROR(__xludf.DUMMYFUNCTION("GOOGLETRANSLATE(L75, ""en"", ""bn"")"),"লাল")</f>
        <v>লাল</v>
      </c>
      <c r="D76" s="4" t="str">
        <f>IFERROR(__xludf.DUMMYFUNCTION("GOOGLETRANSLATE(M75, ""en"", ""bn"")"),"নীল")</f>
        <v>নীল</v>
      </c>
      <c r="E76" s="4" t="str">
        <f>IFERROR(__xludf.DUMMYFUNCTION("GOOGLETRANSLATE(N75, ""en"", ""bn"")"),"সাদা")</f>
        <v>সাদা</v>
      </c>
      <c r="F76" s="4" t="str">
        <f>IFERROR(__xludf.DUMMYFUNCTION("GOOGLETRANSLATE(O75, ""en"", ""bn"")"),"কালো")</f>
        <v>কালো</v>
      </c>
      <c r="G76" s="4" t="str">
        <f>IFERROR(__xludf.DUMMYFUNCTION("GOOGLETRANSLATE(P75, ""en"", ""bn"")"),"লাল")</f>
        <v>লাল</v>
      </c>
      <c r="H76" s="4" t="str">
        <f>IFERROR(__xludf.DUMMYFUNCTION("GOOGLETRANSLATE(Q75, ""en"", ""bn"")"),"ছবি ৫")</f>
        <v>ছবি ৫</v>
      </c>
      <c r="I76" s="19"/>
      <c r="J76" s="5" t="str">
        <f>IFERROR(__xludf.DUMMYFUNCTION("GOOGLETRANSLATE(A76, ""bn"", ""en"")"),"75")</f>
        <v>75</v>
      </c>
      <c r="K76" s="6" t="s">
        <v>894</v>
      </c>
      <c r="L76" s="6" t="s">
        <v>1798</v>
      </c>
      <c r="M76" s="6" t="s">
        <v>1799</v>
      </c>
      <c r="N76" s="6" t="s">
        <v>1800</v>
      </c>
      <c r="O76" s="6" t="s">
        <v>1801</v>
      </c>
      <c r="P76" s="6" t="s">
        <v>1798</v>
      </c>
      <c r="Q76" s="7" t="s">
        <v>57</v>
      </c>
    </row>
    <row r="77">
      <c r="A77" s="3">
        <v>76.0</v>
      </c>
      <c r="B77" s="4" t="str">
        <f>IFERROR(__xludf.DUMMYFUNCTION("GOOGLETRANSLATE(K76, ""en"", ""bn"")"),"অনুষ্ঠানের সার্বিক পরিবেশ কেমন?")</f>
        <v>অনুষ্ঠানের সার্বিক পরিবেশ কেমন?</v>
      </c>
      <c r="C77" s="4" t="str">
        <f>IFERROR(__xludf.DUMMYFUNCTION("GOOGLETRANSLATE(L76, ""en"", ""bn"")"),"একটি নৈমিত্তিক, স্থানীয় অনুষ্ঠান")</f>
        <v>একটি নৈমিত্তিক, স্থানীয় অনুষ্ঠান</v>
      </c>
      <c r="D77" s="4" t="str">
        <f>IFERROR(__xludf.DUMMYFUNCTION("GOOGLETRANSLATE(M76, ""en"", ""bn"")"),"একটি আনুষ্ঠানিক, পেশাদার টুর্নামেন্ট")</f>
        <v>একটি আনুষ্ঠানিক, পেশাদার টুর্নামেন্ট</v>
      </c>
      <c r="E77" s="4" t="str">
        <f>IFERROR(__xludf.DUMMYFUNCTION("GOOGLETRANSLATE(N76, ""en"", ""bn"")"),"একটি স্কুল ক্রীড়া দিবস")</f>
        <v>একটি স্কুল ক্রীড়া দিবস</v>
      </c>
      <c r="F77" s="4" t="str">
        <f>IFERROR(__xludf.DUMMYFUNCTION("GOOGLETRANSLATE(O76, ""en"", ""bn"")"),"একটি অনুশীলন সেশন")</f>
        <v>একটি অনুশীলন সেশন</v>
      </c>
      <c r="G77" s="4" t="str">
        <f>IFERROR(__xludf.DUMMYFUNCTION("GOOGLETRANSLATE(P76, ""en"", ""bn"")"),"একটি নৈমিত্তিক, স্থানীয় অনুষ্ঠান")</f>
        <v>একটি নৈমিত্তিক, স্থানীয় অনুষ্ঠান</v>
      </c>
      <c r="H77" s="4" t="str">
        <f>IFERROR(__xludf.DUMMYFUNCTION("GOOGLETRANSLATE(Q76, ""en"", ""bn"")"),"ছবি ৫")</f>
        <v>ছবি ৫</v>
      </c>
      <c r="I77" s="19"/>
      <c r="J77" s="5" t="str">
        <f>IFERROR(__xludf.DUMMYFUNCTION("GOOGLETRANSLATE(A77, ""bn"", ""en"")"),"76")</f>
        <v>76</v>
      </c>
      <c r="K77" s="6" t="s">
        <v>1802</v>
      </c>
      <c r="L77" s="6" t="s">
        <v>842</v>
      </c>
      <c r="M77" s="6" t="s">
        <v>1803</v>
      </c>
      <c r="N77" s="6" t="s">
        <v>1394</v>
      </c>
      <c r="O77" s="6" t="s">
        <v>1804</v>
      </c>
      <c r="P77" s="6" t="s">
        <v>1803</v>
      </c>
      <c r="Q77" s="7" t="s">
        <v>68</v>
      </c>
    </row>
    <row r="78">
      <c r="A78" s="3">
        <v>77.0</v>
      </c>
      <c r="B78" s="4" t="str">
        <f>IFERROR(__xludf.DUMMYFUNCTION("GOOGLETRANSLATE(K77, ""en"", ""bn"")"),"প্রতিযোগিতার পরিবেশ সম্পর্কে কী অনুমান করা যেতে পারে?")</f>
        <v>প্রতিযোগিতার পরিবেশ সম্পর্কে কী অনুমান করা যেতে পারে?</v>
      </c>
      <c r="C78" s="4" t="str">
        <f>IFERROR(__xludf.DUMMYFUNCTION("GOOGLETRANSLATE(L77, ""en"", ""bn"")"),"একটি শহরের পার্ক")</f>
        <v>একটি শহরের পার্ক</v>
      </c>
      <c r="D78" s="4" t="str">
        <f>IFERROR(__xludf.DUMMYFUNCTION("GOOGLETRANSLATE(M77, ""en"", ""bn"")"),"একটি গ্রামীণ এলাকা")</f>
        <v>একটি গ্রামীণ এলাকা</v>
      </c>
      <c r="E78" s="4" t="str">
        <f>IFERROR(__xludf.DUMMYFUNCTION("GOOGLETRANSLATE(N77, ""en"", ""bn"")"),"স্কুলের খেলার মাঠ")</f>
        <v>স্কুলের খেলার মাঠ</v>
      </c>
      <c r="F78" s="4" t="str">
        <f>IFERROR(__xludf.DUMMYFUNCTION("GOOGLETRANSLATE(O77, ""en"", ""bn"")"),"একটি ক্রীড়াঙ্গন")</f>
        <v>একটি ক্রীড়াঙ্গন</v>
      </c>
      <c r="G78" s="4" t="str">
        <f>IFERROR(__xludf.DUMMYFUNCTION("GOOGLETRANSLATE(P77, ""en"", ""bn"")"),"একটি গ্রামীণ এলাকা")</f>
        <v>একটি গ্রামীণ এলাকা</v>
      </c>
      <c r="H78" s="4" t="str">
        <f>IFERROR(__xludf.DUMMYFUNCTION("GOOGLETRANSLATE(Q77, ""en"", ""bn"")"),"ছবি৬")</f>
        <v>ছবি৬</v>
      </c>
      <c r="I78" s="19"/>
      <c r="J78" s="5" t="str">
        <f>IFERROR(__xludf.DUMMYFUNCTION("GOOGLETRANSLATE(A78, ""bn"", ""en"")"),"77")</f>
        <v>77</v>
      </c>
      <c r="K78" s="6" t="s">
        <v>1805</v>
      </c>
      <c r="L78" s="6" t="s">
        <v>1373</v>
      </c>
      <c r="M78" s="6" t="s">
        <v>771</v>
      </c>
      <c r="N78" s="6" t="s">
        <v>1806</v>
      </c>
      <c r="O78" s="6" t="s">
        <v>1807</v>
      </c>
      <c r="P78" s="6" t="s">
        <v>1806</v>
      </c>
      <c r="Q78" s="7" t="s">
        <v>68</v>
      </c>
    </row>
    <row r="79">
      <c r="A79" s="3">
        <v>78.0</v>
      </c>
      <c r="B79" s="4" t="str">
        <f>IFERROR(__xludf.DUMMYFUNCTION("GOOGLETRANSLATE(K78, ""en"", ""bn"")"),"ছবিতে দেখানো খেলোয়াড়দের বয়সসীমা কত?")</f>
        <v>ছবিতে দেখানো খেলোয়াড়দের বয়সসীমা কত?</v>
      </c>
      <c r="C79" s="4" t="str">
        <f>IFERROR(__xludf.DUMMYFUNCTION("GOOGLETRANSLATE(L78, ""en"", ""bn"")"),"ছোট বাচ্চারা")</f>
        <v>ছোট বাচ্চারা</v>
      </c>
      <c r="D79" s="4" t="str">
        <f>IFERROR(__xludf.DUMMYFUNCTION("GOOGLETRANSLATE(M78, ""en"", ""bn"")"),"কিশোর")</f>
        <v>কিশোর</v>
      </c>
      <c r="E79" s="4" t="str">
        <f>IFERROR(__xludf.DUMMYFUNCTION("GOOGLETRANSLATE(N78, ""en"", ""bn"")"),"শিশু এবং কিশোর")</f>
        <v>শিশু এবং কিশোর</v>
      </c>
      <c r="F79" s="4" t="str">
        <f>IFERROR(__xludf.DUMMYFUNCTION("GOOGLETRANSLATE(O78, ""en"", ""bn"")"),"শুধুমাত্র প্রাপ্তবয়স্কদের জন্য")</f>
        <v>শুধুমাত্র প্রাপ্তবয়স্কদের জন্য</v>
      </c>
      <c r="G79" s="4" t="str">
        <f>IFERROR(__xludf.DUMMYFUNCTION("GOOGLETRANSLATE(P78, ""en"", ""bn"")"),"শিশু এবং কিশোর")</f>
        <v>শিশু এবং কিশোর</v>
      </c>
      <c r="H79" s="4" t="str">
        <f>IFERROR(__xludf.DUMMYFUNCTION("GOOGLETRANSLATE(Q78, ""en"", ""bn"")"),"ছবি৬")</f>
        <v>ছবি৬</v>
      </c>
      <c r="I79" s="19"/>
      <c r="J79" s="5" t="str">
        <f>IFERROR(__xludf.DUMMYFUNCTION("GOOGLETRANSLATE(A79, ""bn"", ""en"")"),"78")</f>
        <v>78</v>
      </c>
      <c r="K79" s="6" t="s">
        <v>1808</v>
      </c>
      <c r="L79" s="6" t="s">
        <v>1753</v>
      </c>
      <c r="M79" s="6" t="s">
        <v>1809</v>
      </c>
      <c r="N79" s="6" t="s">
        <v>1810</v>
      </c>
      <c r="O79" s="6" t="s">
        <v>1811</v>
      </c>
      <c r="P79" s="6" t="s">
        <v>1809</v>
      </c>
      <c r="Q79" s="7" t="s">
        <v>68</v>
      </c>
    </row>
    <row r="80">
      <c r="A80" s="3">
        <v>79.0</v>
      </c>
      <c r="B80" s="4" t="str">
        <f>IFERROR(__xludf.DUMMYFUNCTION("GOOGLETRANSLATE(K79, ""en"", ""bn"")"),"ঘাসের উপর আঁকা রেখার প্রাথমিক কাজ কী?")</f>
        <v>ঘাসের উপর আঁকা রেখার প্রাথমিক কাজ কী?</v>
      </c>
      <c r="C80" s="4" t="str">
        <f>IFERROR(__xludf.DUMMYFUNCTION("GOOGLETRANSLATE(L79, ""en"", ""bn"")"),"দর্শকদের আলাদা করার জন্য")</f>
        <v>দর্শকদের আলাদা করার জন্য</v>
      </c>
      <c r="D80" s="4" t="str">
        <f>IFERROR(__xludf.DUMMYFUNCTION("GOOGLETRANSLATE(M79, ""en"", ""bn"")"),"খেলার ক্ষেত্রটি চিহ্নিত করতে")</f>
        <v>খেলার ক্ষেত্রটি চিহ্নিত করতে</v>
      </c>
      <c r="E80" s="4" t="str">
        <f>IFERROR(__xludf.DUMMYFUNCTION("GOOGLETRANSLATE(N79, ""en"", ""bn"")"),"কোথায় দাঁড়াতে হবে তা দেখানোর জন্য")</f>
        <v>কোথায় দাঁড়াতে হবে তা দেখানোর জন্য</v>
      </c>
      <c r="F80" s="4" t="str">
        <f>IFERROR(__xludf.DUMMYFUNCTION("GOOGLETRANSLATE(O79, ""en"", ""bn"")"),"একটি সমাপ্তি রেখা নির্দেশ করতে")</f>
        <v>একটি সমাপ্তি রেখা নির্দেশ করতে</v>
      </c>
      <c r="G80" s="4" t="str">
        <f>IFERROR(__xludf.DUMMYFUNCTION("GOOGLETRANSLATE(P79, ""en"", ""bn"")"),"খেলার ক্ষেত্রটি চিহ্নিত করতে")</f>
        <v>খেলার ক্ষেত্রটি চিহ্নিত করতে</v>
      </c>
      <c r="H80" s="4" t="str">
        <f>IFERROR(__xludf.DUMMYFUNCTION("GOOGLETRANSLATE(Q79, ""en"", ""bn"")"),"ছবি৬")</f>
        <v>ছবি৬</v>
      </c>
      <c r="I80" s="19"/>
      <c r="J80" s="5" t="str">
        <f>IFERROR(__xludf.DUMMYFUNCTION("GOOGLETRANSLATE(A80, ""bn"", ""en"")"),"79")</f>
        <v>79</v>
      </c>
      <c r="K80" s="6" t="s">
        <v>1812</v>
      </c>
      <c r="L80" s="6" t="s">
        <v>1713</v>
      </c>
      <c r="M80" s="24">
        <v>45787.0</v>
      </c>
      <c r="N80" s="6" t="s">
        <v>1712</v>
      </c>
      <c r="O80" s="6" t="s">
        <v>1714</v>
      </c>
      <c r="P80" s="24">
        <v>45787.0</v>
      </c>
      <c r="Q80" s="7" t="s">
        <v>68</v>
      </c>
      <c r="R80" s="17"/>
      <c r="S80" s="17"/>
      <c r="T80" s="17"/>
    </row>
    <row r="81">
      <c r="A81" s="3">
        <v>80.0</v>
      </c>
      <c r="B81" s="4" t="str">
        <f>IFERROR(__xludf.DUMMYFUNCTION("GOOGLETRANSLATE(K80, ""en"", ""bn"")"),"খেলায় সক্রিয়ভাবে অংশগ্রহণকারী খেলোয়াড়ের সংখ্যা কত?")</f>
        <v>খেলায় সক্রিয়ভাবে অংশগ্রহণকারী খেলোয়াড়ের সংখ্যা কত?</v>
      </c>
      <c r="C81" s="4" t="str">
        <f>IFERROR(__xludf.DUMMYFUNCTION("GOOGLETRANSLATE(L80, ""en"", ""bn"")"),"৫ এর কম")</f>
        <v>৫ এর কম</v>
      </c>
      <c r="D81" s="4" t="str">
        <f>IFERROR(__xludf.DUMMYFUNCTION("GOOGLETRANSLATE(M80, ""en"", ""bn"")"),"৫-১০")</f>
        <v>৫-১০</v>
      </c>
      <c r="E81" s="4" t="str">
        <f>IFERROR(__xludf.DUMMYFUNCTION("GOOGLETRANSLATE(N80, ""en"", ""bn"")"),"১০ টিরও বেশি")</f>
        <v>১০ টিরও বেশি</v>
      </c>
      <c r="F81" s="4" t="str">
        <f>IFERROR(__xludf.DUMMYFUNCTION("GOOGLETRANSLATE(O80, ""en"", ""bn"")"),"ঠিক 5")</f>
        <v>ঠিক 5</v>
      </c>
      <c r="G81" s="4" t="str">
        <f>IFERROR(__xludf.DUMMYFUNCTION("GOOGLETRANSLATE(P80, ""en"", ""bn"")"),"৫-১০")</f>
        <v>৫-১০</v>
      </c>
      <c r="H81" s="4" t="str">
        <f>IFERROR(__xludf.DUMMYFUNCTION("GOOGLETRANSLATE(Q80, ""en"", ""bn"")"),"ছবি৬")</f>
        <v>ছবি৬</v>
      </c>
      <c r="I81" s="19"/>
      <c r="J81" s="5" t="str">
        <f>IFERROR(__xludf.DUMMYFUNCTION("GOOGLETRANSLATE(A81, ""bn"", ""en"")"),"80")</f>
        <v>80</v>
      </c>
      <c r="K81" s="6" t="s">
        <v>1813</v>
      </c>
      <c r="L81" s="6" t="s">
        <v>273</v>
      </c>
      <c r="M81" s="6" t="s">
        <v>274</v>
      </c>
      <c r="N81" s="6" t="s">
        <v>1814</v>
      </c>
      <c r="O81" s="6" t="s">
        <v>790</v>
      </c>
      <c r="P81" s="6" t="s">
        <v>1814</v>
      </c>
      <c r="Q81" s="7" t="s">
        <v>68</v>
      </c>
    </row>
    <row r="82">
      <c r="A82" s="3">
        <v>81.0</v>
      </c>
      <c r="B82" s="4" t="str">
        <f>IFERROR(__xludf.DUMMYFUNCTION("GOOGLETRANSLATE(K81, ""en"", ""bn"")"),"খেলোয়াড়দের পোশাকের প্রধান রঙ কী?")</f>
        <v>খেলোয়াড়দের পোশাকের প্রধান রঙ কী?</v>
      </c>
      <c r="C82" s="4" t="str">
        <f>IFERROR(__xludf.DUMMYFUNCTION("GOOGLETRANSLATE(L81, ""en"", ""bn"")"),"সাদা")</f>
        <v>সাদা</v>
      </c>
      <c r="D82" s="4" t="str">
        <f>IFERROR(__xludf.DUMMYFUNCTION("GOOGLETRANSLATE(M81, ""en"", ""bn"")"),"নীল")</f>
        <v>নীল</v>
      </c>
      <c r="E82" s="4" t="str">
        <f>IFERROR(__xludf.DUMMYFUNCTION("GOOGLETRANSLATE(N81, ""en"", ""bn"")"),"বিভিন্ন রঙ")</f>
        <v>বিভিন্ন রঙ</v>
      </c>
      <c r="F82" s="4" t="str">
        <f>IFERROR(__xludf.DUMMYFUNCTION("GOOGLETRANSLATE(O81, ""en"", ""bn"")"),"কালো")</f>
        <v>কালো</v>
      </c>
      <c r="G82" s="4" t="str">
        <f>IFERROR(__xludf.DUMMYFUNCTION("GOOGLETRANSLATE(P81, ""en"", ""bn"")"),"বিভিন্ন রঙ")</f>
        <v>বিভিন্ন রঙ</v>
      </c>
      <c r="H82" s="4" t="str">
        <f>IFERROR(__xludf.DUMMYFUNCTION("GOOGLETRANSLATE(Q81, ""en"", ""bn"")"),"ছবি৬")</f>
        <v>ছবি৬</v>
      </c>
      <c r="I82" s="19"/>
      <c r="J82" s="5" t="str">
        <f>IFERROR(__xludf.DUMMYFUNCTION("GOOGLETRANSLATE(A82, ""bn"", ""en"")"),"81")</f>
        <v>81</v>
      </c>
      <c r="K82" s="6" t="s">
        <v>1711</v>
      </c>
      <c r="L82" s="6" t="s">
        <v>262</v>
      </c>
      <c r="M82" s="6" t="s">
        <v>1815</v>
      </c>
      <c r="N82" s="6" t="s">
        <v>1816</v>
      </c>
      <c r="O82" s="6" t="s">
        <v>1817</v>
      </c>
      <c r="P82" s="6" t="s">
        <v>1815</v>
      </c>
      <c r="Q82" s="7" t="s">
        <v>109</v>
      </c>
    </row>
    <row r="83">
      <c r="A83" s="3">
        <v>82.0</v>
      </c>
      <c r="B83" s="4" t="str">
        <f>IFERROR(__xludf.DUMMYFUNCTION("GOOGLETRANSLATE(K82, ""en"", ""bn"")"),"ছবিতে দৃশ্যমান খেলোয়াড়ের সংখ্যা কত?")</f>
        <v>ছবিতে দৃশ্যমান খেলোয়াড়ের সংখ্যা কত?</v>
      </c>
      <c r="C83" s="4" t="str">
        <f>IFERROR(__xludf.DUMMYFUNCTION("GOOGLETRANSLATE(L82, ""en"", ""bn"")"),"১০ এর কম")</f>
        <v>১০ এর কম</v>
      </c>
      <c r="D83" s="4" t="str">
        <f>IFERROR(__xludf.DUMMYFUNCTION("GOOGLETRANSLATE(M82, ""en"", ""bn"")"),"10 থেকে 15")</f>
        <v>10 থেকে 15</v>
      </c>
      <c r="E83" s="4" t="str">
        <f>IFERROR(__xludf.DUMMYFUNCTION("GOOGLETRANSLATE(N82, ""en"", ""bn"")"),"15 থেকে 20")</f>
        <v>15 থেকে 20</v>
      </c>
      <c r="F83" s="4" t="str">
        <f>IFERROR(__xludf.DUMMYFUNCTION("GOOGLETRANSLATE(O82, ""en"", ""bn"")"),"২০ টিরও বেশি")</f>
        <v>২০ টিরও বেশি</v>
      </c>
      <c r="G83" s="4" t="str">
        <f>IFERROR(__xludf.DUMMYFUNCTION("GOOGLETRANSLATE(P82, ""en"", ""bn"")"),"10 থেকে 15")</f>
        <v>10 থেকে 15</v>
      </c>
      <c r="H83" s="4" t="str">
        <f>IFERROR(__xludf.DUMMYFUNCTION("GOOGLETRANSLATE(Q82, ""en"", ""bn"")"),"ছবি 11")</f>
        <v>ছবি 11</v>
      </c>
      <c r="I83" s="19"/>
      <c r="J83" s="5" t="str">
        <f>IFERROR(__xludf.DUMMYFUNCTION("GOOGLETRANSLATE(A83, ""bn"", ""en"")"),"82")</f>
        <v>82</v>
      </c>
      <c r="K83" s="6" t="s">
        <v>1775</v>
      </c>
      <c r="L83" s="6" t="s">
        <v>1818</v>
      </c>
      <c r="M83" s="6" t="s">
        <v>370</v>
      </c>
      <c r="N83" s="6" t="s">
        <v>729</v>
      </c>
      <c r="O83" s="6" t="s">
        <v>1819</v>
      </c>
      <c r="P83" s="6" t="s">
        <v>729</v>
      </c>
      <c r="Q83" s="7" t="s">
        <v>109</v>
      </c>
    </row>
    <row r="84">
      <c r="A84" s="3">
        <v>83.0</v>
      </c>
      <c r="B84" s="4" t="str">
        <f>IFERROR(__xludf.DUMMYFUNCTION("GOOGLETRANSLATE(K83, ""en"", ""bn"")"),"খেলোয়াড়রা কি পরছে?")</f>
        <v>খেলোয়াড়রা কি পরছে?</v>
      </c>
      <c r="C84" s="4" t="str">
        <f>IFERROR(__xludf.DUMMYFUNCTION("GOOGLETRANSLATE(L83, ""en"", ""bn"")"),"ঐতিহ্যবাহী পোশাক")</f>
        <v>ঐতিহ্যবাহী পোশাক</v>
      </c>
      <c r="D84" s="4" t="str">
        <f>IFERROR(__xludf.DUMMYFUNCTION("GOOGLETRANSLATE(M83, ""en"", ""bn"")"),"ইউনিফর্ম")</f>
        <v>ইউনিফর্ম</v>
      </c>
      <c r="E84" s="4" t="str">
        <f>IFERROR(__xludf.DUMMYFUNCTION("GOOGLETRANSLATE(N83, ""en"", ""bn"")"),"নৈমিত্তিক পোশাক")</f>
        <v>নৈমিত্তিক পোশাক</v>
      </c>
      <c r="F84" s="4" t="str">
        <f>IFERROR(__xludf.DUMMYFUNCTION("GOOGLETRANSLATE(O83, ""en"", ""bn"")"),"অ্যাথলেটিক পরিধান")</f>
        <v>অ্যাথলেটিক পরিধান</v>
      </c>
      <c r="G84" s="4" t="str">
        <f>IFERROR(__xludf.DUMMYFUNCTION("GOOGLETRANSLATE(P83, ""en"", ""bn"")"),"নৈমিত্তিক পোশাক")</f>
        <v>নৈমিত্তিক পোশাক</v>
      </c>
      <c r="H84" s="4" t="str">
        <f>IFERROR(__xludf.DUMMYFUNCTION("GOOGLETRANSLATE(Q83, ""en"", ""bn"")"),"ছবি 11")</f>
        <v>ছবি 11</v>
      </c>
      <c r="I84" s="19"/>
      <c r="J84" s="5" t="str">
        <f>IFERROR(__xludf.DUMMYFUNCTION("GOOGLETRANSLATE(A84, ""bn"", ""en"")"),"83")</f>
        <v>83</v>
      </c>
      <c r="K84" s="6" t="s">
        <v>1820</v>
      </c>
      <c r="L84" s="6" t="s">
        <v>1821</v>
      </c>
      <c r="M84" s="6" t="s">
        <v>1822</v>
      </c>
      <c r="N84" s="6" t="s">
        <v>1823</v>
      </c>
      <c r="O84" s="6" t="s">
        <v>252</v>
      </c>
      <c r="P84" s="6" t="s">
        <v>1821</v>
      </c>
      <c r="Q84" s="7" t="s">
        <v>109</v>
      </c>
    </row>
    <row r="85">
      <c r="A85" s="3">
        <v>84.0</v>
      </c>
      <c r="B85" s="4" t="str">
        <f>IFERROR(__xludf.DUMMYFUNCTION("GOOGLETRANSLATE(K84, ""en"", ""bn"")"),"ছবির উপর ভিত্তি করে, খেলোয়াড়দের মেজাজ কেমন?")</f>
        <v>ছবির উপর ভিত্তি করে, খেলোয়াড়দের মেজাজ কেমন?</v>
      </c>
      <c r="C85" s="4" t="str">
        <f>IFERROR(__xludf.DUMMYFUNCTION("GOOGLETRANSLATE(L84, ""en"", ""bn"")"),"কৌতুকপূর্ণ")</f>
        <v>কৌতুকপূর্ণ</v>
      </c>
      <c r="D85" s="4" t="str">
        <f>IFERROR(__xludf.DUMMYFUNCTION("GOOGLETRANSLATE(M84, ""en"", ""bn"")"),"গুরুতর")</f>
        <v>গুরুতর</v>
      </c>
      <c r="E85" s="4" t="str">
        <f>IFERROR(__xludf.DUMMYFUNCTION("GOOGLETRANSLATE(N84, ""en"", ""bn"")"),"প্রতিযোগিতামূলক")</f>
        <v>প্রতিযোগিতামূলক</v>
      </c>
      <c r="F85" s="4" t="str">
        <f>IFERROR(__xludf.DUMMYFUNCTION("GOOGLETRANSLATE(O84, ""en"", ""bn"")"),"আগ্রহহীন")</f>
        <v>আগ্রহহীন</v>
      </c>
      <c r="G85" s="4" t="str">
        <f>IFERROR(__xludf.DUMMYFUNCTION("GOOGLETRANSLATE(P84, ""en"", ""bn"")"),"কৌতুকপূর্ণ")</f>
        <v>কৌতুকপূর্ণ</v>
      </c>
      <c r="H85" s="4" t="str">
        <f>IFERROR(__xludf.DUMMYFUNCTION("GOOGLETRANSLATE(Q84, ""en"", ""bn"")"),"ছবি 11")</f>
        <v>ছবি 11</v>
      </c>
      <c r="I85" s="19"/>
      <c r="J85" s="5" t="str">
        <f>IFERROR(__xludf.DUMMYFUNCTION("GOOGLETRANSLATE(A85, ""bn"", ""en"")"),"84")</f>
        <v>84</v>
      </c>
      <c r="K85" s="6" t="s">
        <v>1824</v>
      </c>
      <c r="L85" s="6" t="s">
        <v>1825</v>
      </c>
      <c r="M85" s="6" t="s">
        <v>782</v>
      </c>
      <c r="N85" s="6" t="s">
        <v>1826</v>
      </c>
      <c r="O85" s="6" t="s">
        <v>1827</v>
      </c>
      <c r="P85" s="6" t="s">
        <v>1826</v>
      </c>
      <c r="Q85" s="7" t="s">
        <v>109</v>
      </c>
    </row>
    <row r="86">
      <c r="A86" s="3">
        <v>85.0</v>
      </c>
      <c r="B86" s="4" t="str">
        <f>IFERROR(__xludf.DUMMYFUNCTION("GOOGLETRANSLATE(K85, ""en"", ""bn"")"),"ক্ষেত্রটি কী দিয়ে চিহ্নিত?")</f>
        <v>ক্ষেত্রটি কী দিয়ে চিহ্নিত?</v>
      </c>
      <c r="C86" s="4" t="str">
        <f>IFERROR(__xludf.DUMMYFUNCTION("GOOGLETRANSLATE(L85, ""en"", ""bn"")"),"চক")</f>
        <v>চক</v>
      </c>
      <c r="D86" s="4" t="str">
        <f>IFERROR(__xludf.DUMMYFUNCTION("GOOGLETRANSLATE(M85, ""en"", ""bn"")"),"একটি দড়ি")</f>
        <v>একটি দড়ি</v>
      </c>
      <c r="E86" s="4" t="str">
        <f>IFERROR(__xludf.DUMMYFUNCTION("GOOGLETRANSLATE(N85, ""en"", ""bn"")"),"মাটিতে একটা লাঠি")</f>
        <v>মাটিতে একটা লাঠি</v>
      </c>
      <c r="F86" s="4" t="str">
        <f>IFERROR(__xludf.DUMMYFUNCTION("GOOGLETRANSLATE(O85, ""en"", ""bn"")"),"রঙ")</f>
        <v>রঙ</v>
      </c>
      <c r="G86" s="4" t="str">
        <f>IFERROR(__xludf.DUMMYFUNCTION("GOOGLETRANSLATE(P85, ""en"", ""bn"")"),"মাটিতে একটা লাঠি")</f>
        <v>মাটিতে একটা লাঠি</v>
      </c>
      <c r="H86" s="4" t="str">
        <f>IFERROR(__xludf.DUMMYFUNCTION("GOOGLETRANSLATE(Q85, ""en"", ""bn"")"),"ছবি 11")</f>
        <v>ছবি 11</v>
      </c>
      <c r="I86" s="19"/>
      <c r="J86" s="5" t="str">
        <f>IFERROR(__xludf.DUMMYFUNCTION("GOOGLETRANSLATE(A86, ""bn"", ""en"")"),"85")</f>
        <v>85</v>
      </c>
      <c r="K86" s="6" t="s">
        <v>345</v>
      </c>
      <c r="L86" s="6" t="s">
        <v>842</v>
      </c>
      <c r="M86" s="6" t="s">
        <v>858</v>
      </c>
      <c r="N86" s="6" t="s">
        <v>1828</v>
      </c>
      <c r="O86" s="6" t="s">
        <v>1519</v>
      </c>
      <c r="P86" s="6" t="s">
        <v>1828</v>
      </c>
      <c r="Q86" s="7" t="s">
        <v>109</v>
      </c>
    </row>
    <row r="87">
      <c r="A87" s="3">
        <v>86.0</v>
      </c>
      <c r="B87" s="4" t="str">
        <f>IFERROR(__xludf.DUMMYFUNCTION("GOOGLETRANSLATE(K86, ""en"", ""bn"")"),"গেমটির সামগ্রিক পরিবেশ কেমন?")</f>
        <v>গেমটির সামগ্রিক পরিবেশ কেমন?</v>
      </c>
      <c r="C87" s="4" t="str">
        <f>IFERROR(__xludf.DUMMYFUNCTION("GOOGLETRANSLATE(L86, ""en"", ""bn"")"),"একটি শহরের পার্ক")</f>
        <v>একটি শহরের পার্ক</v>
      </c>
      <c r="D87" s="4" t="str">
        <f>IFERROR(__xludf.DUMMYFUNCTION("GOOGLETRANSLATE(M86, ""en"", ""bn"")"),"একটি ক্রীড়া কমপ্লেক্স")</f>
        <v>একটি ক্রীড়া কমপ্লেক্স</v>
      </c>
      <c r="E87" s="4" t="str">
        <f>IFERROR(__xludf.DUMMYFUNCTION("GOOGLETRANSLATE(N86, ""en"", ""bn"")"),"একটি গ্রামীণ ভূদৃশ্য")</f>
        <v>একটি গ্রামীণ ভূদৃশ্য</v>
      </c>
      <c r="F87" s="4" t="str">
        <f>IFERROR(__xludf.DUMMYFUNCTION("GOOGLETRANSLATE(O86, ""en"", ""bn"")"),"একটি স্কুলের উঠোন")</f>
        <v>একটি স্কুলের উঠোন</v>
      </c>
      <c r="G87" s="4" t="str">
        <f>IFERROR(__xludf.DUMMYFUNCTION("GOOGLETRANSLATE(P86, ""en"", ""bn"")"),"একটি গ্রামীণ ভূদৃশ্য")</f>
        <v>একটি গ্রামীণ ভূদৃশ্য</v>
      </c>
      <c r="H87" s="4" t="str">
        <f>IFERROR(__xludf.DUMMYFUNCTION("GOOGLETRANSLATE(Q86, ""en"", ""bn"")"),"ছবি 11")</f>
        <v>ছবি 11</v>
      </c>
      <c r="I87" s="19"/>
      <c r="J87" s="5" t="str">
        <f>IFERROR(__xludf.DUMMYFUNCTION("GOOGLETRANSLATE(A87, ""bn"", ""en"")"),"86")</f>
        <v>86</v>
      </c>
      <c r="K87" s="6" t="s">
        <v>961</v>
      </c>
      <c r="L87" s="6" t="s">
        <v>1829</v>
      </c>
      <c r="M87" s="6" t="s">
        <v>1830</v>
      </c>
      <c r="N87" s="6" t="s">
        <v>1831</v>
      </c>
      <c r="O87" s="6" t="s">
        <v>1832</v>
      </c>
      <c r="P87" s="6" t="s">
        <v>1830</v>
      </c>
      <c r="Q87" s="7" t="s">
        <v>175</v>
      </c>
    </row>
    <row r="88">
      <c r="A88" s="3">
        <v>87.0</v>
      </c>
      <c r="B88" s="4" t="str">
        <f>IFERROR(__xludf.DUMMYFUNCTION("GOOGLETRANSLATE(K87, ""en"", ""bn"")"),"ভিড়ের আকার সম্পর্কে কি অনুমান করা যেতে পারে?")</f>
        <v>ভিড়ের আকার সম্পর্কে কি অনুমান করা যেতে পারে?</v>
      </c>
      <c r="C88" s="4" t="str">
        <f>IFERROR(__xludf.DUMMYFUNCTION("GOOGLETRANSLATE(L87, ""en"", ""bn"")"),"একটি ছোট দল")</f>
        <v>একটি ছোট দল</v>
      </c>
      <c r="D88" s="4" t="str">
        <f>IFERROR(__xludf.DUMMYFUNCTION("GOOGLETRANSLATE(M87, ""en"", ""bn"")"),"বিশাল জনতা।")</f>
        <v>বিশাল জনতা।</v>
      </c>
      <c r="E88" s="4" t="str">
        <f>IFERROR(__xludf.DUMMYFUNCTION("GOOGLETRANSLATE(N87, ""en"", ""bn"")"),"কয়েকজন লোক")</f>
        <v>কয়েকজন লোক</v>
      </c>
      <c r="F88" s="4" t="str">
        <f>IFERROR(__xludf.DUMMYFUNCTION("GOOGLETRANSLATE(O87, ""en"", ""bn"")"),"কেউ নেই")</f>
        <v>কেউ নেই</v>
      </c>
      <c r="G88" s="4" t="str">
        <f>IFERROR(__xludf.DUMMYFUNCTION("GOOGLETRANSLATE(P87, ""en"", ""bn"")"),"বিশাল জনতা।")</f>
        <v>বিশাল জনতা।</v>
      </c>
      <c r="H88" s="4" t="str">
        <f>IFERROR(__xludf.DUMMYFUNCTION("GOOGLETRANSLATE(Q87, ""en"", ""bn"")"),"ছবি২০")</f>
        <v>ছবি২০</v>
      </c>
      <c r="I88" s="19"/>
      <c r="J88" s="5" t="str">
        <f>IFERROR(__xludf.DUMMYFUNCTION("GOOGLETRANSLATE(A88, ""bn"", ""en"")"),"87")</f>
        <v>87</v>
      </c>
      <c r="K88" s="6" t="s">
        <v>1833</v>
      </c>
      <c r="L88" s="6" t="s">
        <v>1834</v>
      </c>
      <c r="M88" s="6" t="s">
        <v>1782</v>
      </c>
      <c r="N88" s="6" t="s">
        <v>1781</v>
      </c>
      <c r="O88" s="6" t="s">
        <v>1783</v>
      </c>
      <c r="P88" s="6" t="s">
        <v>1782</v>
      </c>
      <c r="Q88" s="7" t="s">
        <v>175</v>
      </c>
    </row>
    <row r="89">
      <c r="A89" s="3">
        <v>88.0</v>
      </c>
      <c r="B89" s="4" t="str">
        <f>IFERROR(__xludf.DUMMYFUNCTION("GOOGLETRANSLATE(K88, ""en"", ""bn"")"),"পাশের মানুষদের প্রাথমিক ভূমিকা কী?")</f>
        <v>পাশের মানুষদের প্রাথমিক ভূমিকা কী?</v>
      </c>
      <c r="C89" s="4" t="str">
        <f>IFERROR(__xludf.DUMMYFUNCTION("GOOGLETRANSLATE(L88, ""en"", ""bn"")"),"খেলার অপেক্ষায় খেলোয়াড়রা")</f>
        <v>খেলার অপেক্ষায় খেলোয়াড়রা</v>
      </c>
      <c r="D89" s="4" t="str">
        <f>IFERROR(__xludf.DUMMYFUNCTION("GOOGLETRANSLATE(M88, ""en"", ""bn"")"),"দর্শকরা")</f>
        <v>দর্শকরা</v>
      </c>
      <c r="E89" s="4" t="str">
        <f>IFERROR(__xludf.DUMMYFUNCTION("GOOGLETRANSLATE(N88, ""en"", ""bn"")"),"রেফারি")</f>
        <v>রেফারি</v>
      </c>
      <c r="F89" s="4" t="str">
        <f>IFERROR(__xludf.DUMMYFUNCTION("GOOGLETRANSLATE(O88, ""en"", ""bn"")"),"প্রশিক্ষক")</f>
        <v>প্রশিক্ষক</v>
      </c>
      <c r="G89" s="4" t="str">
        <f>IFERROR(__xludf.DUMMYFUNCTION("GOOGLETRANSLATE(P88, ""en"", ""bn"")"),"দর্শকরা")</f>
        <v>দর্শকরা</v>
      </c>
      <c r="H89" s="4" t="str">
        <f>IFERROR(__xludf.DUMMYFUNCTION("GOOGLETRANSLATE(Q88, ""en"", ""bn"")"),"ছবি২০")</f>
        <v>ছবি২০</v>
      </c>
      <c r="I89" s="19"/>
      <c r="J89" s="5" t="str">
        <f>IFERROR(__xludf.DUMMYFUNCTION("GOOGLETRANSLATE(A89, ""bn"", ""en"")"),"88")</f>
        <v>88</v>
      </c>
      <c r="K89" s="6" t="s">
        <v>1835</v>
      </c>
      <c r="L89" s="6" t="s">
        <v>937</v>
      </c>
      <c r="M89" s="6" t="s">
        <v>1340</v>
      </c>
      <c r="N89" s="6" t="s">
        <v>1836</v>
      </c>
      <c r="O89" s="6" t="s">
        <v>1837</v>
      </c>
      <c r="P89" s="6" t="s">
        <v>1836</v>
      </c>
      <c r="Q89" s="7" t="s">
        <v>175</v>
      </c>
    </row>
    <row r="90">
      <c r="A90" s="3">
        <v>89.0</v>
      </c>
      <c r="B90" s="4" t="str">
        <f>IFERROR(__xludf.DUMMYFUNCTION("GOOGLETRANSLATE(K89, ""en"", ""bn"")"),"অগ্রভাগে খেলোয়াড়ের অবস্থান কী?")</f>
        <v>অগ্রভাগে খেলোয়াড়ের অবস্থান কী?</v>
      </c>
      <c r="C90" s="4" t="str">
        <f>IFERROR(__xludf.DUMMYFUNCTION("GOOGLETRANSLATE(L89, ""en"", ""bn"")"),"সোজা হয়ে দাঁড়িয়ে আছে")</f>
        <v>সোজা হয়ে দাঁড়িয়ে আছে</v>
      </c>
      <c r="D90" s="4" t="str">
        <f>IFERROR(__xludf.DUMMYFUNCTION("GOOGLETRANSLATE(M89, ""en"", ""bn"")"),"দৌড়")</f>
        <v>দৌড়</v>
      </c>
      <c r="E90" s="4" t="str">
        <f>IFERROR(__xludf.DUMMYFUNCTION("GOOGLETRANSLATE(N89, ""en"", ""bn"")"),"ক্রুচড এবং প্রস্তুত")</f>
        <v>ক্রুচড এবং প্রস্তুত</v>
      </c>
      <c r="F90" s="4" t="str">
        <f>IFERROR(__xludf.DUMMYFUNCTION("GOOGLETRANSLATE(O89, ""en"", ""bn"")"),"মাটিতে বসে")</f>
        <v>মাটিতে বসে</v>
      </c>
      <c r="G90" s="4" t="str">
        <f>IFERROR(__xludf.DUMMYFUNCTION("GOOGLETRANSLATE(P89, ""en"", ""bn"")"),"ক্রুচড এবং প্রস্তুত")</f>
        <v>ক্রুচড এবং প্রস্তুত</v>
      </c>
      <c r="H90" s="4" t="str">
        <f>IFERROR(__xludf.DUMMYFUNCTION("GOOGLETRANSLATE(Q89, ""en"", ""bn"")"),"ছবি২০")</f>
        <v>ছবি২০</v>
      </c>
      <c r="I90" s="19"/>
      <c r="J90" s="5" t="str">
        <f>IFERROR(__xludf.DUMMYFUNCTION("GOOGLETRANSLATE(A90, ""bn"", ""en"")"),"89")</f>
        <v>89</v>
      </c>
      <c r="K90" s="6" t="s">
        <v>1838</v>
      </c>
      <c r="L90" s="6" t="s">
        <v>843</v>
      </c>
      <c r="M90" s="6" t="s">
        <v>510</v>
      </c>
      <c r="N90" s="6" t="s">
        <v>1839</v>
      </c>
      <c r="O90" s="6" t="s">
        <v>1460</v>
      </c>
      <c r="P90" s="6" t="s">
        <v>1839</v>
      </c>
      <c r="Q90" s="6" t="s">
        <v>175</v>
      </c>
      <c r="R90" s="17"/>
    </row>
    <row r="91">
      <c r="A91" s="3">
        <v>90.0</v>
      </c>
      <c r="B91" s="4" t="str">
        <f>IFERROR(__xludf.DUMMYFUNCTION("GOOGLETRANSLATE(K90, ""en"", ""bn"")"),"ছবিতে সেটিংটির প্রকৃতি কী?")</f>
        <v>ছবিতে সেটিংটির প্রকৃতি কী?</v>
      </c>
      <c r="C91" s="4" t="str">
        <f>IFERROR(__xludf.DUMMYFUNCTION("GOOGLETRANSLATE(L90, ""en"", ""bn"")"),"একটি অভ্যন্তরীণ আখড়া")</f>
        <v>একটি অভ্যন্তরীণ আখড়া</v>
      </c>
      <c r="D91" s="4" t="str">
        <f>IFERROR(__xludf.DUMMYFUNCTION("GOOGLETRANSLATE(M90, ""en"", ""bn"")"),"একটি স্কুল জিম")</f>
        <v>একটি স্কুল জিম</v>
      </c>
      <c r="E91" s="4" t="str">
        <f>IFERROR(__xludf.DUMMYFUNCTION("GOOGLETRANSLATE(N90, ""en"", ""bn"")"),"একটি গ্রামীণ বহিরঙ্গন মাঠ")</f>
        <v>একটি গ্রামীণ বহিরঙ্গন মাঠ</v>
      </c>
      <c r="F91" s="4" t="str">
        <f>IFERROR(__xludf.DUMMYFUNCTION("GOOGLETRANSLATE(O90, ""en"", ""bn"")"),"একটি ক্রীড়া স্টেডিয়াম")</f>
        <v>একটি ক্রীড়া স্টেডিয়াম</v>
      </c>
      <c r="G91" s="4" t="str">
        <f>IFERROR(__xludf.DUMMYFUNCTION("GOOGLETRANSLATE(P90, ""en"", ""bn"")"),"একটি গ্রামীণ বহিরঙ্গন মাঠ")</f>
        <v>একটি গ্রামীণ বহিরঙ্গন মাঠ</v>
      </c>
      <c r="H91" s="4" t="str">
        <f>IFERROR(__xludf.DUMMYFUNCTION("GOOGLETRANSLATE(Q90, ""en"", ""bn"")"),"ছবি২০")</f>
        <v>ছবি২০</v>
      </c>
      <c r="I91" s="19"/>
      <c r="J91" s="5" t="str">
        <f>IFERROR(__xludf.DUMMYFUNCTION("GOOGLETRANSLATE(A91, ""bn"", ""en"")"),"90")</f>
        <v>90</v>
      </c>
      <c r="K91" s="6" t="s">
        <v>1840</v>
      </c>
      <c r="L91" s="6" t="s">
        <v>1841</v>
      </c>
      <c r="M91" s="6" t="s">
        <v>1842</v>
      </c>
      <c r="N91" s="6" t="s">
        <v>1843</v>
      </c>
      <c r="O91" s="6" t="s">
        <v>1844</v>
      </c>
      <c r="P91" s="6" t="s">
        <v>1842</v>
      </c>
      <c r="Q91" s="7" t="s">
        <v>175</v>
      </c>
    </row>
    <row r="92">
      <c r="A92" s="3">
        <v>91.0</v>
      </c>
      <c r="B92" s="4" t="str">
        <f>IFERROR(__xludf.DUMMYFUNCTION("GOOGLETRANSLATE(K91, ""en"", ""bn"")"),"কেন্দ্রে খেলোয়াড়দের প্রাথমিক কাজ কী?")</f>
        <v>কেন্দ্রে খেলোয়াড়দের প্রাথমিক কাজ কী?</v>
      </c>
      <c r="C92" s="4" t="str">
        <f>IFERROR(__xludf.DUMMYFUNCTION("GOOGLETRANSLATE(L91, ""en"", ""bn"")"),"নির্দেশাবলীর জন্য অপেক্ষা করছি")</f>
        <v>নির্দেশাবলীর জন্য অপেক্ষা করছি</v>
      </c>
      <c r="D92" s="4" t="str">
        <f>IFERROR(__xludf.DUMMYFUNCTION("GOOGLETRANSLATE(M91, ""en"", ""bn"")"),"সংগ্রামে লিপ্ত।")</f>
        <v>সংগ্রামে লিপ্ত।</v>
      </c>
      <c r="E92" s="4" t="str">
        <f>IFERROR(__xludf.DUMMYFUNCTION("GOOGLETRANSLATE(N91, ""en"", ""bn"")"),"মাটিতে বিশ্রাম নিচ্ছে")</f>
        <v>মাটিতে বিশ্রাম নিচ্ছে</v>
      </c>
      <c r="F92" s="4" t="str">
        <f>IFERROR(__xludf.DUMMYFUNCTION("GOOGLETRANSLATE(O91, ""en"", ""bn"")"),"আদালত ত্যাগ করা")</f>
        <v>আদালত ত্যাগ করা</v>
      </c>
      <c r="G92" s="4" t="str">
        <f>IFERROR(__xludf.DUMMYFUNCTION("GOOGLETRANSLATE(P91, ""en"", ""bn"")"),"সংগ্রামে লিপ্ত।")</f>
        <v>সংগ্রামে লিপ্ত।</v>
      </c>
      <c r="H92" s="4" t="str">
        <f>IFERROR(__xludf.DUMMYFUNCTION("GOOGLETRANSLATE(Q91, ""en"", ""bn"")"),"ছবি২০")</f>
        <v>ছবি২০</v>
      </c>
      <c r="I92" s="19"/>
      <c r="J92" s="5" t="str">
        <f>IFERROR(__xludf.DUMMYFUNCTION("GOOGLETRANSLATE(A92, ""bn"", ""en"")"),"91")</f>
        <v>91</v>
      </c>
      <c r="K92" s="6" t="s">
        <v>1845</v>
      </c>
      <c r="L92" s="6" t="s">
        <v>958</v>
      </c>
      <c r="M92" s="6" t="s">
        <v>1846</v>
      </c>
      <c r="N92" s="6" t="s">
        <v>1847</v>
      </c>
      <c r="O92" s="6" t="s">
        <v>1848</v>
      </c>
      <c r="P92" s="6" t="s">
        <v>1847</v>
      </c>
      <c r="Q92" s="7" t="s">
        <v>81</v>
      </c>
    </row>
    <row r="93">
      <c r="A93" s="3">
        <v>92.0</v>
      </c>
      <c r="B93" s="4" t="str">
        <f>IFERROR(__xludf.DUMMYFUNCTION("GOOGLETRANSLATE(K92, ""en"", ""bn"")"),"খেলার পৃষ্ঠ সম্পর্কে কী অনুমান করা যেতে পারে?")</f>
        <v>খেলার পৃষ্ঠ সম্পর্কে কী অনুমান করা যেতে পারে?</v>
      </c>
      <c r="C93" s="4" t="str">
        <f>IFERROR(__xludf.DUMMYFUNCTION("GOOGLETRANSLATE(L92, ""en"", ""bn"")"),"এটি একটি পাকা রাস্তা।")</f>
        <v>এটি একটি পাকা রাস্তা।</v>
      </c>
      <c r="D93" s="4" t="str">
        <f>IFERROR(__xludf.DUMMYFUNCTION("GOOGLETRANSLATE(M92, ""en"", ""bn"")"),"এটি একটি ঘাসের মাঠ")</f>
        <v>এটি একটি ঘাসের মাঠ</v>
      </c>
      <c r="E93" s="4" t="str">
        <f>IFERROR(__xludf.DUMMYFUNCTION("GOOGLETRANSLATE(N92, ""en"", ""bn"")"),"এটি একটি ময়লা বা কর্দমাক্ত এলাকা।")</f>
        <v>এটি একটি ময়লা বা কর্দমাক্ত এলাকা।</v>
      </c>
      <c r="F93" s="4" t="str">
        <f>IFERROR(__xludf.DUMMYFUNCTION("GOOGLETRANSLATE(O92, ""en"", ""bn"")"),"এটি একটি ইনডোর কোর্ট")</f>
        <v>এটি একটি ইনডোর কোর্ট</v>
      </c>
      <c r="G93" s="4" t="str">
        <f>IFERROR(__xludf.DUMMYFUNCTION("GOOGLETRANSLATE(P92, ""en"", ""bn"")"),"এটি একটি ময়লা বা কর্দমাক্ত এলাকা।")</f>
        <v>এটি একটি ময়লা বা কর্দমাক্ত এলাকা।</v>
      </c>
      <c r="H93" s="4" t="str">
        <f>IFERROR(__xludf.DUMMYFUNCTION("GOOGLETRANSLATE(Q92, ""en"", ""bn"")"),"ছবি৮")</f>
        <v>ছবি৮</v>
      </c>
      <c r="I93" s="19"/>
      <c r="J93" s="5" t="str">
        <f>IFERROR(__xludf.DUMMYFUNCTION("GOOGLETRANSLATE(A93, ""bn"", ""en"")"),"92")</f>
        <v>92</v>
      </c>
      <c r="K93" s="6" t="s">
        <v>1849</v>
      </c>
      <c r="L93" s="6" t="s">
        <v>1850</v>
      </c>
      <c r="M93" s="6" t="s">
        <v>771</v>
      </c>
      <c r="N93" s="6" t="s">
        <v>1851</v>
      </c>
      <c r="O93" s="6" t="s">
        <v>1852</v>
      </c>
      <c r="P93" s="6" t="s">
        <v>771</v>
      </c>
      <c r="Q93" s="6" t="s">
        <v>81</v>
      </c>
      <c r="R93" s="17"/>
    </row>
    <row r="94">
      <c r="A94" s="3">
        <v>93.0</v>
      </c>
      <c r="B94" s="4" t="str">
        <f>IFERROR(__xludf.DUMMYFUNCTION("GOOGLETRANSLATE(K93, ""en"", ""bn"")"),"অংশগ্রহণকারীদের বয়স কত?")</f>
        <v>অংশগ্রহণকারীদের বয়স কত?</v>
      </c>
      <c r="C94" s="4" t="str">
        <f>IFERROR(__xludf.DUMMYFUNCTION("GOOGLETRANSLATE(L93, ""en"", ""bn"")"),"ছোট বাচ্চারা")</f>
        <v>ছোট বাচ্চারা</v>
      </c>
      <c r="D94" s="4" t="str">
        <f>IFERROR(__xludf.DUMMYFUNCTION("GOOGLETRANSLATE(M93, ""en"", ""bn"")"),"কিশোর")</f>
        <v>কিশোর</v>
      </c>
      <c r="E94" s="4" t="str">
        <f>IFERROR(__xludf.DUMMYFUNCTION("GOOGLETRANSLATE(N93, ""en"", ""bn"")"),"প্রাপ্তবয়স্কদের")</f>
        <v>প্রাপ্তবয়স্কদের</v>
      </c>
      <c r="F94" s="4" t="str">
        <f>IFERROR(__xludf.DUMMYFUNCTION("GOOGLETRANSLATE(O93, ""en"", ""bn"")"),"মিশ্র বয়স")</f>
        <v>মিশ্র বয়স</v>
      </c>
      <c r="G94" s="4" t="str">
        <f>IFERROR(__xludf.DUMMYFUNCTION("GOOGLETRANSLATE(P93, ""en"", ""bn"")"),"কিশোর")</f>
        <v>কিশোর</v>
      </c>
      <c r="H94" s="4" t="str">
        <f>IFERROR(__xludf.DUMMYFUNCTION("GOOGLETRANSLATE(Q93, ""en"", ""bn"")"),"ছবি৮")</f>
        <v>ছবি৮</v>
      </c>
      <c r="I94" s="19"/>
      <c r="J94" s="5" t="str">
        <f>IFERROR(__xludf.DUMMYFUNCTION("GOOGLETRANSLATE(A94, ""bn"", ""en"")"),"93")</f>
        <v>93</v>
      </c>
      <c r="K94" s="6" t="s">
        <v>1853</v>
      </c>
      <c r="L94" s="6" t="s">
        <v>1854</v>
      </c>
      <c r="M94" s="6" t="s">
        <v>1762</v>
      </c>
      <c r="N94" s="6" t="s">
        <v>1855</v>
      </c>
      <c r="O94" s="6" t="s">
        <v>1764</v>
      </c>
      <c r="P94" s="6" t="s">
        <v>1855</v>
      </c>
      <c r="Q94" s="7" t="s">
        <v>81</v>
      </c>
    </row>
    <row r="95">
      <c r="A95" s="3">
        <v>94.0</v>
      </c>
      <c r="B95" s="4" t="str">
        <f>IFERROR(__xludf.DUMMYFUNCTION("GOOGLETRANSLATE(K94, ""en"", ""bn"")"),"লাঠি ধরে থাকা ব্যক্তির ভূমিকা কী?")</f>
        <v>লাঠি ধরে থাকা ব্যক্তির ভূমিকা কী?</v>
      </c>
      <c r="C95" s="4" t="str">
        <f>IFERROR(__xludf.DUMMYFUNCTION("GOOGLETRANSLATE(L94, ""en"", ""bn"")"),"একজন খেলোয়াড়")</f>
        <v>একজন খেলোয়াড়</v>
      </c>
      <c r="D95" s="4" t="str">
        <f>IFERROR(__xludf.DUMMYFUNCTION("GOOGLETRANSLATE(M94, ""en"", ""bn"")"),"একজন দর্শক")</f>
        <v>একজন দর্শক</v>
      </c>
      <c r="E95" s="4" t="str">
        <f>IFERROR(__xludf.DUMMYFUNCTION("GOOGLETRANSLATE(N94, ""en"", ""bn"")"),"একজন রেফারি")</f>
        <v>একজন রেফারি</v>
      </c>
      <c r="F95" s="4" t="str">
        <f>IFERROR(__xludf.DUMMYFUNCTION("GOOGLETRANSLATE(O94, ""en"", ""bn"")"),"একজন প্রশিক্ষক")</f>
        <v>একজন প্রশিক্ষক</v>
      </c>
      <c r="G95" s="4" t="str">
        <f>IFERROR(__xludf.DUMMYFUNCTION("GOOGLETRANSLATE(P94, ""en"", ""bn"")"),"একজন রেফারি")</f>
        <v>একজন রেফারি</v>
      </c>
      <c r="H95" s="4" t="str">
        <f>IFERROR(__xludf.DUMMYFUNCTION("GOOGLETRANSLATE(Q94, ""en"", ""bn"")"),"ছবি৮")</f>
        <v>ছবি৮</v>
      </c>
      <c r="I95" s="19"/>
      <c r="J95" s="5" t="str">
        <f>IFERROR(__xludf.DUMMYFUNCTION("GOOGLETRANSLATE(A95, ""bn"", ""en"")"),"94")</f>
        <v>94</v>
      </c>
      <c r="K95" s="6" t="s">
        <v>1856</v>
      </c>
      <c r="L95" s="6" t="s">
        <v>1857</v>
      </c>
      <c r="M95" s="6" t="s">
        <v>1858</v>
      </c>
      <c r="N95" s="6" t="s">
        <v>1859</v>
      </c>
      <c r="O95" s="6" t="s">
        <v>1860</v>
      </c>
      <c r="P95" s="6" t="s">
        <v>1857</v>
      </c>
      <c r="Q95" s="7" t="s">
        <v>81</v>
      </c>
    </row>
    <row r="96">
      <c r="A96" s="3">
        <v>95.0</v>
      </c>
      <c r="B96" s="4" t="str">
        <f>IFERROR(__xludf.DUMMYFUNCTION("GOOGLETRANSLATE(K95, ""en"", ""bn"")"),"খেলার সামগ্রিক পরিবেশ কেমন?")</f>
        <v>খেলার সামগ্রিক পরিবেশ কেমন?</v>
      </c>
      <c r="C96" s="4" t="str">
        <f>IFERROR(__xludf.DUMMYFUNCTION("GOOGLETRANSLATE(L95, ""en"", ""bn"")"),"নৈমিত্তিক এবং শিথিল")</f>
        <v>নৈমিত্তিক এবং শিথিল</v>
      </c>
      <c r="D96" s="4" t="str">
        <f>IFERROR(__xludf.DUMMYFUNCTION("GOOGLETRANSLATE(M95, ""en"", ""bn"")"),"আনুষ্ঠানিক এবং প্রতিযোগিতামূলক")</f>
        <v>আনুষ্ঠানিক এবং প্রতিযোগিতামূলক</v>
      </c>
      <c r="E96" s="4" t="str">
        <f>IFERROR(__xludf.DUMMYFUNCTION("GOOGLETRANSLATE(N95, ""en"", ""bn"")"),"আগ্রহহীন এবং ধীর")</f>
        <v>আগ্রহহীন এবং ধীর</v>
      </c>
      <c r="F96" s="4" t="str">
        <f>IFERROR(__xludf.DUMMYFUNCTION("GOOGLETRANSLATE(O95, ""en"", ""bn"")"),"খুব আক্রমণাত্মক")</f>
        <v>খুব আক্রমণাত্মক</v>
      </c>
      <c r="G96" s="4" t="str">
        <f>IFERROR(__xludf.DUMMYFUNCTION("GOOGLETRANSLATE(P95, ""en"", ""bn"")"),"নৈমিত্তিক এবং শিথিল")</f>
        <v>নৈমিত্তিক এবং শিথিল</v>
      </c>
      <c r="H96" s="4" t="str">
        <f>IFERROR(__xludf.DUMMYFUNCTION("GOOGLETRANSLATE(Q95, ""en"", ""bn"")"),"ছবি৮")</f>
        <v>ছবি৮</v>
      </c>
      <c r="I96" s="19"/>
      <c r="J96" s="5" t="str">
        <f>IFERROR(__xludf.DUMMYFUNCTION("GOOGLETRANSLATE(A96, ""bn"", ""en"")"),"95")</f>
        <v>95</v>
      </c>
      <c r="K96" s="6" t="s">
        <v>1775</v>
      </c>
      <c r="L96" s="6" t="s">
        <v>1818</v>
      </c>
      <c r="M96" s="6" t="s">
        <v>370</v>
      </c>
      <c r="N96" s="6" t="s">
        <v>1861</v>
      </c>
      <c r="O96" s="6" t="s">
        <v>373</v>
      </c>
      <c r="P96" s="6" t="s">
        <v>1861</v>
      </c>
      <c r="Q96" s="7" t="s">
        <v>81</v>
      </c>
    </row>
    <row r="97">
      <c r="A97" s="3">
        <v>96.0</v>
      </c>
      <c r="B97" s="4" t="str">
        <f>IFERROR(__xludf.DUMMYFUNCTION("GOOGLETRANSLATE(K96, ""en"", ""bn"")"),"খেলোয়াড়রা কি পরছে?")</f>
        <v>খেলোয়াড়রা কি পরছে?</v>
      </c>
      <c r="C97" s="4" t="str">
        <f>IFERROR(__xludf.DUMMYFUNCTION("GOOGLETRANSLATE(L96, ""en"", ""bn"")"),"ঐতিহ্যবাহী পোশাক")</f>
        <v>ঐতিহ্যবাহী পোশাক</v>
      </c>
      <c r="D97" s="4" t="str">
        <f>IFERROR(__xludf.DUMMYFUNCTION("GOOGLETRANSLATE(M96, ""en"", ""bn"")"),"ইউনিফর্ম")</f>
        <v>ইউনিফর্ম</v>
      </c>
      <c r="E97" s="4" t="str">
        <f>IFERROR(__xludf.DUMMYFUNCTION("GOOGLETRANSLATE(N96, ""en"", ""bn"")"),"ক্যাজুয়াল শার্ট এবং প্যান্ট")</f>
        <v>ক্যাজুয়াল শার্ট এবং প্যান্ট</v>
      </c>
      <c r="F97" s="4" t="str">
        <f>IFERROR(__xludf.DUMMYFUNCTION("GOOGLETRANSLATE(O96, ""en"", ""bn"")"),"আনুষ্ঠানিক স্যুট")</f>
        <v>আনুষ্ঠানিক স্যুট</v>
      </c>
      <c r="G97" s="4" t="str">
        <f>IFERROR(__xludf.DUMMYFUNCTION("GOOGLETRANSLATE(P96, ""en"", ""bn"")"),"ক্যাজুয়াল শার্ট এবং প্যান্ট")</f>
        <v>ক্যাজুয়াল শার্ট এবং প্যান্ট</v>
      </c>
      <c r="H97" s="4" t="str">
        <f>IFERROR(__xludf.DUMMYFUNCTION("GOOGLETRANSLATE(Q96, ""en"", ""bn"")"),"ছবি৮")</f>
        <v>ছবি৮</v>
      </c>
      <c r="I97" s="19"/>
      <c r="J97" s="5" t="str">
        <f>IFERROR(__xludf.DUMMYFUNCTION("GOOGLETRANSLATE(A97, ""bn"", ""en"")"),"96")</f>
        <v>96</v>
      </c>
      <c r="K97" s="6" t="s">
        <v>1802</v>
      </c>
      <c r="L97" s="6" t="s">
        <v>842</v>
      </c>
      <c r="M97" s="6" t="s">
        <v>1804</v>
      </c>
      <c r="N97" s="6" t="s">
        <v>1393</v>
      </c>
      <c r="O97" s="6" t="s">
        <v>1519</v>
      </c>
      <c r="P97" s="6" t="s">
        <v>1393</v>
      </c>
      <c r="Q97" s="7" t="s">
        <v>88</v>
      </c>
    </row>
    <row r="98">
      <c r="A98" s="3">
        <v>97.0</v>
      </c>
      <c r="B98" s="4" t="str">
        <f>IFERROR(__xludf.DUMMYFUNCTION("GOOGLETRANSLATE(K97, ""en"", ""bn"")"),"প্রতিযোগিতার পরিবেশ সম্পর্কে কী অনুমান করা যেতে পারে?")</f>
        <v>প্রতিযোগিতার পরিবেশ সম্পর্কে কী অনুমান করা যেতে পারে?</v>
      </c>
      <c r="C98" s="4" t="str">
        <f>IFERROR(__xludf.DUMMYFUNCTION("GOOGLETRANSLATE(L97, ""en"", ""bn"")"),"একটি শহরের পার্ক")</f>
        <v>একটি শহরের পার্ক</v>
      </c>
      <c r="D98" s="4" t="str">
        <f>IFERROR(__xludf.DUMMYFUNCTION("GOOGLETRANSLATE(M97, ""en"", ""bn"")"),"একটি ক্রীড়াঙ্গন")</f>
        <v>একটি ক্রীড়াঙ্গন</v>
      </c>
      <c r="E98" s="4" t="str">
        <f>IFERROR(__xludf.DUMMYFUNCTION("GOOGLETRANSLATE(N97, ""en"", ""bn"")"),"একটি গ্রাম্য গ্রাম")</f>
        <v>একটি গ্রাম্য গ্রাম</v>
      </c>
      <c r="F98" s="4" t="str">
        <f>IFERROR(__xludf.DUMMYFUNCTION("GOOGLETRANSLATE(O97, ""en"", ""bn"")"),"একটি স্কুলের উঠোন")</f>
        <v>একটি স্কুলের উঠোন</v>
      </c>
      <c r="G98" s="4" t="str">
        <f>IFERROR(__xludf.DUMMYFUNCTION("GOOGLETRANSLATE(P97, ""en"", ""bn"")"),"একটি গ্রাম্য গ্রাম")</f>
        <v>একটি গ্রাম্য গ্রাম</v>
      </c>
      <c r="H98" s="4" t="str">
        <f>IFERROR(__xludf.DUMMYFUNCTION("GOOGLETRANSLATE(Q97, ""en"", ""bn"")"),"ছবি9")</f>
        <v>ছবি9</v>
      </c>
      <c r="I98" s="19"/>
      <c r="J98" s="5" t="str">
        <f>IFERROR(__xludf.DUMMYFUNCTION("GOOGLETRANSLATE(A98, ""bn"", ""en"")"),"97")</f>
        <v>97</v>
      </c>
      <c r="K98" s="6" t="s">
        <v>1805</v>
      </c>
      <c r="L98" s="6" t="s">
        <v>1373</v>
      </c>
      <c r="M98" s="6" t="s">
        <v>1806</v>
      </c>
      <c r="N98" s="6" t="s">
        <v>1851</v>
      </c>
      <c r="O98" s="6" t="s">
        <v>1852</v>
      </c>
      <c r="P98" s="6" t="s">
        <v>1806</v>
      </c>
      <c r="Q98" s="7" t="s">
        <v>88</v>
      </c>
    </row>
    <row r="99">
      <c r="A99" s="3">
        <v>98.0</v>
      </c>
      <c r="B99" s="4" t="str">
        <f>IFERROR(__xludf.DUMMYFUNCTION("GOOGLETRANSLATE(K98, ""en"", ""bn"")"),"ছবিতে দেখানো খেলোয়াড়দের বয়সসীমা কত?")</f>
        <v>ছবিতে দেখানো খেলোয়াড়দের বয়সসীমা কত?</v>
      </c>
      <c r="C99" s="4" t="str">
        <f>IFERROR(__xludf.DUMMYFUNCTION("GOOGLETRANSLATE(L98, ""en"", ""bn"")"),"ছোট বাচ্চারা")</f>
        <v>ছোট বাচ্চারা</v>
      </c>
      <c r="D99" s="4" t="str">
        <f>IFERROR(__xludf.DUMMYFUNCTION("GOOGLETRANSLATE(M98, ""en"", ""bn"")"),"শিশু এবং কিশোর")</f>
        <v>শিশু এবং কিশোর</v>
      </c>
      <c r="E99" s="4" t="str">
        <f>IFERROR(__xludf.DUMMYFUNCTION("GOOGLETRANSLATE(N98, ""en"", ""bn"")"),"প্রাপ্তবয়স্কদের")</f>
        <v>প্রাপ্তবয়স্কদের</v>
      </c>
      <c r="F99" s="4" t="str">
        <f>IFERROR(__xludf.DUMMYFUNCTION("GOOGLETRANSLATE(O98, ""en"", ""bn"")"),"মিশ্র বয়স")</f>
        <v>মিশ্র বয়স</v>
      </c>
      <c r="G99" s="4" t="str">
        <f>IFERROR(__xludf.DUMMYFUNCTION("GOOGLETRANSLATE(P98, ""en"", ""bn"")"),"শিশু এবং কিশোর")</f>
        <v>শিশু এবং কিশোর</v>
      </c>
      <c r="H99" s="4" t="str">
        <f>IFERROR(__xludf.DUMMYFUNCTION("GOOGLETRANSLATE(Q98, ""en"", ""bn"")"),"ছবি9")</f>
        <v>ছবি9</v>
      </c>
      <c r="I99" s="19"/>
      <c r="J99" s="5" t="str">
        <f>IFERROR(__xludf.DUMMYFUNCTION("GOOGLETRANSLATE(A99, ""bn"", ""en"")"),"98")</f>
        <v>98</v>
      </c>
      <c r="K99" s="6" t="s">
        <v>1793</v>
      </c>
      <c r="L99" s="6" t="s">
        <v>1713</v>
      </c>
      <c r="M99" s="6" t="s">
        <v>1862</v>
      </c>
      <c r="N99" s="6" t="s">
        <v>1712</v>
      </c>
      <c r="O99" s="6" t="s">
        <v>1714</v>
      </c>
      <c r="P99" s="6" t="s">
        <v>1862</v>
      </c>
      <c r="Q99" s="7" t="s">
        <v>88</v>
      </c>
    </row>
    <row r="100">
      <c r="A100" s="3">
        <v>99.0</v>
      </c>
      <c r="B100" s="4" t="str">
        <f>IFERROR(__xludf.DUMMYFUNCTION("GOOGLETRANSLATE(K99, ""en"", ""bn"")"),"কোর্টে দৃশ্যমান খেলোয়াড়ের সংখ্যা কত?")</f>
        <v>কোর্টে দৃশ্যমান খেলোয়াড়ের সংখ্যা কত?</v>
      </c>
      <c r="C100" s="4" t="str">
        <f>IFERROR(__xludf.DUMMYFUNCTION("GOOGLETRANSLATE(L99, ""en"", ""bn"")"),"৫ এর কম")</f>
        <v>৫ এর কম</v>
      </c>
      <c r="D100" s="4" t="str">
        <f>IFERROR(__xludf.DUMMYFUNCTION("GOOGLETRANSLATE(M99, ""en"", ""bn"")"),"৫ থেকে ১০")</f>
        <v>৫ থেকে ১০</v>
      </c>
      <c r="E100" s="4" t="str">
        <f>IFERROR(__xludf.DUMMYFUNCTION("GOOGLETRANSLATE(N99, ""en"", ""bn"")"),"১০ টিরও বেশি")</f>
        <v>১০ টিরও বেশি</v>
      </c>
      <c r="F100" s="4" t="str">
        <f>IFERROR(__xludf.DUMMYFUNCTION("GOOGLETRANSLATE(O99, ""en"", ""bn"")"),"ঠিক 5")</f>
        <v>ঠিক 5</v>
      </c>
      <c r="G100" s="4" t="str">
        <f>IFERROR(__xludf.DUMMYFUNCTION("GOOGLETRANSLATE(P99, ""en"", ""bn"")"),"৫ থেকে ১০")</f>
        <v>৫ থেকে ১০</v>
      </c>
      <c r="H100" s="4" t="str">
        <f>IFERROR(__xludf.DUMMYFUNCTION("GOOGLETRANSLATE(Q99, ""en"", ""bn"")"),"ছবি9")</f>
        <v>ছবি9</v>
      </c>
      <c r="I100" s="19"/>
      <c r="J100" s="5" t="str">
        <f>IFERROR(__xludf.DUMMYFUNCTION("GOOGLETRANSLATE(A100, ""bn"", ""en"")"),"99")</f>
        <v>99</v>
      </c>
      <c r="K100" s="6" t="s">
        <v>1863</v>
      </c>
      <c r="L100" s="6" t="s">
        <v>1864</v>
      </c>
      <c r="M100" s="6" t="s">
        <v>1865</v>
      </c>
      <c r="N100" s="6" t="s">
        <v>1866</v>
      </c>
      <c r="O100" s="6" t="s">
        <v>1867</v>
      </c>
      <c r="P100" s="6" t="s">
        <v>1866</v>
      </c>
      <c r="Q100" s="7" t="s">
        <v>88</v>
      </c>
    </row>
    <row r="101">
      <c r="A101" s="3">
        <v>100.0</v>
      </c>
      <c r="B101" s="4" t="str">
        <f>IFERROR(__xludf.DUMMYFUNCTION("GOOGLETRANSLATE(K100, ""en"", ""bn"")"),"খেলার পৃষ্ঠের অবস্থা কী?")</f>
        <v>খেলার পৃষ্ঠের অবস্থা কী?</v>
      </c>
      <c r="C101" s="4" t="str">
        <f>IFERROR(__xludf.DUMMYFUNCTION("GOOGLETRANSLATE(L100, ""en"", ""bn"")"),"ঘাসযুক্ত এবং ভালভাবে রক্ষণাবেক্ষণ করা হয়")</f>
        <v>ঘাসযুক্ত এবং ভালভাবে রক্ষণাবেক্ষণ করা হয়</v>
      </c>
      <c r="D101" s="4" t="str">
        <f>IFERROR(__xludf.DUMMYFUNCTION("GOOGLETRANSLATE(M100, ""en"", ""bn"")"),"কংক্রিট এবং মসৃণ")</f>
        <v>কংক্রিট এবং মসৃণ</v>
      </c>
      <c r="E101" s="4" t="str">
        <f>IFERROR(__xludf.DUMMYFUNCTION("GOOGLETRANSLATE(N100, ""en"", ""bn"")"),"ময়লা এবং অসম")</f>
        <v>ময়লা এবং অসম</v>
      </c>
      <c r="F101" s="4" t="str">
        <f>IFERROR(__xludf.DUMMYFUNCTION("GOOGLETRANSLATE(O100, ""en"", ""bn"")"),"বালি এবং পাথুরে")</f>
        <v>বালি এবং পাথুরে</v>
      </c>
      <c r="G101" s="4" t="str">
        <f>IFERROR(__xludf.DUMMYFUNCTION("GOOGLETRANSLATE(P100, ""en"", ""bn"")"),"ময়লা এবং অসম")</f>
        <v>ময়লা এবং অসম</v>
      </c>
      <c r="H101" s="4" t="str">
        <f>IFERROR(__xludf.DUMMYFUNCTION("GOOGLETRANSLATE(Q100, ""en"", ""bn"")"),"ছবি9")</f>
        <v>ছবি9</v>
      </c>
      <c r="I101" s="19"/>
      <c r="J101" s="5" t="str">
        <f>IFERROR(__xludf.DUMMYFUNCTION("GOOGLETRANSLATE(A101, ""bn"", ""en"")"),"100")</f>
        <v>100</v>
      </c>
      <c r="K101" s="6" t="s">
        <v>1868</v>
      </c>
      <c r="L101" s="6" t="s">
        <v>1735</v>
      </c>
      <c r="M101" s="6" t="s">
        <v>1736</v>
      </c>
      <c r="N101" s="6" t="s">
        <v>1734</v>
      </c>
      <c r="O101" s="6" t="s">
        <v>1869</v>
      </c>
      <c r="P101" s="6" t="s">
        <v>1734</v>
      </c>
      <c r="Q101" s="7" t="s">
        <v>88</v>
      </c>
    </row>
    <row r="102">
      <c r="A102" s="3">
        <v>101.0</v>
      </c>
      <c r="B102" s="4" t="str">
        <f>IFERROR(__xludf.DUMMYFUNCTION("GOOGLETRANSLATE(K101, ""en"", ""bn"")"),"পাশের লোকেরা কী করছে?")</f>
        <v>পাশের লোকেরা কী করছে?</v>
      </c>
      <c r="C102" s="4" t="str">
        <f>IFERROR(__xludf.DUMMYFUNCTION("GOOGLETRANSLATE(L101, ""en"", ""bn"")"),"নিজেদের খেলা খেলছে")</f>
        <v>নিজেদের খেলা খেলছে</v>
      </c>
      <c r="D102" s="4" t="str">
        <f>IFERROR(__xludf.DUMMYFUNCTION("GOOGLETRANSLATE(M101, ""en"", ""bn"")"),"তাদের ফোনে কথা হচ্ছে")</f>
        <v>তাদের ফোনে কথা হচ্ছে</v>
      </c>
      <c r="E102" s="4" t="str">
        <f>IFERROR(__xludf.DUMMYFUNCTION("GOOGLETRANSLATE(N101, ""en"", ""bn"")"),"খেলা দেখছি")</f>
        <v>খেলা দেখছি</v>
      </c>
      <c r="F102" s="4" t="str">
        <f>IFERROR(__xludf.DUMMYFUNCTION("GOOGLETRANSLATE(O101, ""en"", ""bn"")"),"বসে ঘুমাচ্ছে")</f>
        <v>বসে ঘুমাচ্ছে</v>
      </c>
      <c r="G102" s="4" t="str">
        <f>IFERROR(__xludf.DUMMYFUNCTION("GOOGLETRANSLATE(P101, ""en"", ""bn"")"),"খেলা দেখছি")</f>
        <v>খেলা দেখছি</v>
      </c>
      <c r="H102" s="4" t="str">
        <f>IFERROR(__xludf.DUMMYFUNCTION("GOOGLETRANSLATE(Q101, ""en"", ""bn"")"),"ছবি9")</f>
        <v>ছবি9</v>
      </c>
      <c r="I102" s="19"/>
      <c r="J102" s="5" t="str">
        <f>IFERROR(__xludf.DUMMYFUNCTION("GOOGLETRANSLATE(A102, ""bn"", ""en"")"),"101")</f>
        <v>101</v>
      </c>
      <c r="K102" s="6" t="s">
        <v>1870</v>
      </c>
      <c r="L102" s="6" t="s">
        <v>1709</v>
      </c>
      <c r="M102" s="6" t="s">
        <v>1490</v>
      </c>
      <c r="N102" s="6" t="s">
        <v>1871</v>
      </c>
      <c r="O102" s="6" t="s">
        <v>1872</v>
      </c>
      <c r="P102" s="6" t="s">
        <v>1871</v>
      </c>
      <c r="Q102" s="6" t="s">
        <v>141</v>
      </c>
    </row>
    <row r="103">
      <c r="A103" s="3">
        <v>102.0</v>
      </c>
      <c r="B103" s="4" t="str">
        <f>IFERROR(__xludf.DUMMYFUNCTION("GOOGLETRANSLATE(K102, ""en"", ""bn"")"),"খেলার মাঠ সম্পর্কে কি অনুমান করা যেতে পারে?")</f>
        <v>খেলার মাঠ সম্পর্কে কি অনুমান করা যেতে পারে?</v>
      </c>
      <c r="C103" s="4" t="str">
        <f>IFERROR(__xludf.DUMMYFUNCTION("GOOGLETRANSLATE(L102, ""en"", ""bn"")"),"একটি কংক্রিট আদালত")</f>
        <v>একটি কংক্রিট আদালত</v>
      </c>
      <c r="D103" s="4" t="str">
        <f>IFERROR(__xludf.DUMMYFUNCTION("GOOGLETRANSLATE(M102, ""en"", ""bn"")"),"কর্দমাক্ত মাঠ")</f>
        <v>কর্দমাক্ত মাঠ</v>
      </c>
      <c r="E103" s="4" t="str">
        <f>IFERROR(__xludf.DUMMYFUNCTION("GOOGLETRANSLATE(N102, ""en"", ""bn"")"),"একটি ঘাসযুক্ত/ময়লা এলাকা")</f>
        <v>একটি ঘাসযুক্ত/ময়লা এলাকা</v>
      </c>
      <c r="F103" s="4" t="str">
        <f>IFERROR(__xludf.DUMMYFUNCTION("GOOGLETRANSLATE(O102, ""en"", ""bn"")"),"একটি পেশাদার অঙ্গন")</f>
        <v>একটি পেশাদার অঙ্গন</v>
      </c>
      <c r="G103" s="4" t="str">
        <f>IFERROR(__xludf.DUMMYFUNCTION("GOOGLETRANSLATE(P102, ""en"", ""bn"")"),"একটি ঘাসযুক্ত/ময়লা এলাকা")</f>
        <v>একটি ঘাসযুক্ত/ময়লা এলাকা</v>
      </c>
      <c r="H103" s="4" t="str">
        <f>IFERROR(__xludf.DUMMYFUNCTION("GOOGLETRANSLATE(Q102, ""en"", ""bn"")"),"ছবি14")</f>
        <v>ছবি14</v>
      </c>
      <c r="I103" s="19"/>
      <c r="J103" s="5" t="str">
        <f>IFERROR(__xludf.DUMMYFUNCTION("GOOGLETRANSLATE(A103, ""bn"", ""en"")"),"102")</f>
        <v>102</v>
      </c>
      <c r="K103" s="6" t="s">
        <v>1812</v>
      </c>
      <c r="L103" s="6" t="s">
        <v>249</v>
      </c>
      <c r="M103" s="6" t="s">
        <v>1413</v>
      </c>
      <c r="N103" s="6" t="s">
        <v>1873</v>
      </c>
      <c r="O103" s="6" t="s">
        <v>1874</v>
      </c>
      <c r="P103" s="6" t="s">
        <v>249</v>
      </c>
      <c r="Q103" s="7" t="s">
        <v>141</v>
      </c>
    </row>
    <row r="104">
      <c r="A104" s="3">
        <v>103.0</v>
      </c>
      <c r="B104" s="4" t="str">
        <f>IFERROR(__xludf.DUMMYFUNCTION("GOOGLETRANSLATE(K103, ""en"", ""bn"")"),"খেলায় সক্রিয়ভাবে অংশগ্রহণকারী খেলোয়াড়ের সংখ্যা কত?")</f>
        <v>খেলায় সক্রিয়ভাবে অংশগ্রহণকারী খেলোয়াড়ের সংখ্যা কত?</v>
      </c>
      <c r="C104" s="4" t="str">
        <f>IFERROR(__xludf.DUMMYFUNCTION("GOOGLETRANSLATE(L103, ""en"", ""bn"")"),"দুই")</f>
        <v>দুই</v>
      </c>
      <c r="D104" s="4" t="str">
        <f>IFERROR(__xludf.DUMMYFUNCTION("GOOGLETRANSLATE(M103, ""en"", ""bn"")"),"চার")</f>
        <v>চার</v>
      </c>
      <c r="E104" s="4" t="str">
        <f>IFERROR(__xludf.DUMMYFUNCTION("GOOGLETRANSLATE(N103, ""en"", ""bn"")"),"চারের বেশি")</f>
        <v>চারের বেশি</v>
      </c>
      <c r="F104" s="4" t="str">
        <f>IFERROR(__xludf.DUMMYFUNCTION("GOOGLETRANSLATE(O103, ""en"", ""bn"")"),"দুইয়ের কম")</f>
        <v>দুইয়ের কম</v>
      </c>
      <c r="G104" s="4" t="str">
        <f>IFERROR(__xludf.DUMMYFUNCTION("GOOGLETRANSLATE(P103, ""en"", ""bn"")"),"দুই")</f>
        <v>দুই</v>
      </c>
      <c r="H104" s="4" t="str">
        <f>IFERROR(__xludf.DUMMYFUNCTION("GOOGLETRANSLATE(Q103, ""en"", ""bn"")"),"ছবি14")</f>
        <v>ছবি14</v>
      </c>
      <c r="I104" s="19"/>
      <c r="J104" s="5" t="str">
        <f>IFERROR(__xludf.DUMMYFUNCTION("GOOGLETRANSLATE(A104, ""bn"", ""en"")"),"103")</f>
        <v>103</v>
      </c>
      <c r="K104" s="6" t="s">
        <v>1372</v>
      </c>
      <c r="L104" s="6" t="s">
        <v>1373</v>
      </c>
      <c r="M104" s="6" t="s">
        <v>1850</v>
      </c>
      <c r="N104" s="6" t="s">
        <v>771</v>
      </c>
      <c r="O104" s="6" t="s">
        <v>1851</v>
      </c>
      <c r="P104" s="6" t="s">
        <v>1850</v>
      </c>
      <c r="Q104" s="6" t="s">
        <v>141</v>
      </c>
    </row>
    <row r="105">
      <c r="A105" s="3">
        <v>104.0</v>
      </c>
      <c r="B105" s="4" t="str">
        <f>IFERROR(__xludf.DUMMYFUNCTION("GOOGLETRANSLATE(K104, ""en"", ""bn"")"),"বাচ্চাদের খেলার বয়স কত?")</f>
        <v>বাচ্চাদের খেলার বয়স কত?</v>
      </c>
      <c r="C105" s="4" t="str">
        <f>IFERROR(__xludf.DUMMYFUNCTION("GOOGLETRANSLATE(L104, ""en"", ""bn"")"),"ছোট বাচ্চারা")</f>
        <v>ছোট বাচ্চারা</v>
      </c>
      <c r="D105" s="4" t="str">
        <f>IFERROR(__xludf.DUMMYFUNCTION("GOOGLETRANSLATE(M104, ""en"", ""bn"")"),"ছোট বাচ্চারা")</f>
        <v>ছোট বাচ্চারা</v>
      </c>
      <c r="E105" s="4" t="str">
        <f>IFERROR(__xludf.DUMMYFUNCTION("GOOGLETRANSLATE(N104, ""en"", ""bn"")"),"কিশোর")</f>
        <v>কিশোর</v>
      </c>
      <c r="F105" s="4" t="str">
        <f>IFERROR(__xludf.DUMMYFUNCTION("GOOGLETRANSLATE(O104, ""en"", ""bn"")"),"প্রাপ্তবয়স্কদের")</f>
        <v>প্রাপ্তবয়স্কদের</v>
      </c>
      <c r="G105" s="4" t="str">
        <f>IFERROR(__xludf.DUMMYFUNCTION("GOOGLETRANSLATE(P104, ""en"", ""bn"")"),"ছোট বাচ্চারা")</f>
        <v>ছোট বাচ্চারা</v>
      </c>
      <c r="H105" s="4" t="str">
        <f>IFERROR(__xludf.DUMMYFUNCTION("GOOGLETRANSLATE(Q104, ""en"", ""bn"")"),"ছবি14")</f>
        <v>ছবি14</v>
      </c>
      <c r="I105" s="19"/>
      <c r="J105" s="5" t="str">
        <f>IFERROR(__xludf.DUMMYFUNCTION("GOOGLETRANSLATE(A105, ""bn"", ""en"")"),"104")</f>
        <v>104</v>
      </c>
      <c r="K105" s="6" t="s">
        <v>1875</v>
      </c>
      <c r="L105" s="6" t="s">
        <v>1854</v>
      </c>
      <c r="M105" s="6" t="s">
        <v>1855</v>
      </c>
      <c r="N105" s="6" t="s">
        <v>1764</v>
      </c>
      <c r="O105" s="6" t="s">
        <v>1762</v>
      </c>
      <c r="P105" s="6" t="s">
        <v>1762</v>
      </c>
      <c r="Q105" s="7" t="s">
        <v>141</v>
      </c>
    </row>
    <row r="106">
      <c r="A106" s="3">
        <v>105.0</v>
      </c>
      <c r="B106" s="4" t="str">
        <f>IFERROR(__xludf.DUMMYFUNCTION("GOOGLETRANSLATE(K105, ""en"", ""bn"")"),"ব্যাকগ্রাউন্ডে ব্যক্তির প্রাথমিক ভূমিকা কী?")</f>
        <v>ব্যাকগ্রাউন্ডে ব্যক্তির প্রাথমিক ভূমিকা কী?</v>
      </c>
      <c r="C106" s="4" t="str">
        <f>IFERROR(__xludf.DUMMYFUNCTION("GOOGLETRANSLATE(L105, ""en"", ""bn"")"),"একজন খেলোয়াড়")</f>
        <v>একজন খেলোয়াড়</v>
      </c>
      <c r="D106" s="4" t="str">
        <f>IFERROR(__xludf.DUMMYFUNCTION("GOOGLETRANSLATE(M105, ""en"", ""bn"")"),"একজন রেফারি")</f>
        <v>একজন রেফারি</v>
      </c>
      <c r="E106" s="4" t="str">
        <f>IFERROR(__xludf.DUMMYFUNCTION("GOOGLETRANSLATE(N105, ""en"", ""bn"")"),"একজন প্রশিক্ষক")</f>
        <v>একজন প্রশিক্ষক</v>
      </c>
      <c r="F106" s="4" t="str">
        <f>IFERROR(__xludf.DUMMYFUNCTION("GOOGLETRANSLATE(O105, ""en"", ""bn"")"),"একজন দর্শক")</f>
        <v>একজন দর্শক</v>
      </c>
      <c r="G106" s="4" t="str">
        <f>IFERROR(__xludf.DUMMYFUNCTION("GOOGLETRANSLATE(P105, ""en"", ""bn"")"),"একজন দর্শক")</f>
        <v>একজন দর্শক</v>
      </c>
      <c r="H106" s="4" t="str">
        <f>IFERROR(__xludf.DUMMYFUNCTION("GOOGLETRANSLATE(Q105, ""en"", ""bn"")"),"ছবি14")</f>
        <v>ছবি14</v>
      </c>
      <c r="I106" s="19"/>
      <c r="J106" s="5" t="str">
        <f>IFERROR(__xludf.DUMMYFUNCTION("GOOGLETRANSLATE(A106, ""bn"", ""en"")"),"105")</f>
        <v>105</v>
      </c>
      <c r="K106" s="6" t="s">
        <v>1876</v>
      </c>
      <c r="L106" s="6" t="s">
        <v>1590</v>
      </c>
      <c r="M106" s="6" t="s">
        <v>1591</v>
      </c>
      <c r="N106" s="6" t="s">
        <v>1877</v>
      </c>
      <c r="O106" s="6" t="s">
        <v>1801</v>
      </c>
      <c r="P106" s="6" t="s">
        <v>1877</v>
      </c>
      <c r="Q106" s="6" t="s">
        <v>141</v>
      </c>
    </row>
    <row r="107">
      <c r="A107" s="3">
        <v>106.0</v>
      </c>
      <c r="B107" s="4" t="str">
        <f>IFERROR(__xludf.DUMMYFUNCTION("GOOGLETRANSLATE(K106, ""en"", ""bn"")"),"খেলার প্রকৃতি কি খেলা হচ্ছে?")</f>
        <v>খেলার প্রকৃতি কি খেলা হচ্ছে?</v>
      </c>
      <c r="C107" s="4" t="str">
        <f>IFERROR(__xludf.DUMMYFUNCTION("GOOGLETRANSLATE(L106, ""en"", ""bn"")"),"একটি পেশাদার ম্যাচ")</f>
        <v>একটি পেশাদার ম্যাচ</v>
      </c>
      <c r="D107" s="4" t="str">
        <f>IFERROR(__xludf.DUMMYFUNCTION("GOOGLETRANSLATE(M106, ""en"", ""bn"")"),"একটি স্কুল টুর্নামেন্ট")</f>
        <v>একটি স্কুল টুর্নামেন্ট</v>
      </c>
      <c r="E107" s="4" t="str">
        <f>IFERROR(__xludf.DUMMYFUNCTION("GOOGLETRANSLATE(N106, ""en"", ""bn"")"),"একটি নৈমিত্তিক, অনানুষ্ঠানিক খেলা")</f>
        <v>একটি নৈমিত্তিক, অনানুষ্ঠানিক খেলা</v>
      </c>
      <c r="F107" s="4" t="str">
        <f>IFERROR(__xludf.DUMMYFUNCTION("GOOGLETRANSLATE(O106, ""en"", ""bn"")"),"একটি অনুশীলন সেশন")</f>
        <v>একটি অনুশীলন সেশন</v>
      </c>
      <c r="G107" s="4" t="str">
        <f>IFERROR(__xludf.DUMMYFUNCTION("GOOGLETRANSLATE(P106, ""en"", ""bn"")"),"একটি নৈমিত্তিক, অনানুষ্ঠানিক খেলা")</f>
        <v>একটি নৈমিত্তিক, অনানুষ্ঠানিক খেলা</v>
      </c>
      <c r="H107" s="4" t="str">
        <f>IFERROR(__xludf.DUMMYFUNCTION("GOOGLETRANSLATE(Q106, ""en"", ""bn"")"),"ছবি14")</f>
        <v>ছবি14</v>
      </c>
      <c r="I107" s="19"/>
      <c r="J107" s="5" t="str">
        <f>IFERROR(__xludf.DUMMYFUNCTION("GOOGLETRANSLATE(A107, ""bn"", ""en"")"),"106")</f>
        <v>106</v>
      </c>
      <c r="K107" s="6" t="s">
        <v>1878</v>
      </c>
      <c r="L107" s="6" t="s">
        <v>1879</v>
      </c>
      <c r="M107" s="6" t="s">
        <v>1880</v>
      </c>
      <c r="N107" s="6" t="s">
        <v>1881</v>
      </c>
      <c r="O107" s="6" t="s">
        <v>1882</v>
      </c>
      <c r="P107" s="6" t="s">
        <v>1879</v>
      </c>
      <c r="Q107" s="7" t="s">
        <v>178</v>
      </c>
    </row>
    <row r="108">
      <c r="A108" s="3">
        <v>107.0</v>
      </c>
      <c r="B108" s="4" t="str">
        <f>IFERROR(__xludf.DUMMYFUNCTION("GOOGLETRANSLATE(K107, ""en"", ""bn"")"),"অংশগ্রহণকারীদের পোশাক সম্পর্কে কী অনুমান করা যেতে পারে?")</f>
        <v>অংশগ্রহণকারীদের পোশাক সম্পর্কে কী অনুমান করা যেতে পারে?</v>
      </c>
      <c r="C108" s="4" t="str">
        <f>IFERROR(__xludf.DUMMYFUNCTION("GOOGLETRANSLATE(L107, ""en"", ""bn"")"),"তারা ইউনিফর্ম পরা")</f>
        <v>তারা ইউনিফর্ম পরা</v>
      </c>
      <c r="D108" s="4" t="str">
        <f>IFERROR(__xludf.DUMMYFUNCTION("GOOGLETRANSLATE(M107, ""en"", ""bn"")"),"তারা সাধারণ পোশাক পরে আছে।")</f>
        <v>তারা সাধারণ পোশাক পরে আছে।</v>
      </c>
      <c r="E108" s="4" t="str">
        <f>IFERROR(__xludf.DUMMYFUNCTION("GOOGLETRANSLATE(N107, ""en"", ""bn"")"),"তাদের পরনে ঐতিহ্যবাহী পোশাক")</f>
        <v>তাদের পরনে ঐতিহ্যবাহী পোশাক</v>
      </c>
      <c r="F108" s="4" t="str">
        <f>IFERROR(__xludf.DUMMYFUNCTION("GOOGLETRANSLATE(O107, ""en"", ""bn"")"),"তারা স্যুট পরে আছে।")</f>
        <v>তারা স্যুট পরে আছে।</v>
      </c>
      <c r="G108" s="4" t="str">
        <f>IFERROR(__xludf.DUMMYFUNCTION("GOOGLETRANSLATE(P107, ""en"", ""bn"")"),"তারা ইউনিফর্ম পরা")</f>
        <v>তারা ইউনিফর্ম পরা</v>
      </c>
      <c r="H108" s="4" t="str">
        <f>IFERROR(__xludf.DUMMYFUNCTION("GOOGLETRANSLATE(Q107, ""en"", ""bn"")"),"ছবি২২")</f>
        <v>ছবি২২</v>
      </c>
      <c r="I108" s="19"/>
      <c r="J108" s="5" t="str">
        <f>IFERROR(__xludf.DUMMYFUNCTION("GOOGLETRANSLATE(A108, ""bn"", ""en"")"),"107")</f>
        <v>107</v>
      </c>
      <c r="K108" s="6" t="s">
        <v>1883</v>
      </c>
      <c r="L108" s="6" t="s">
        <v>830</v>
      </c>
      <c r="M108" s="6" t="s">
        <v>771</v>
      </c>
      <c r="N108" s="6" t="s">
        <v>1851</v>
      </c>
      <c r="O108" s="6" t="s">
        <v>1852</v>
      </c>
      <c r="P108" s="6" t="s">
        <v>1851</v>
      </c>
      <c r="Q108" s="7" t="s">
        <v>178</v>
      </c>
    </row>
    <row r="109">
      <c r="A109" s="3">
        <v>108.0</v>
      </c>
      <c r="B109" s="4" t="str">
        <f>IFERROR(__xludf.DUMMYFUNCTION("GOOGLETRANSLATE(K108, ""en"", ""bn"")"),"অগ্রভাগে দৃশ্যমান খেলোয়াড়দের বয়স কত?")</f>
        <v>অগ্রভাগে দৃশ্যমান খেলোয়াড়দের বয়স কত?</v>
      </c>
      <c r="C109" s="4" t="str">
        <f>IFERROR(__xludf.DUMMYFUNCTION("GOOGLETRANSLATE(L108, ""en"", ""bn"")"),"শিশুরা")</f>
        <v>শিশুরা</v>
      </c>
      <c r="D109" s="4" t="str">
        <f>IFERROR(__xludf.DUMMYFUNCTION("GOOGLETRANSLATE(M108, ""en"", ""bn"")"),"কিশোর")</f>
        <v>কিশোর</v>
      </c>
      <c r="E109" s="4" t="str">
        <f>IFERROR(__xludf.DUMMYFUNCTION("GOOGLETRANSLATE(N108, ""en"", ""bn"")"),"প্রাপ্তবয়স্কদের")</f>
        <v>প্রাপ্তবয়স্কদের</v>
      </c>
      <c r="F109" s="4" t="str">
        <f>IFERROR(__xludf.DUMMYFUNCTION("GOOGLETRANSLATE(O108, ""en"", ""bn"")"),"মিশ্র বয়স")</f>
        <v>মিশ্র বয়স</v>
      </c>
      <c r="G109" s="4" t="str">
        <f>IFERROR(__xludf.DUMMYFUNCTION("GOOGLETRANSLATE(P108, ""en"", ""bn"")"),"প্রাপ্তবয়স্কদের")</f>
        <v>প্রাপ্তবয়স্কদের</v>
      </c>
      <c r="H109" s="4" t="str">
        <f>IFERROR(__xludf.DUMMYFUNCTION("GOOGLETRANSLATE(Q108, ""en"", ""bn"")"),"ছবি২২")</f>
        <v>ছবি২২</v>
      </c>
      <c r="I109" s="19"/>
      <c r="J109" s="5" t="str">
        <f>IFERROR(__xludf.DUMMYFUNCTION("GOOGLETRANSLATE(A109, ""bn"", ""en"")"),"108")</f>
        <v>108</v>
      </c>
      <c r="K109" s="6" t="s">
        <v>1884</v>
      </c>
      <c r="L109" s="6" t="s">
        <v>1780</v>
      </c>
      <c r="M109" s="6" t="s">
        <v>1782</v>
      </c>
      <c r="N109" s="6" t="s">
        <v>1781</v>
      </c>
      <c r="O109" s="6" t="s">
        <v>1783</v>
      </c>
      <c r="P109" s="6" t="s">
        <v>1782</v>
      </c>
      <c r="Q109" s="7" t="s">
        <v>178</v>
      </c>
    </row>
    <row r="110">
      <c r="A110" s="3">
        <v>109.0</v>
      </c>
      <c r="B110" s="4" t="str">
        <f>IFERROR(__xludf.DUMMYFUNCTION("GOOGLETRANSLATE(K109, ""en"", ""bn"")"),"নেপথ্যে মানুষের প্রাথমিক ভূমিকা কী?")</f>
        <v>নেপথ্যে মানুষের প্রাথমিক ভূমিকা কী?</v>
      </c>
      <c r="C110" s="4" t="str">
        <f>IFERROR(__xludf.DUMMYFUNCTION("GOOGLETRANSLATE(L109, ""en"", ""bn"")"),"প্রতিযোগী")</f>
        <v>প্রতিযোগী</v>
      </c>
      <c r="D110" s="4" t="str">
        <f>IFERROR(__xludf.DUMMYFUNCTION("GOOGLETRANSLATE(M109, ""en"", ""bn"")"),"দর্শকরা")</f>
        <v>দর্শকরা</v>
      </c>
      <c r="E110" s="4" t="str">
        <f>IFERROR(__xludf.DUMMYFUNCTION("GOOGLETRANSLATE(N109, ""en"", ""bn"")"),"রেফারি")</f>
        <v>রেফারি</v>
      </c>
      <c r="F110" s="4" t="str">
        <f>IFERROR(__xludf.DUMMYFUNCTION("GOOGLETRANSLATE(O109, ""en"", ""bn"")"),"প্রশিক্ষক")</f>
        <v>প্রশিক্ষক</v>
      </c>
      <c r="G110" s="4" t="str">
        <f>IFERROR(__xludf.DUMMYFUNCTION("GOOGLETRANSLATE(P109, ""en"", ""bn"")"),"দর্শকরা")</f>
        <v>দর্শকরা</v>
      </c>
      <c r="H110" s="4" t="str">
        <f>IFERROR(__xludf.DUMMYFUNCTION("GOOGLETRANSLATE(Q109, ""en"", ""bn"")"),"ছবি২২")</f>
        <v>ছবি২২</v>
      </c>
      <c r="I110" s="19"/>
      <c r="J110" s="5" t="str">
        <f>IFERROR(__xludf.DUMMYFUNCTION("GOOGLETRANSLATE(A110, ""bn"", ""en"")"),"109")</f>
        <v>109</v>
      </c>
      <c r="K110" s="6" t="s">
        <v>1885</v>
      </c>
      <c r="L110" s="6" t="s">
        <v>1886</v>
      </c>
      <c r="M110" s="6" t="s">
        <v>1821</v>
      </c>
      <c r="N110" s="6" t="s">
        <v>1887</v>
      </c>
      <c r="O110" s="6" t="s">
        <v>252</v>
      </c>
      <c r="P110" s="6" t="s">
        <v>1887</v>
      </c>
      <c r="Q110" s="7" t="s">
        <v>178</v>
      </c>
      <c r="R110" s="17"/>
    </row>
    <row r="111">
      <c r="A111" s="3">
        <v>110.0</v>
      </c>
      <c r="B111" s="4" t="str">
        <f>IFERROR(__xludf.DUMMYFUNCTION("GOOGLETRANSLATE(K110, ""en"", ""bn"")"),"সামনের মাঠে খেলোয়াড়দের মেজাজ কেমন?")</f>
        <v>সামনের মাঠে খেলোয়াড়দের মেজাজ কেমন?</v>
      </c>
      <c r="C111" s="4" t="str">
        <f>IFERROR(__xludf.DUMMYFUNCTION("GOOGLETRANSLATE(L110, ""en"", ""bn"")"),"রিলাক্সড")</f>
        <v>রিলাক্সড</v>
      </c>
      <c r="D111" s="4" t="str">
        <f>IFERROR(__xludf.DUMMYFUNCTION("GOOGLETRANSLATE(M110, ""en"", ""bn"")"),"কৌতুকপূর্ণ")</f>
        <v>কৌতুকপূর্ণ</v>
      </c>
      <c r="E111" s="4" t="str">
        <f>IFERROR(__xludf.DUMMYFUNCTION("GOOGLETRANSLATE(N110, ""en"", ""bn"")"),"মনোযোগী এবং প্রস্তুত")</f>
        <v>মনোযোগী এবং প্রস্তুত</v>
      </c>
      <c r="F111" s="4" t="str">
        <f>IFERROR(__xludf.DUMMYFUNCTION("GOOGLETRANSLATE(O110, ""en"", ""bn"")"),"আগ্রহহীন")</f>
        <v>আগ্রহহীন</v>
      </c>
      <c r="G111" s="4" t="str">
        <f>IFERROR(__xludf.DUMMYFUNCTION("GOOGLETRANSLATE(P110, ""en"", ""bn"")"),"মনোযোগী এবং প্রস্তুত")</f>
        <v>মনোযোগী এবং প্রস্তুত</v>
      </c>
      <c r="H111" s="4" t="str">
        <f>IFERROR(__xludf.DUMMYFUNCTION("GOOGLETRANSLATE(Q110, ""en"", ""bn"")"),"ছবি২২")</f>
        <v>ছবি২২</v>
      </c>
      <c r="I111" s="19"/>
      <c r="J111" s="5" t="str">
        <f>IFERROR(__xludf.DUMMYFUNCTION("GOOGLETRANSLATE(A111, ""bn"", ""en"")"),"110")</f>
        <v>110</v>
      </c>
      <c r="K111" s="6" t="s">
        <v>1741</v>
      </c>
      <c r="L111" s="6" t="s">
        <v>1475</v>
      </c>
      <c r="M111" s="6" t="s">
        <v>1742</v>
      </c>
      <c r="N111" s="6" t="s">
        <v>1381</v>
      </c>
      <c r="O111" s="6" t="s">
        <v>1743</v>
      </c>
      <c r="P111" s="6" t="s">
        <v>1742</v>
      </c>
      <c r="Q111" s="7" t="s">
        <v>178</v>
      </c>
    </row>
    <row r="112">
      <c r="A112" s="3">
        <v>111.0</v>
      </c>
      <c r="B112" s="4" t="str">
        <f>IFERROR(__xludf.DUMMYFUNCTION("GOOGLETRANSLATE(K111, ""en"", ""bn"")"),"ঐতিহ্যবাহী এই খেলায় খেলার প্রাথমিক পদ্ধতি কী?")</f>
        <v>ঐতিহ্যবাহী এই খেলায় খেলার প্রাথমিক পদ্ধতি কী?</v>
      </c>
      <c r="C112" s="4" t="str">
        <f>IFERROR(__xludf.DUMMYFUNCTION("GOOGLETRANSLATE(L111, ""en"", ""bn"")"),"একটি বল নিক্ষেপ")</f>
        <v>একটি বল নিক্ষেপ</v>
      </c>
      <c r="D112" s="4" t="str">
        <f>IFERROR(__xludf.DUMMYFUNCTION("GOOGLETRANSLATE(M111, ""en"", ""bn"")"),"তাড়া করা এবং ট্যাগ করা")</f>
        <v>তাড়া করা এবং ট্যাগ করা</v>
      </c>
      <c r="E112" s="4" t="str">
        <f>IFERROR(__xludf.DUMMYFUNCTION("GOOGLETRANSLATE(N111, ""en"", ""bn"")"),"একটি বল কিকিং")</f>
        <v>একটি বল কিকিং</v>
      </c>
      <c r="F112" s="4" t="str">
        <f>IFERROR(__xludf.DUMMYFUNCTION("GOOGLETRANSLATE(O111, ""en"", ""bn"")"),"লাঠি দিয়ে আঘাত করা")</f>
        <v>লাঠি দিয়ে আঘাত করা</v>
      </c>
      <c r="G112" s="4" t="str">
        <f>IFERROR(__xludf.DUMMYFUNCTION("GOOGLETRANSLATE(P111, ""en"", ""bn"")"),"তাড়া করা এবং ট্যাগ করা")</f>
        <v>তাড়া করা এবং ট্যাগ করা</v>
      </c>
      <c r="H112" s="4" t="str">
        <f>IFERROR(__xludf.DUMMYFUNCTION("GOOGLETRANSLATE(Q111, ""en"", ""bn"")"),"ছবি২২")</f>
        <v>ছবি২২</v>
      </c>
      <c r="I112" s="19"/>
      <c r="J112" s="5" t="str">
        <f>IFERROR(__xludf.DUMMYFUNCTION("GOOGLETRANSLATE(A112, ""bn"", ""en"")"),"111")</f>
        <v>111</v>
      </c>
      <c r="K112" s="6" t="s">
        <v>1870</v>
      </c>
      <c r="L112" s="6" t="s">
        <v>958</v>
      </c>
      <c r="M112" s="6" t="s">
        <v>1846</v>
      </c>
      <c r="N112" s="6" t="s">
        <v>1888</v>
      </c>
      <c r="O112" s="6" t="s">
        <v>1848</v>
      </c>
      <c r="P112" s="6" t="s">
        <v>1888</v>
      </c>
      <c r="Q112" s="7" t="s">
        <v>158</v>
      </c>
    </row>
    <row r="113">
      <c r="A113" s="3">
        <v>112.0</v>
      </c>
      <c r="B113" s="4" t="str">
        <f>IFERROR(__xludf.DUMMYFUNCTION("GOOGLETRANSLATE(K112, ""en"", ""bn"")"),"খেলার মাঠ সম্পর্কে কি অনুমান করা যেতে পারে?")</f>
        <v>খেলার মাঠ সম্পর্কে কি অনুমান করা যেতে পারে?</v>
      </c>
      <c r="C113" s="4" t="str">
        <f>IFERROR(__xludf.DUMMYFUNCTION("GOOGLETRANSLATE(L112, ""en"", ""bn"")"),"এটি একটি পাকা রাস্তা।")</f>
        <v>এটি একটি পাকা রাস্তা।</v>
      </c>
      <c r="D113" s="4" t="str">
        <f>IFERROR(__xludf.DUMMYFUNCTION("GOOGLETRANSLATE(M112, ""en"", ""bn"")"),"এটি একটি ঘাসের মাঠ")</f>
        <v>এটি একটি ঘাসের মাঠ</v>
      </c>
      <c r="E113" s="4" t="str">
        <f>IFERROR(__xludf.DUMMYFUNCTION("GOOGLETRANSLATE(N112, ""en"", ""bn"")"),"এটি একটি মাটির মাঠ।")</f>
        <v>এটি একটি মাটির মাঠ।</v>
      </c>
      <c r="F113" s="4" t="str">
        <f>IFERROR(__xludf.DUMMYFUNCTION("GOOGLETRANSLATE(O112, ""en"", ""bn"")"),"এটি একটি ইনডোর কোর্ট")</f>
        <v>এটি একটি ইনডোর কোর্ট</v>
      </c>
      <c r="G113" s="4" t="str">
        <f>IFERROR(__xludf.DUMMYFUNCTION("GOOGLETRANSLATE(P112, ""en"", ""bn"")"),"এটি একটি মাটির মাঠ।")</f>
        <v>এটি একটি মাটির মাঠ।</v>
      </c>
      <c r="H113" s="4" t="str">
        <f>IFERROR(__xludf.DUMMYFUNCTION("GOOGLETRANSLATE(Q112, ""en"", ""bn"")"),"ছবি১৭")</f>
        <v>ছবি১৭</v>
      </c>
      <c r="I113" s="19"/>
      <c r="J113" s="5" t="str">
        <f>IFERROR(__xludf.DUMMYFUNCTION("GOOGLETRANSLATE(A113, ""bn"", ""en"")"),"112")</f>
        <v>112</v>
      </c>
      <c r="K113" s="6" t="s">
        <v>1766</v>
      </c>
      <c r="L113" s="6" t="s">
        <v>1770</v>
      </c>
      <c r="M113" s="6" t="s">
        <v>1768</v>
      </c>
      <c r="N113" s="6" t="s">
        <v>1769</v>
      </c>
      <c r="O113" s="6" t="s">
        <v>1767</v>
      </c>
      <c r="P113" s="6" t="s">
        <v>1769</v>
      </c>
      <c r="Q113" s="7" t="s">
        <v>158</v>
      </c>
    </row>
    <row r="114">
      <c r="A114" s="3">
        <v>113.0</v>
      </c>
      <c r="B114" s="4" t="str">
        <f>IFERROR(__xludf.DUMMYFUNCTION("GOOGLETRANSLATE(K113, ""en"", ""bn"")"),"দিনের খেলাটি খেলার সময় সম্পর্কে কী অনুমান করা যায়?")</f>
        <v>দিনের খেলাটি খেলার সময় সম্পর্কে কী অনুমান করা যায়?</v>
      </c>
      <c r="C114" s="4" t="str">
        <f>IFERROR(__xludf.DUMMYFUNCTION("GOOGLETRANSLATE(L113, ""en"", ""bn"")"),"দুপুরে")</f>
        <v>দুপুরে</v>
      </c>
      <c r="D114" s="4" t="str">
        <f>IFERROR(__xludf.DUMMYFUNCTION("GOOGLETRANSLATE(M113, ""en"", ""bn"")"),"রাতে")</f>
        <v>রাতে</v>
      </c>
      <c r="E114" s="4" t="str">
        <f>IFERROR(__xludf.DUMMYFUNCTION("GOOGLETRANSLATE(N113, ""en"", ""bn"")"),"সন্ধ্যায়")</f>
        <v>সন্ধ্যায়</v>
      </c>
      <c r="F114" s="4" t="str">
        <f>IFERROR(__xludf.DUMMYFUNCTION("GOOGLETRANSLATE(O113, ""en"", ""bn"")"),"সকালে")</f>
        <v>সকালে</v>
      </c>
      <c r="G114" s="4" t="str">
        <f>IFERROR(__xludf.DUMMYFUNCTION("GOOGLETRANSLATE(P113, ""en"", ""bn"")"),"সন্ধ্যায়")</f>
        <v>সন্ধ্যায়</v>
      </c>
      <c r="H114" s="4" t="str">
        <f>IFERROR(__xludf.DUMMYFUNCTION("GOOGLETRANSLATE(Q113, ""en"", ""bn"")"),"ছবি১৭")</f>
        <v>ছবি১৭</v>
      </c>
      <c r="I114" s="19"/>
      <c r="J114" s="5" t="str">
        <f>IFERROR(__xludf.DUMMYFUNCTION("GOOGLETRANSLATE(A114, ""bn"", ""en"")"),"113")</f>
        <v>113</v>
      </c>
      <c r="K114" s="6" t="s">
        <v>1889</v>
      </c>
      <c r="L114" s="6" t="s">
        <v>370</v>
      </c>
      <c r="M114" s="6" t="s">
        <v>1890</v>
      </c>
      <c r="N114" s="6" t="s">
        <v>1738</v>
      </c>
      <c r="O114" s="6" t="s">
        <v>1740</v>
      </c>
      <c r="P114" s="6" t="s">
        <v>370</v>
      </c>
      <c r="Q114" s="7" t="s">
        <v>158</v>
      </c>
      <c r="R114" s="17"/>
    </row>
    <row r="115">
      <c r="A115" s="3">
        <v>114.0</v>
      </c>
      <c r="B115" s="4" t="str">
        <f>IFERROR(__xludf.DUMMYFUNCTION("GOOGLETRANSLATE(K114, ""en"", ""bn"")"),"কোর্টে খেলোয়াড়েরা কী পরছেন?")</f>
        <v>কোর্টে খেলোয়াড়েরা কী পরছেন?</v>
      </c>
      <c r="C115" s="4" t="str">
        <f>IFERROR(__xludf.DUMMYFUNCTION("GOOGLETRANSLATE(L114, ""en"", ""bn"")"),"ইউনিফর্ম")</f>
        <v>ইউনিফর্ম</v>
      </c>
      <c r="D115" s="4" t="str">
        <f>IFERROR(__xludf.DUMMYFUNCTION("GOOGLETRANSLATE(M114, ""en"", ""bn"")"),"নৈমিত্তিক পোশাক")</f>
        <v>নৈমিত্তিক পোশাক</v>
      </c>
      <c r="E115" s="4" t="str">
        <f>IFERROR(__xludf.DUMMYFUNCTION("GOOGLETRANSLATE(N114, ""en"", ""bn"")"),"আনুষ্ঠানিক পরিধান")</f>
        <v>আনুষ্ঠানিক পরিধান</v>
      </c>
      <c r="F115" s="4" t="str">
        <f>IFERROR(__xludf.DUMMYFUNCTION("GOOGLETRANSLATE(O114, ""en"", ""bn"")"),"ঐতিহ্যবাহী পোশাক")</f>
        <v>ঐতিহ্যবাহী পোশাক</v>
      </c>
      <c r="G115" s="4" t="str">
        <f>IFERROR(__xludf.DUMMYFUNCTION("GOOGLETRANSLATE(P114, ""en"", ""bn"")"),"ইউনিফর্ম")</f>
        <v>ইউনিফর্ম</v>
      </c>
      <c r="H115" s="4" t="str">
        <f>IFERROR(__xludf.DUMMYFUNCTION("GOOGLETRANSLATE(Q114, ""en"", ""bn"")"),"ছবি১৭")</f>
        <v>ছবি১৭</v>
      </c>
      <c r="I115" s="19"/>
      <c r="J115" s="5" t="str">
        <f>IFERROR(__xludf.DUMMYFUNCTION("GOOGLETRANSLATE(A115, ""bn"", ""en"")"),"114")</f>
        <v>114</v>
      </c>
      <c r="K115" s="6" t="s">
        <v>1884</v>
      </c>
      <c r="L115" s="6" t="s">
        <v>1780</v>
      </c>
      <c r="M115" s="6" t="s">
        <v>1782</v>
      </c>
      <c r="N115" s="6" t="s">
        <v>1781</v>
      </c>
      <c r="O115" s="6" t="s">
        <v>1783</v>
      </c>
      <c r="P115" s="6" t="s">
        <v>1782</v>
      </c>
      <c r="Q115" s="7" t="s">
        <v>158</v>
      </c>
    </row>
    <row r="116">
      <c r="A116" s="3">
        <v>115.0</v>
      </c>
      <c r="B116" s="4" t="str">
        <f>IFERROR(__xludf.DUMMYFUNCTION("GOOGLETRANSLATE(K115, ""en"", ""bn"")"),"নেপথ্যে মানুষের প্রাথমিক ভূমিকা কী?")</f>
        <v>নেপথ্যে মানুষের প্রাথমিক ভূমিকা কী?</v>
      </c>
      <c r="C116" s="4" t="str">
        <f>IFERROR(__xludf.DUMMYFUNCTION("GOOGLETRANSLATE(L115, ""en"", ""bn"")"),"প্রতিযোগী")</f>
        <v>প্রতিযোগী</v>
      </c>
      <c r="D116" s="4" t="str">
        <f>IFERROR(__xludf.DUMMYFUNCTION("GOOGLETRANSLATE(M115, ""en"", ""bn"")"),"দর্শকরা")</f>
        <v>দর্শকরা</v>
      </c>
      <c r="E116" s="4" t="str">
        <f>IFERROR(__xludf.DUMMYFUNCTION("GOOGLETRANSLATE(N115, ""en"", ""bn"")"),"রেফারি")</f>
        <v>রেফারি</v>
      </c>
      <c r="F116" s="4" t="str">
        <f>IFERROR(__xludf.DUMMYFUNCTION("GOOGLETRANSLATE(O115, ""en"", ""bn"")"),"প্রশিক্ষক")</f>
        <v>প্রশিক্ষক</v>
      </c>
      <c r="G116" s="4" t="str">
        <f>IFERROR(__xludf.DUMMYFUNCTION("GOOGLETRANSLATE(P115, ""en"", ""bn"")"),"দর্শকরা")</f>
        <v>দর্শকরা</v>
      </c>
      <c r="H116" s="4" t="str">
        <f>IFERROR(__xludf.DUMMYFUNCTION("GOOGLETRANSLATE(Q115, ""en"", ""bn"")"),"ছবি১৭")</f>
        <v>ছবি১৭</v>
      </c>
      <c r="I116" s="19"/>
      <c r="J116" s="5" t="str">
        <f>IFERROR(__xludf.DUMMYFUNCTION("GOOGLETRANSLATE(A116, ""bn"", ""en"")"),"115")</f>
        <v>115</v>
      </c>
      <c r="K116" s="6" t="s">
        <v>1793</v>
      </c>
      <c r="L116" s="6" t="s">
        <v>1413</v>
      </c>
      <c r="M116" s="6" t="s">
        <v>1794</v>
      </c>
      <c r="N116" s="6" t="s">
        <v>1891</v>
      </c>
      <c r="O116" s="6" t="s">
        <v>1796</v>
      </c>
      <c r="P116" s="6" t="s">
        <v>1891</v>
      </c>
      <c r="Q116" s="7" t="s">
        <v>158</v>
      </c>
    </row>
    <row r="117">
      <c r="A117" s="3">
        <v>116.0</v>
      </c>
      <c r="B117" s="4" t="str">
        <f>IFERROR(__xludf.DUMMYFUNCTION("GOOGLETRANSLATE(K116, ""en"", ""bn"")"),"কোর্টে দৃশ্যমান খেলোয়াড়ের সংখ্যা কত?")</f>
        <v>কোর্টে দৃশ্যমান খেলোয়াড়ের সংখ্যা কত?</v>
      </c>
      <c r="C117" s="4" t="str">
        <f>IFERROR(__xludf.DUMMYFUNCTION("GOOGLETRANSLATE(L116, ""en"", ""bn"")"),"চার")</f>
        <v>চার</v>
      </c>
      <c r="D117" s="4" t="str">
        <f>IFERROR(__xludf.DUMMYFUNCTION("GOOGLETRANSLATE(M116, ""en"", ""bn"")"),"ছয়")</f>
        <v>ছয়</v>
      </c>
      <c r="E117" s="4" t="str">
        <f>IFERROR(__xludf.DUMMYFUNCTION("GOOGLETRANSLATE(N116, ""en"", ""bn"")"),"আট")</f>
        <v>আট</v>
      </c>
      <c r="F117" s="4" t="str">
        <f>IFERROR(__xludf.DUMMYFUNCTION("GOOGLETRANSLATE(O116, ""en"", ""bn"")"),"দশের বেশি")</f>
        <v>দশের বেশি</v>
      </c>
      <c r="G117" s="4" t="str">
        <f>IFERROR(__xludf.DUMMYFUNCTION("GOOGLETRANSLATE(P116, ""en"", ""bn"")"),"আট")</f>
        <v>আট</v>
      </c>
      <c r="H117" s="4" t="str">
        <f>IFERROR(__xludf.DUMMYFUNCTION("GOOGLETRANSLATE(Q116, ""en"", ""bn"")"),"ছবি১৭")</f>
        <v>ছবি১৭</v>
      </c>
      <c r="I117" s="19"/>
      <c r="J117" s="5" t="str">
        <f>IFERROR(__xludf.DUMMYFUNCTION("GOOGLETRANSLATE(A117, ""bn"", ""en"")"),"116")</f>
        <v>116</v>
      </c>
      <c r="K117" s="6" t="s">
        <v>1870</v>
      </c>
      <c r="L117" s="6" t="s">
        <v>958</v>
      </c>
      <c r="M117" s="6" t="s">
        <v>1892</v>
      </c>
      <c r="N117" s="6" t="s">
        <v>1893</v>
      </c>
      <c r="O117" s="6" t="s">
        <v>1894</v>
      </c>
      <c r="P117" s="6" t="s">
        <v>1892</v>
      </c>
      <c r="Q117" s="7" t="s">
        <v>608</v>
      </c>
    </row>
    <row r="118">
      <c r="A118" s="3">
        <v>117.0</v>
      </c>
      <c r="B118" s="4" t="str">
        <f>IFERROR(__xludf.DUMMYFUNCTION("GOOGLETRANSLATE(K117, ""en"", ""bn"")"),"খেলার মাঠ সম্পর্কে কি অনুমান করা যেতে পারে?")</f>
        <v>খেলার মাঠ সম্পর্কে কি অনুমান করা যেতে পারে?</v>
      </c>
      <c r="C118" s="4" t="str">
        <f>IFERROR(__xludf.DUMMYFUNCTION("GOOGLETRANSLATE(L117, ""en"", ""bn"")"),"এটি একটি পাকা রাস্তা।")</f>
        <v>এটি একটি পাকা রাস্তা।</v>
      </c>
      <c r="D118" s="4" t="str">
        <f>IFERROR(__xludf.DUMMYFUNCTION("GOOGLETRANSLATE(M117, ""en"", ""bn"")"),"এটি কিছু কর্দমাক্ত এলাকা সহ একটি ঘাসের মাঠ")</f>
        <v>এটি কিছু কর্দমাক্ত এলাকা সহ একটি ঘাসের মাঠ</v>
      </c>
      <c r="E118" s="4" t="str">
        <f>IFERROR(__xludf.DUMMYFUNCTION("GOOGLETRANSLATE(N117, ""en"", ""bn"")"),"এটি একটি কংক্রিট আদালত")</f>
        <v>এটি একটি কংক্রিট আদালত</v>
      </c>
      <c r="F118" s="4" t="str">
        <f>IFERROR(__xludf.DUMMYFUNCTION("GOOGLETRANSLATE(O117, ""en"", ""bn"")"),"এটি একটি বালুকাময় সৈকত")</f>
        <v>এটি একটি বালুকাময় সৈকত</v>
      </c>
      <c r="G118" s="4" t="str">
        <f>IFERROR(__xludf.DUMMYFUNCTION("GOOGLETRANSLATE(P117, ""en"", ""bn"")"),"এটি কিছু কর্দমাক্ত এলাকা সহ একটি ঘাসের মাঠ")</f>
        <v>এটি কিছু কর্দমাক্ত এলাকা সহ একটি ঘাসের মাঠ</v>
      </c>
      <c r="H118" s="4" t="str">
        <f>IFERROR(__xludf.DUMMYFUNCTION("GOOGLETRANSLATE(Q117, ""en"", ""bn"")"),"ছবি15")</f>
        <v>ছবি15</v>
      </c>
      <c r="I118" s="19"/>
      <c r="J118" s="5" t="str">
        <f>IFERROR(__xludf.DUMMYFUNCTION("GOOGLETRANSLATE(A118, ""bn"", ""en"")"),"117")</f>
        <v>117</v>
      </c>
      <c r="K118" s="6" t="s">
        <v>1793</v>
      </c>
      <c r="L118" s="6" t="s">
        <v>1413</v>
      </c>
      <c r="M118" s="6" t="s">
        <v>1794</v>
      </c>
      <c r="N118" s="6" t="s">
        <v>1891</v>
      </c>
      <c r="O118" s="6" t="s">
        <v>1796</v>
      </c>
      <c r="P118" s="6" t="s">
        <v>1891</v>
      </c>
      <c r="Q118" s="6" t="s">
        <v>608</v>
      </c>
    </row>
    <row r="119">
      <c r="A119" s="3">
        <v>118.0</v>
      </c>
      <c r="B119" s="4" t="str">
        <f>IFERROR(__xludf.DUMMYFUNCTION("GOOGLETRANSLATE(K118, ""en"", ""bn"")"),"কোর্টে দৃশ্যমান খেলোয়াড়ের সংখ্যা কত?")</f>
        <v>কোর্টে দৃশ্যমান খেলোয়াড়ের সংখ্যা কত?</v>
      </c>
      <c r="C119" s="4" t="str">
        <f>IFERROR(__xludf.DUMMYFUNCTION("GOOGLETRANSLATE(L118, ""en"", ""bn"")"),"চার")</f>
        <v>চার</v>
      </c>
      <c r="D119" s="4" t="str">
        <f>IFERROR(__xludf.DUMMYFUNCTION("GOOGLETRANSLATE(M118, ""en"", ""bn"")"),"ছয়")</f>
        <v>ছয়</v>
      </c>
      <c r="E119" s="4" t="str">
        <f>IFERROR(__xludf.DUMMYFUNCTION("GOOGLETRANSLATE(N118, ""en"", ""bn"")"),"আট")</f>
        <v>আট</v>
      </c>
      <c r="F119" s="4" t="str">
        <f>IFERROR(__xludf.DUMMYFUNCTION("GOOGLETRANSLATE(O118, ""en"", ""bn"")"),"দশের বেশি")</f>
        <v>দশের বেশি</v>
      </c>
      <c r="G119" s="4" t="str">
        <f>IFERROR(__xludf.DUMMYFUNCTION("GOOGLETRANSLATE(P118, ""en"", ""bn"")"),"আট")</f>
        <v>আট</v>
      </c>
      <c r="H119" s="4" t="str">
        <f>IFERROR(__xludf.DUMMYFUNCTION("GOOGLETRANSLATE(Q118, ""en"", ""bn"")"),"ছবি15")</f>
        <v>ছবি15</v>
      </c>
      <c r="I119" s="19"/>
      <c r="J119" s="5" t="str">
        <f>IFERROR(__xludf.DUMMYFUNCTION("GOOGLETRANSLATE(A119, ""bn"", ""en"")"),"118")</f>
        <v>118</v>
      </c>
      <c r="K119" s="6" t="s">
        <v>1833</v>
      </c>
      <c r="L119" s="6" t="s">
        <v>1781</v>
      </c>
      <c r="M119" s="6" t="s">
        <v>1782</v>
      </c>
      <c r="N119" s="6" t="s">
        <v>1783</v>
      </c>
      <c r="O119" s="6" t="s">
        <v>1834</v>
      </c>
      <c r="P119" s="6" t="s">
        <v>1834</v>
      </c>
      <c r="Q119" s="7" t="s">
        <v>608</v>
      </c>
    </row>
    <row r="120">
      <c r="A120" s="3">
        <v>119.0</v>
      </c>
      <c r="B120" s="4" t="str">
        <f>IFERROR(__xludf.DUMMYFUNCTION("GOOGLETRANSLATE(K119, ""en"", ""bn"")"),"পাশের মানুষদের প্রাথমিক ভূমিকা কী?")</f>
        <v>পাশের মানুষদের প্রাথমিক ভূমিকা কী?</v>
      </c>
      <c r="C120" s="4" t="str">
        <f>IFERROR(__xludf.DUMMYFUNCTION("GOOGLETRANSLATE(L119, ""en"", ""bn"")"),"রেফারি")</f>
        <v>রেফারি</v>
      </c>
      <c r="D120" s="4" t="str">
        <f>IFERROR(__xludf.DUMMYFUNCTION("GOOGLETRANSLATE(M119, ""en"", ""bn"")"),"দর্শকরা")</f>
        <v>দর্শকরা</v>
      </c>
      <c r="E120" s="4" t="str">
        <f>IFERROR(__xludf.DUMMYFUNCTION("GOOGLETRANSLATE(N119, ""en"", ""bn"")"),"প্রশিক্ষক")</f>
        <v>প্রশিক্ষক</v>
      </c>
      <c r="F120" s="4" t="str">
        <f>IFERROR(__xludf.DUMMYFUNCTION("GOOGLETRANSLATE(O119, ""en"", ""bn"")"),"খেলার অপেক্ষায় খেলোয়াড়রা")</f>
        <v>খেলার অপেক্ষায় খেলোয়াড়রা</v>
      </c>
      <c r="G120" s="4" t="str">
        <f>IFERROR(__xludf.DUMMYFUNCTION("GOOGLETRANSLATE(P119, ""en"", ""bn"")"),"খেলার অপেক্ষায় খেলোয়াড়রা")</f>
        <v>খেলার অপেক্ষায় খেলোয়াড়রা</v>
      </c>
      <c r="H120" s="4" t="str">
        <f>IFERROR(__xludf.DUMMYFUNCTION("GOOGLETRANSLATE(Q119, ""en"", ""bn"")"),"ছবি15")</f>
        <v>ছবি15</v>
      </c>
      <c r="I120" s="19"/>
      <c r="J120" s="5" t="str">
        <f>IFERROR(__xludf.DUMMYFUNCTION("GOOGLETRANSLATE(A120, ""bn"", ""en"")"),"119")</f>
        <v>119</v>
      </c>
      <c r="K120" s="6" t="s">
        <v>1895</v>
      </c>
      <c r="L120" s="6" t="s">
        <v>1851</v>
      </c>
      <c r="M120" s="6" t="s">
        <v>771</v>
      </c>
      <c r="N120" s="6" t="s">
        <v>1850</v>
      </c>
      <c r="O120" s="6" t="s">
        <v>1373</v>
      </c>
      <c r="P120" s="6" t="s">
        <v>771</v>
      </c>
      <c r="Q120" s="6" t="s">
        <v>608</v>
      </c>
    </row>
    <row r="121">
      <c r="A121" s="3">
        <v>120.0</v>
      </c>
      <c r="B121" s="4" t="str">
        <f>IFERROR(__xludf.DUMMYFUNCTION("GOOGLETRANSLATE(K120, ""en"", ""bn"")"),"ছবিতে খেলা শিশুদের বয়স কত?")</f>
        <v>ছবিতে খেলা শিশুদের বয়স কত?</v>
      </c>
      <c r="C121" s="4" t="str">
        <f>IFERROR(__xludf.DUMMYFUNCTION("GOOGLETRANSLATE(L120, ""en"", ""bn"")"),"প্রাপ্তবয়স্কদের")</f>
        <v>প্রাপ্তবয়স্কদের</v>
      </c>
      <c r="D121" s="4" t="str">
        <f>IFERROR(__xludf.DUMMYFUNCTION("GOOGLETRANSLATE(M120, ""en"", ""bn"")"),"কিশোর")</f>
        <v>কিশোর</v>
      </c>
      <c r="E121" s="4" t="str">
        <f>IFERROR(__xludf.DUMMYFUNCTION("GOOGLETRANSLATE(N120, ""en"", ""bn"")"),"ছোট বাচ্চারা")</f>
        <v>ছোট বাচ্চারা</v>
      </c>
      <c r="F121" s="4" t="str">
        <f>IFERROR(__xludf.DUMMYFUNCTION("GOOGLETRANSLATE(O120, ""en"", ""bn"")"),"ছোট বাচ্চারা")</f>
        <v>ছোট বাচ্চারা</v>
      </c>
      <c r="G121" s="4" t="str">
        <f>IFERROR(__xludf.DUMMYFUNCTION("GOOGLETRANSLATE(P120, ""en"", ""bn"")"),"কিশোর")</f>
        <v>কিশোর</v>
      </c>
      <c r="H121" s="4" t="str">
        <f>IFERROR(__xludf.DUMMYFUNCTION("GOOGLETRANSLATE(Q120, ""en"", ""bn"")"),"ছবি15")</f>
        <v>ছবি15</v>
      </c>
      <c r="I121" s="19"/>
      <c r="J121" s="5" t="str">
        <f>IFERROR(__xludf.DUMMYFUNCTION("GOOGLETRANSLATE(A121, ""bn"", ""en"")"),"120")</f>
        <v>120</v>
      </c>
      <c r="K121" s="6" t="s">
        <v>1896</v>
      </c>
      <c r="L121" s="6" t="s">
        <v>1392</v>
      </c>
      <c r="M121" s="6" t="s">
        <v>1897</v>
      </c>
      <c r="N121" s="6" t="s">
        <v>1898</v>
      </c>
      <c r="O121" s="6" t="s">
        <v>858</v>
      </c>
      <c r="P121" s="6" t="s">
        <v>1898</v>
      </c>
      <c r="Q121" s="7" t="s">
        <v>608</v>
      </c>
      <c r="R121" s="17"/>
    </row>
    <row r="122">
      <c r="A122" s="3">
        <v>121.0</v>
      </c>
      <c r="B122" s="4" t="str">
        <f>IFERROR(__xludf.DUMMYFUNCTION("GOOGLETRANSLATE(K121, ""en"", ""bn"")"),"গেমটির সাধারণ সেটিং কী?")</f>
        <v>গেমটির সাধারণ সেটিং কী?</v>
      </c>
      <c r="C122" s="4" t="str">
        <f>IFERROR(__xludf.DUMMYFUNCTION("GOOGLETRANSLATE(L121, ""en"", ""bn"")"),"একটি শহুরে পার্ক")</f>
        <v>একটি শহুরে পার্ক</v>
      </c>
      <c r="D122" s="4" t="str">
        <f>IFERROR(__xludf.DUMMYFUNCTION("GOOGLETRANSLATE(M121, ""en"", ""bn"")"),"একটি শহরতলির এলাকা")</f>
        <v>একটি শহরতলির এলাকা</v>
      </c>
      <c r="E122" s="4" t="str">
        <f>IFERROR(__xludf.DUMMYFUNCTION("GOOGLETRANSLATE(N121, ""en"", ""bn"")"),"একটি গ্রামীণ বা গ্রামাঞ্চল")</f>
        <v>একটি গ্রামীণ বা গ্রামাঞ্চল</v>
      </c>
      <c r="F122" s="4" t="str">
        <f>IFERROR(__xludf.DUMMYFUNCTION("GOOGLETRANSLATE(O121, ""en"", ""bn"")"),"একটি ক্রীড়া কমপ্লেক্স")</f>
        <v>একটি ক্রীড়া কমপ্লেক্স</v>
      </c>
      <c r="G122" s="4" t="str">
        <f>IFERROR(__xludf.DUMMYFUNCTION("GOOGLETRANSLATE(P121, ""en"", ""bn"")"),"একটি গ্রামীণ বা গ্রামাঞ্চল")</f>
        <v>একটি গ্রামীণ বা গ্রামাঞ্চল</v>
      </c>
      <c r="H122" s="4" t="str">
        <f>IFERROR(__xludf.DUMMYFUNCTION("GOOGLETRANSLATE(Q121, ""en"", ""bn"")"),"ছবি15")</f>
        <v>ছবি15</v>
      </c>
      <c r="I122" s="19"/>
      <c r="J122" s="5" t="str">
        <f>IFERROR(__xludf.DUMMYFUNCTION("GOOGLETRANSLATE(A122, ""bn"", ""en"")"),"121")</f>
        <v>121</v>
      </c>
      <c r="K122" s="6" t="s">
        <v>1899</v>
      </c>
      <c r="L122" s="6" t="s">
        <v>1900</v>
      </c>
      <c r="M122" s="6" t="s">
        <v>1901</v>
      </c>
      <c r="N122" s="6" t="s">
        <v>1902</v>
      </c>
      <c r="O122" s="6" t="s">
        <v>1903</v>
      </c>
      <c r="P122" s="6" t="s">
        <v>1901</v>
      </c>
      <c r="Q122" s="7" t="s">
        <v>191</v>
      </c>
    </row>
    <row r="123">
      <c r="A123" s="3">
        <v>122.0</v>
      </c>
      <c r="B123" s="4" t="str">
        <f>IFERROR(__xludf.DUMMYFUNCTION("GOOGLETRANSLATE(K122, ""en"", ""bn"")"),"ঘটনার পটভূমি থেকে ঘটনাটি সম্পর্কে কী অনুমান করা যেতে পারে?")</f>
        <v>ঘটনার পটভূমি থেকে ঘটনাটি সম্পর্কে কী অনুমান করা যেতে পারে?</v>
      </c>
      <c r="C123" s="4" t="str">
        <f>IFERROR(__xludf.DUMMYFUNCTION("GOOGLETRANSLATE(L122, ""en"", ""bn"")"),"এটি একটি সাধারণ খেলা।")</f>
        <v>এটি একটি সাধারণ খেলা।</v>
      </c>
      <c r="D123" s="4" t="str">
        <f>IFERROR(__xludf.DUMMYFUNCTION("GOOGLETRANSLATE(M122, ""en"", ""bn"")"),"এটি একটি আনুষ্ঠানিক টুর্নামেন্ট।")</f>
        <v>এটি একটি আনুষ্ঠানিক টুর্নামেন্ট।</v>
      </c>
      <c r="E123" s="4" t="str">
        <f>IFERROR(__xludf.DUMMYFUNCTION("GOOGLETRANSLATE(N122, ""en"", ""bn"")"),"এটা একটা স্কুলের অভ্যাস।")</f>
        <v>এটা একটা স্কুলের অভ্যাস।</v>
      </c>
      <c r="F123" s="4" t="str">
        <f>IFERROR(__xludf.DUMMYFUNCTION("GOOGLETRANSLATE(O122, ""en"", ""bn"")"),"এটি একটি পারিবারিক সমাবেশ।")</f>
        <v>এটি একটি পারিবারিক সমাবেশ।</v>
      </c>
      <c r="G123" s="4" t="str">
        <f>IFERROR(__xludf.DUMMYFUNCTION("GOOGLETRANSLATE(P122, ""en"", ""bn"")"),"এটি একটি আনুষ্ঠানিক টুর্নামেন্ট।")</f>
        <v>এটি একটি আনুষ্ঠানিক টুর্নামেন্ট।</v>
      </c>
      <c r="H123" s="4" t="str">
        <f>IFERROR(__xludf.DUMMYFUNCTION("GOOGLETRANSLATE(Q122, ""en"", ""bn"")"),"ছবি24")</f>
        <v>ছবি24</v>
      </c>
      <c r="I123" s="19"/>
      <c r="J123" s="5" t="str">
        <f>IFERROR(__xludf.DUMMYFUNCTION("GOOGLETRANSLATE(A123, ""bn"", ""en"")"),"122")</f>
        <v>122</v>
      </c>
      <c r="K123" s="6" t="s">
        <v>1904</v>
      </c>
      <c r="L123" s="6" t="s">
        <v>429</v>
      </c>
      <c r="M123" s="6" t="s">
        <v>1905</v>
      </c>
      <c r="N123" s="6" t="s">
        <v>1370</v>
      </c>
      <c r="O123" s="6" t="s">
        <v>1906</v>
      </c>
      <c r="P123" s="6" t="s">
        <v>1905</v>
      </c>
      <c r="Q123" s="7" t="s">
        <v>191</v>
      </c>
    </row>
    <row r="124">
      <c r="A124" s="3">
        <v>123.0</v>
      </c>
      <c r="B124" s="4" t="str">
        <f>IFERROR(__xludf.DUMMYFUNCTION("GOOGLETRANSLATE(K123, ""en"", ""bn"")"),"খেলোয়াড়দের জার্সির প্রধান রঙ কোনটি?")</f>
        <v>খেলোয়াড়দের জার্সির প্রধান রঙ কোনটি?</v>
      </c>
      <c r="C124" s="4" t="str">
        <f>IFERROR(__xludf.DUMMYFUNCTION("GOOGLETRANSLATE(L123, ""en"", ""bn"")"),"নীল এবং লাল")</f>
        <v>নীল এবং লাল</v>
      </c>
      <c r="D124" s="4" t="str">
        <f>IFERROR(__xludf.DUMMYFUNCTION("GOOGLETRANSLATE(M123, ""en"", ""bn"")"),"কমলা এবং কালো")</f>
        <v>কমলা এবং কালো</v>
      </c>
      <c r="E124" s="4" t="str">
        <f>IFERROR(__xludf.DUMMYFUNCTION("GOOGLETRANSLATE(N123, ""en"", ""bn"")"),"হলুদ এবং সবুজ")</f>
        <v>হলুদ এবং সবুজ</v>
      </c>
      <c r="F124" s="4" t="str">
        <f>IFERROR(__xludf.DUMMYFUNCTION("GOOGLETRANSLATE(O123, ""en"", ""bn"")"),"সাদা এবং নীল")</f>
        <v>সাদা এবং নীল</v>
      </c>
      <c r="G124" s="4" t="str">
        <f>IFERROR(__xludf.DUMMYFUNCTION("GOOGLETRANSLATE(P123, ""en"", ""bn"")"),"কমলা এবং কালো")</f>
        <v>কমলা এবং কালো</v>
      </c>
      <c r="H124" s="4" t="str">
        <f>IFERROR(__xludf.DUMMYFUNCTION("GOOGLETRANSLATE(Q123, ""en"", ""bn"")"),"ছবি24")</f>
        <v>ছবি24</v>
      </c>
      <c r="I124" s="19"/>
      <c r="J124" s="5" t="str">
        <f>IFERROR(__xludf.DUMMYFUNCTION("GOOGLETRANSLATE(A124, ""bn"", ""en"")"),"123")</f>
        <v>123</v>
      </c>
      <c r="K124" s="6" t="s">
        <v>1833</v>
      </c>
      <c r="L124" s="6" t="s">
        <v>1781</v>
      </c>
      <c r="M124" s="6" t="s">
        <v>1783</v>
      </c>
      <c r="N124" s="6" t="s">
        <v>1782</v>
      </c>
      <c r="O124" s="6" t="s">
        <v>1834</v>
      </c>
      <c r="P124" s="6" t="s">
        <v>1782</v>
      </c>
      <c r="Q124" s="7" t="s">
        <v>191</v>
      </c>
    </row>
    <row r="125">
      <c r="A125" s="3">
        <v>124.0</v>
      </c>
      <c r="B125" s="4" t="str">
        <f>IFERROR(__xludf.DUMMYFUNCTION("GOOGLETRANSLATE(K124, ""en"", ""bn"")"),"পাশের মানুষদের প্রাথমিক ভূমিকা কী?")</f>
        <v>পাশের মানুষদের প্রাথমিক ভূমিকা কী?</v>
      </c>
      <c r="C125" s="4" t="str">
        <f>IFERROR(__xludf.DUMMYFUNCTION("GOOGLETRANSLATE(L124, ""en"", ""bn"")"),"রেফারি")</f>
        <v>রেফারি</v>
      </c>
      <c r="D125" s="4" t="str">
        <f>IFERROR(__xludf.DUMMYFUNCTION("GOOGLETRANSLATE(M124, ""en"", ""bn"")"),"প্রশিক্ষক")</f>
        <v>প্রশিক্ষক</v>
      </c>
      <c r="E125" s="4" t="str">
        <f>IFERROR(__xludf.DUMMYFUNCTION("GOOGLETRANSLATE(N124, ""en"", ""bn"")"),"দর্শকরা")</f>
        <v>দর্শকরা</v>
      </c>
      <c r="F125" s="4" t="str">
        <f>IFERROR(__xludf.DUMMYFUNCTION("GOOGLETRANSLATE(O124, ""en"", ""bn"")"),"খেলার অপেক্ষায় খেলোয়াড়রা")</f>
        <v>খেলার অপেক্ষায় খেলোয়াড়রা</v>
      </c>
      <c r="G125" s="4" t="str">
        <f>IFERROR(__xludf.DUMMYFUNCTION("GOOGLETRANSLATE(P124, ""en"", ""bn"")"),"দর্শকরা")</f>
        <v>দর্শকরা</v>
      </c>
      <c r="H125" s="4" t="str">
        <f>IFERROR(__xludf.DUMMYFUNCTION("GOOGLETRANSLATE(Q124, ""en"", ""bn"")"),"ছবি24")</f>
        <v>ছবি24</v>
      </c>
      <c r="I125" s="19"/>
      <c r="J125" s="5" t="str">
        <f>IFERROR(__xludf.DUMMYFUNCTION("GOOGLETRANSLATE(A125, ""bn"", ""en"")"),"124")</f>
        <v>124</v>
      </c>
      <c r="K125" s="6" t="s">
        <v>1907</v>
      </c>
      <c r="L125" s="6" t="s">
        <v>1908</v>
      </c>
      <c r="M125" s="6" t="s">
        <v>1909</v>
      </c>
      <c r="N125" s="6" t="s">
        <v>1709</v>
      </c>
      <c r="O125" s="6" t="s">
        <v>1491</v>
      </c>
      <c r="P125" s="6" t="s">
        <v>1909</v>
      </c>
      <c r="Q125" s="7" t="s">
        <v>191</v>
      </c>
    </row>
    <row r="126">
      <c r="A126" s="3">
        <v>125.0</v>
      </c>
      <c r="B126" s="4" t="str">
        <f>IFERROR(__xludf.DUMMYFUNCTION("GOOGLETRANSLATE(K125, ""en"", ""bn"")"),"খেলার মাঠের ভৌত অবস্থা কী?")</f>
        <v>খেলার মাঠের ভৌত অবস্থা কী?</v>
      </c>
      <c r="C126" s="4" t="str">
        <f>IFERROR(__xludf.DUMMYFUNCTION("GOOGLETRANSLATE(L125, ""en"", ""bn"")"),"একটি সু-রক্ষণাবেক্ষণ করা ঘাসযুক্ত লন")</f>
        <v>একটি সু-রক্ষণাবেক্ষণ করা ঘাসযুক্ত লন</v>
      </c>
      <c r="D126" s="4" t="str">
        <f>IFERROR(__xludf.DUMMYFUNCTION("GOOGLETRANSLATE(M125, ""en"", ""bn"")"),"ন্যূনতম ঘাস সহ একটি ময়লা ক্ষেত্র")</f>
        <v>ন্যূনতম ঘাস সহ একটি ময়লা ক্ষেত্র</v>
      </c>
      <c r="E126" s="4" t="str">
        <f>IFERROR(__xludf.DUMMYFUNCTION("GOOGLETRANSLATE(N125, ""en"", ""bn"")"),"একটি কংক্রিট আদালত")</f>
        <v>একটি কংক্রিট আদালত</v>
      </c>
      <c r="F126" s="4" t="str">
        <f>IFERROR(__xludf.DUMMYFUNCTION("GOOGLETRANSLATE(O125, ""en"", ""bn"")"),"একটি বালুকাময় সৈকত")</f>
        <v>একটি বালুকাময় সৈকত</v>
      </c>
      <c r="G126" s="4" t="str">
        <f>IFERROR(__xludf.DUMMYFUNCTION("GOOGLETRANSLATE(P125, ""en"", ""bn"")"),"ন্যূনতম ঘাস সহ একটি ময়লা ক্ষেত্র")</f>
        <v>ন্যূনতম ঘাস সহ একটি ময়লা ক্ষেত্র</v>
      </c>
      <c r="H126" s="4" t="str">
        <f>IFERROR(__xludf.DUMMYFUNCTION("GOOGLETRANSLATE(Q125, ""en"", ""bn"")"),"ছবি24")</f>
        <v>ছবি24</v>
      </c>
      <c r="I126" s="19"/>
      <c r="J126" s="5" t="str">
        <f>IFERROR(__xludf.DUMMYFUNCTION("GOOGLETRANSLATE(A126, ""bn"", ""en"")"),"125")</f>
        <v>125</v>
      </c>
      <c r="K126" s="6" t="s">
        <v>1910</v>
      </c>
      <c r="L126" s="6" t="s">
        <v>1911</v>
      </c>
      <c r="M126" s="6" t="s">
        <v>1912</v>
      </c>
      <c r="N126" s="6" t="s">
        <v>1913</v>
      </c>
      <c r="O126" s="6" t="s">
        <v>1914</v>
      </c>
      <c r="P126" s="6" t="s">
        <v>1912</v>
      </c>
      <c r="Q126" s="7" t="s">
        <v>191</v>
      </c>
    </row>
    <row r="127">
      <c r="A127" s="19"/>
      <c r="B127" s="19"/>
      <c r="C127" s="19"/>
      <c r="D127" s="19"/>
      <c r="E127" s="19"/>
      <c r="F127" s="19"/>
      <c r="G127" s="19"/>
      <c r="H127" s="19"/>
      <c r="I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K133" s="17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K134" s="23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K135" s="17"/>
      <c r="L135" s="17"/>
      <c r="M135" s="17"/>
      <c r="N135" s="17"/>
      <c r="O135" s="17"/>
      <c r="P135" s="17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</row>
  </sheetData>
  <drawing r:id="rId1"/>
  <tableParts count="2">
    <tablePart r:id="rId4"/>
    <tablePart r:id="rId5"/>
  </tableParts>
</worksheet>
</file>