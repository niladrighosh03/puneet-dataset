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li khela" sheetId="1" r:id="rId4"/>
    <sheet state="visible" name="dariabandha" sheetId="2" r:id="rId5"/>
    <sheet state="visible" name="golla chut" sheetId="3" r:id="rId6"/>
    <sheet state="visible" name="ha du du" sheetId="4" r:id="rId7"/>
    <sheet state="visible" name="lathi khela" sheetId="5" r:id="rId8"/>
    <sheet state="visible" name="nouka baich" sheetId="6" r:id="rId9"/>
  </sheets>
  <definedNames/>
  <calcPr/>
</workbook>
</file>

<file path=xl/sharedStrings.xml><?xml version="1.0" encoding="utf-8"?>
<sst xmlns="http://schemas.openxmlformats.org/spreadsheetml/2006/main" count="3060" uniqueCount="2782">
  <si>
    <t>Question No.</t>
  </si>
  <si>
    <t>Question</t>
  </si>
  <si>
    <t>Options</t>
  </si>
  <si>
    <t>Answer</t>
  </si>
  <si>
    <t>Description</t>
  </si>
  <si>
    <t>প্রশ্ন নং.</t>
  </si>
  <si>
    <t>প্রশ্ন</t>
  </si>
  <si>
    <t>অপশন</t>
  </si>
  <si>
    <t>উত্তর</t>
  </si>
  <si>
    <t>বর্ণনা</t>
  </si>
  <si>
    <t>In Boli Khela, what is the main objective of the game?</t>
  </si>
  <si>
    <t>A) To score goals, B) To knock down a target, C) To hold the ball for the longest time, D) To prevent the other team from scoring</t>
  </si>
  <si>
    <t>B) To knock down a target</t>
  </si>
  <si>
    <t>The main objective is to throw a heavy stone at a target to knock it down.</t>
  </si>
  <si>
    <t>What is the weight of the stone used in Boli Khela?</t>
  </si>
  <si>
    <t>A) 2-3 kg, B) 3-4 kg, C) 4-5 kg, D) 5-6 kg</t>
  </si>
  <si>
    <t>C) 4-5 kg</t>
  </si>
  <si>
    <t>The stone used in Boli Khela weighs between 4-5 kg.</t>
  </si>
  <si>
    <t>What is the typical duration of a Boli Khela match?</t>
  </si>
  <si>
    <t>A) 10-20 minutes, B) 30-40 minutes, C) 1-2 hours, D) 2-3 hours</t>
  </si>
  <si>
    <t>B) 30-40 minutes</t>
  </si>
  <si>
    <t>Matches usually last for about 30-40 minutes.</t>
  </si>
  <si>
    <t>In Boli Khela, how many teams participate in a match?</t>
  </si>
  <si>
    <t>A) 1, B) 2, C) 3, D) 4</t>
  </si>
  <si>
    <t>B) 2</t>
  </si>
  <si>
    <t>There are two teams that compete against each other in a match.</t>
  </si>
  <si>
    <t>What is the name of the stone used in Boli Khela?</t>
  </si>
  <si>
    <t>A) Boli, B) Khil, C) Gola, D) Pat</t>
  </si>
  <si>
    <t>A) Boli</t>
  </si>
  <si>
    <t>The stone used in the game is called a 'Boli'.</t>
  </si>
  <si>
    <t>What is the required distance for throwing the stone in Boli Khela?</t>
  </si>
  <si>
    <t>A) 10 meters, B) 20 meters, C) 30 meters, D) 40 meters</t>
  </si>
  <si>
    <t>B) 20 meters</t>
  </si>
  <si>
    <t>The stone must be thrown to a distance of 20 meters to hit the target.</t>
  </si>
  <si>
    <t>What is the size of the target in Boli Khela?</t>
  </si>
  <si>
    <t>A) 1 meter in diameter, B) 2 meters in diameter, C) 3 meters in diameter, D) 4 meters in diameter</t>
  </si>
  <si>
    <t>B) 2 meters in diameter</t>
  </si>
  <si>
    <t>The target has a diameter of 2 meters.</t>
  </si>
  <si>
    <t>What happens if the stone knocks down the target in Boli Khela?</t>
  </si>
  <si>
    <t>A) The game is over, B) The team earns a point, C) The team is disqualified, D) The game continues without change</t>
  </si>
  <si>
    <t>B) The team earns a point</t>
  </si>
  <si>
    <t>Knocking down the target earns the team a point.</t>
  </si>
  <si>
    <t>In Boli Khela, how is the winning team determined?</t>
  </si>
  <si>
    <t>A) By the highest number of points, B) By the quickest throw, C) By the largest number of successful throws, D) By the longest distance thrown</t>
  </si>
  <si>
    <t>A) By the highest number of points</t>
  </si>
  <si>
    <t>The team with the highest score wins the match.</t>
  </si>
  <si>
    <t>What is the traditional time of year for Boli Khela?</t>
  </si>
  <si>
    <t>A) Winter, B) Spring, C) Summer, D) Autumn</t>
  </si>
  <si>
    <t>B) Spring</t>
  </si>
  <si>
    <t>Boli Khela is traditionally played during the spring season in Bangladesh.</t>
  </si>
  <si>
    <t>What is the usual crowd like during a Boli Khela match?</t>
  </si>
  <si>
    <t>A) Small group, B) Family and friends, C) Large festive crowd, D) No audience</t>
  </si>
  <si>
    <t>C) Large festive crowd</t>
  </si>
  <si>
    <t>Boli Khela is usually celebrated with large crowds and festive gatherings.</t>
  </si>
  <si>
    <t>What do players use to mark their target in Boli Khela?</t>
  </si>
  <si>
    <t>A) A flag, B) Chalk, C) A painted circle, D) A stone</t>
  </si>
  <si>
    <t>C) A painted circle</t>
  </si>
  <si>
    <t>The target is marked with a painted circle for clarity.</t>
  </si>
  <si>
    <t>How many players are on each team in Boli Khela?</t>
  </si>
  <si>
    <t>A) 2-3 players, B) 4-5 players, C) 6-7 players, D) 10-12 players</t>
  </si>
  <si>
    <t>B) 4-5 players</t>
  </si>
  <si>
    <t>Each team consists of 4-5 players in a Boli Khela match.</t>
  </si>
  <si>
    <t>What is the role of the player who throws the stone in Boli Khela?</t>
  </si>
  <si>
    <t>A) Defender, B) Attacker, C) Goalkeeper, D) No specific role</t>
  </si>
  <si>
    <t>B) Attacker</t>
  </si>
  <si>
    <t>The player who throws the stone is the attacker, aiming to knock down the target.</t>
  </si>
  <si>
    <t>What happens if the stone is not thrown properly in Boli Khela?</t>
  </si>
  <si>
    <t>A) The throw is considered a foul, B) The team loses a point, C) The throw is repeated, D) The game ends</t>
  </si>
  <si>
    <t>C) The throw is repeated</t>
  </si>
  <si>
    <t>Improper throws are allowed to be repeated without penalty.</t>
  </si>
  <si>
    <t>In Boli Khela, how many attempts does each team get to throw the stone?</t>
  </si>
  <si>
    <t>A) One attempt per player, B) Two attempts per player, C) One attempt per round, D) Unlimited attempts</t>
  </si>
  <si>
    <t>A) One attempt per player</t>
  </si>
  <si>
    <t>Each player gets one attempt to throw the stone during a round.</t>
  </si>
  <si>
    <t>Who is responsible for calling the start of a Boli Khela match?</t>
  </si>
  <si>
    <t>A) The referee, B) The team captain, C) The audience, D) A local elder</t>
  </si>
  <si>
    <t>A) The referee</t>
  </si>
  <si>
    <t>The match is initiated by the referee, who oversees the rules and time.</t>
  </si>
  <si>
    <t>What happens if the stone misses the target in Boli Khela?</t>
  </si>
  <si>
    <t>A) The other team gets a chance to throw, B) The round continues, C) The team loses a point, D) The stone is reset</t>
  </si>
  <si>
    <t>B) The round continues</t>
  </si>
  <si>
    <t>If the stone misses the target, the round continues until all players have thrown.</t>
  </si>
  <si>
    <t>In Boli Khela, which of the following is not allowed during a throw?</t>
  </si>
  <si>
    <t>A) Underarm throw, B) Overhead throw, C) Sidearm throw, D) Tossing with two hands</t>
  </si>
  <si>
    <t>D) Tossing with two hands</t>
  </si>
  <si>
    <t>Players are not allowed to toss the stone with both hands.</t>
  </si>
  <si>
    <t>How is the stone typically thrown in Boli Khela?</t>
  </si>
  <si>
    <t>A) With a single hand, B) With both hands, C) By rolling, D) By kicking</t>
  </si>
  <si>
    <t>A) With a single hand</t>
  </si>
  <si>
    <t>Players are expected to throw the stone using a single hand.</t>
  </si>
  <si>
    <t>Where are Boli Khela matches usually played?</t>
  </si>
  <si>
    <t>A) On a field, B) In a stadium, C) In a temple courtyard, D) On the beach</t>
  </si>
  <si>
    <t>A) On a field</t>
  </si>
  <si>
    <t>Boli Khela is played on open fields, often during village festivals.</t>
  </si>
  <si>
    <t>What is the penalty for intentionally damaging the stone in Boli Khela?</t>
  </si>
  <si>
    <t>A) Disqualification, B) Point deduction, C) Warning, D) No penalty</t>
  </si>
  <si>
    <t>A) Disqualification</t>
  </si>
  <si>
    <t>Intentionally damaging the stone can lead to disqualification.</t>
  </si>
  <si>
    <t>How is the game restarted after a break in Boli Khela?</t>
  </si>
  <si>
    <t>A) With a free throw, B) By the referee's signal, C) The team with the last point restarts, D) Both teams reset simultaneously</t>
  </si>
  <si>
    <t>B) By the referee's signal</t>
  </si>
  <si>
    <t>The game restarts with the referee's signal after a break.</t>
  </si>
  <si>
    <t>Which of the following is a common strategy in Boli Khela?</t>
  </si>
  <si>
    <t>A) To throw the stone as fast as possible, B) To throw the stone with precision, C) To distract the opposing team, D) To defend the target</t>
  </si>
  <si>
    <t>B) To throw the stone with precision</t>
  </si>
  <si>
    <t>Precision in throwing the stone is crucial to knocking down the target.</t>
  </si>
  <si>
    <t>What is the role of the defending team in Boli Khela?</t>
  </si>
  <si>
    <t>A) To catch the stone, B) To defend the target, C) To distract the attackers, D) To throw the stone</t>
  </si>
  <si>
    <t>B) To defend the target</t>
  </si>
  <si>
    <t>The defending team's main task is to protect the target from being hit by the stone.</t>
  </si>
  <si>
    <t>In Boli Khela, what is the most common way to train players?</t>
  </si>
  <si>
    <t>A) By practicing throws on a target, B) By playing against other teams, C) By watching videos, D) By running drills</t>
  </si>
  <si>
    <t>A) By practicing throws on a target</t>
  </si>
  <si>
    <t>Players typically practice by throwing stones at targets to improve accuracy.</t>
  </si>
  <si>
    <t>Which region of Bangladesh is most known for Boli Khela?</t>
  </si>
  <si>
    <t>A) Dhaka, B) Chittagong, C) Sylhet, D) Khulna</t>
  </si>
  <si>
    <t>B) Chittagong</t>
  </si>
  <si>
    <t>Boli Khela is especially popular in the Chittagong region.</t>
  </si>
  <si>
    <t>What is the main feature that distinguishes Boli Khela from other traditional games?</t>
  </si>
  <si>
    <t>A) The size of the ball, B) The weight of the stone, C) The type of target, D) The number of players</t>
  </si>
  <si>
    <t>B) The weight of the stone</t>
  </si>
  <si>
    <t>Boli Khela is distinguished by the use of a heavy stone, typically weighing between 4-5 kg.</t>
  </si>
  <si>
    <t>How many rounds are usually played in a Boli Khela match?</t>
  </si>
  <si>
    <t>A) 1 round, B) 2 rounds, C) 3 rounds, D) 5 rounds</t>
  </si>
  <si>
    <t>B) 2 rounds</t>
  </si>
  <si>
    <t>A Boli Khela match typically consists of two rounds, one for each team.</t>
  </si>
  <si>
    <t>What happens if a team knocks down the target multiple times in Boli Khela?</t>
  </si>
  <si>
    <t>A) The team wins immediately, B) The team earns additional points, C) The round ends, D) The game is reset</t>
  </si>
  <si>
    <t>B) The team earns additional points</t>
  </si>
  <si>
    <t>Each successful knockdown of the target earns the team additional points.</t>
  </si>
  <si>
    <t>Who decides the winner of a Boli Khela match?</t>
  </si>
  <si>
    <t>A) The referee, B) The team captain, C) The crowd, D) The organizer</t>
  </si>
  <si>
    <t>The referee determines the winner based on the points scored throughout the match.</t>
  </si>
  <si>
    <t>What is the maximum number of points a team can score in a Boli Khela match?</t>
  </si>
  <si>
    <t>A) 5 points, B) 10 points, C) 15 points, D) There is no limit</t>
  </si>
  <si>
    <t>D) There is no limit</t>
  </si>
  <si>
    <t>There is no set maximum; teams can score as many points as they knock down targets.</t>
  </si>
  <si>
    <t>How is the stone thrown in Boli Khela?</t>
  </si>
  <si>
    <t>A) By rolling, B) By tossing with both hands, C) By throwing with one hand, D) By kicking</t>
  </si>
  <si>
    <t>C) By throwing with one hand</t>
  </si>
  <si>
    <t>The stone is thrown using one hand in a controlled manner.</t>
  </si>
  <si>
    <t>What is the main skill required for players in Boli Khela?</t>
  </si>
  <si>
    <t>A) Speed, B) Precision, C) Strength, D) Agility</t>
  </si>
  <si>
    <t>B) Precision</t>
  </si>
  <si>
    <t>Precision is key, as the objective is to knock down a target with a stone.</t>
  </si>
  <si>
    <t>What is typically used to mark the boundary in Boli Khela?</t>
  </si>
  <si>
    <t>A) Flags, B) Chalk lines, C) Stones, D) Ropes</t>
  </si>
  <si>
    <t>B) Chalk lines</t>
  </si>
  <si>
    <t>Chalk lines are used to mark the boundaries of the playing area.</t>
  </si>
  <si>
    <t>How is a point scored in Boli Khela?</t>
  </si>
  <si>
    <t>A) By throwing the stone the furthest, B) By knocking down the target, C) By catching the stone, D) By hitting an opponent's stone</t>
  </si>
  <si>
    <t>B) By knocking down the target</t>
  </si>
  <si>
    <t>A point is earned by successfully knocking down the target with the stone.</t>
  </si>
  <si>
    <t>What happens if a player accidentally steps outside the boundary during a throw?</t>
  </si>
  <si>
    <t>A) The team gets a penalty, B) The throw is invalid, C) The player is disqualified, D) The round continues</t>
  </si>
  <si>
    <t>B) The throw is invalid</t>
  </si>
  <si>
    <t>If a player steps outside the boundary, the throw is considered invalid and must be repeated.</t>
  </si>
  <si>
    <t>What kind of surface is ideal for playing Boli Khela?</t>
  </si>
  <si>
    <t>A) Grass field, B) Sandy surface, C) Concrete court, D) Dirt road</t>
  </si>
  <si>
    <t>A) Grass field</t>
  </si>
  <si>
    <t>A soft grass field is ideal for Boli Khela, providing better control and less damage to the stone.</t>
  </si>
  <si>
    <t>What is the traditional event that often accompanies a Boli Khela match?</t>
  </si>
  <si>
    <t>A) A festival, B) A parade, C) A concert, D) A religious ceremony</t>
  </si>
  <si>
    <t>A) A festival</t>
  </si>
  <si>
    <t>Boli Khela is commonly played during local festivals, especially in rural areas.</t>
  </si>
  <si>
    <t>In Boli Khela, how is the stone usually thrown?</t>
  </si>
  <si>
    <t>A) Underhand, B) Overhand, C) Sidearm, D) Over the shoulder</t>
  </si>
  <si>
    <t>B) Overhand</t>
  </si>
  <si>
    <t>Players typically throw the stone overhand to increase accuracy and force.</t>
  </si>
  <si>
    <t>What is the origin of Boli Khela?</t>
  </si>
  <si>
    <t>A) India, B) Nepal, C) Bangladesh, D) Pakistan</t>
  </si>
  <si>
    <t>C) Bangladesh</t>
  </si>
  <si>
    <t>Boli Khela originated in Bangladesh, where it is still played during festivals.</t>
  </si>
  <si>
    <t>How does a player prepare to throw the stone in Boli Khela?</t>
  </si>
  <si>
    <t>A) By taking a few steps back, B) By jumping, C) By spinning, D) By kneeling</t>
  </si>
  <si>
    <t>A) By taking a few steps back</t>
  </si>
  <si>
    <t>Players typically take a few steps back to gather momentum before throwing the stone.</t>
  </si>
  <si>
    <t>What happens if both teams have the same score after all rounds?</t>
  </si>
  <si>
    <t>A) A tiebreaker round is played, B) The game is declared a draw, C) The team with fewer fouls wins, D) Both teams win</t>
  </si>
  <si>
    <t>A) A tiebreaker round is played</t>
  </si>
  <si>
    <t>If the score is tied, a tiebreaker round is played to determine the winner.</t>
  </si>
  <si>
    <t>What is one of the challenges faced by players in Boli Khela?</t>
  </si>
  <si>
    <t>A) The weight of the stone, B) The size of the target, C) The wind conditions, D) The uneven field</t>
  </si>
  <si>
    <t>A) The weight of the stone</t>
  </si>
  <si>
    <t>The heavy stone, weighing 4-5 kg, is one of the main challenges in the game.</t>
  </si>
  <si>
    <t>How do players communicate with each other during a match?</t>
  </si>
  <si>
    <t>A) Using hand signals, B) Through loud shouting, C) By passing notes, D) By whistle</t>
  </si>
  <si>
    <t>A) Using hand signals</t>
  </si>
  <si>
    <t>Players often communicate using hand signals, as matches can be loud and crowded.</t>
  </si>
  <si>
    <t>What is the role of the referee in Boli Khela?</t>
  </si>
  <si>
    <t>A) To throw the stone, B) To keep score, C) To play alongside the teams, D) To ensure the rules are followed</t>
  </si>
  <si>
    <t>D) To ensure the rules are followed</t>
  </si>
  <si>
    <t>The referee ensures that the match is played according to the established rules.</t>
  </si>
  <si>
    <t>What is the typical crowd behavior during a Boli Khela match?</t>
  </si>
  <si>
    <t>A) Quiet and focused, B) Loud and supportive, C) Distracting, D) Detached and uninterested</t>
  </si>
  <si>
    <t>B) Loud and supportive</t>
  </si>
  <si>
    <t>The crowd is usually loud and supportive, cheering for their favorite team.</t>
  </si>
  <si>
    <t>In Boli Khela, which of the following is NOT allowed?</t>
  </si>
  <si>
    <t>A) Throwing the stone at the target, B) Stepping outside the boundary, C) Using both hands to throw, D) Scoring a point</t>
  </si>
  <si>
    <t>C) Using both hands to throw</t>
  </si>
  <si>
    <t>Players are not allowed to use both hands to throw the stone; it must be done with one hand.</t>
  </si>
  <si>
    <t>What is the minimum number of players required on each team in Boli Khela?</t>
  </si>
  <si>
    <t>A) 2, B) 3, C) 4, D) 5</t>
  </si>
  <si>
    <t>B) 3</t>
  </si>
  <si>
    <t>A minimum of 3 players is required on each team for the game to proceed.</t>
  </si>
  <si>
    <t>What is the significance of Boli Khela in Bangladeshi culture?</t>
  </si>
  <si>
    <t>A) It promotes teamwork, B) It is a form of worship, C) It celebrates local harvests, D) It is an educational event</t>
  </si>
  <si>
    <t>A) It promotes teamwork</t>
  </si>
  <si>
    <t>Boli Khela is celebrated as a community event that promotes teamwork and cooperation.</t>
  </si>
  <si>
    <t>When was Boli Khela first played?</t>
  </si>
  <si>
    <t>A) In the 15th century, B) In the 18th century, C) In the 19th century, D) In the 20th century</t>
  </si>
  <si>
    <t>B) In the 18th century</t>
  </si>
  <si>
    <t>Boli Khela is believed to have originated in the 18th century in Bangladesh.</t>
  </si>
  <si>
    <t>What is a common feature of the stone used in Boli Khela?</t>
  </si>
  <si>
    <t>A) It is smooth, B) It is carved, C) It has rough edges, D) It is metallic</t>
  </si>
  <si>
    <t>C) It has rough edges</t>
  </si>
  <si>
    <t>The stone used in Boli Khela typically has rough edges, adding difficulty in throwing.</t>
  </si>
  <si>
    <t>What is the ideal technique for a successful throw in Boli Khela?</t>
  </si>
  <si>
    <t>A) A powerful throw, B) A precise aim, C) A fast release, D) A high trajectory</t>
  </si>
  <si>
    <t>B) A precise aim</t>
  </si>
  <si>
    <t>The key to success in Boli Khela is precise aiming to knock down the target.</t>
  </si>
  <si>
    <t>What is the role of the attacking team in Boli Khela?</t>
  </si>
  <si>
    <t>A) To defend the target, B) To throw the stone, C) To catch the stone, D) To knock down the target</t>
  </si>
  <si>
    <t>D) To knock down the target</t>
  </si>
  <si>
    <t>The attacking team's main objective is to throw the stone to knock down the target.</t>
  </si>
  <si>
    <t>A) 5, B) 7, C) 10, D) 11</t>
  </si>
  <si>
    <t>B) 7</t>
  </si>
  <si>
    <t>Each team consists of 7 players who work together to hit the target and defend.</t>
  </si>
  <si>
    <t>In Boli Khela, what is the primary objective of the attacking team?</t>
  </si>
  <si>
    <t>A) To prevent the stone from hitting the target, B) To hit the target with the stone, C) To defend the field, D) To catch the ball</t>
  </si>
  <si>
    <t>B) To hit the target with the stone</t>
  </si>
  <si>
    <t>The attacking team's goal is to throw the stone in such a way that it hits and knocks over the target.</t>
  </si>
  <si>
    <t>What is the maximum time allowed for a player to take their throw in Boli Khela?</t>
  </si>
  <si>
    <t>A) 10 seconds, B) 30 seconds, C) 1 minute, D) 2 minutes</t>
  </si>
  <si>
    <t>B) 30 seconds</t>
  </si>
  <si>
    <t>Players are given 30 seconds to take their throw once it's their turn.</t>
  </si>
  <si>
    <t>What action results in a penalty during a Boli Khela match?</t>
  </si>
  <si>
    <t>A) Throwing the stone too early, B) Stepping out of bounds, C) Hitting the stone with both hands, D) All of the above</t>
  </si>
  <si>
    <t>D) All of the above</t>
  </si>
  <si>
    <t>All of these actions violate the rules and can lead to penalties for the offending team.</t>
  </si>
  <si>
    <t>In Boli Khela, what is typically used as the target?</t>
  </si>
  <si>
    <t>A) A stack of stones, B) A wooden pole, C) A metal target, D) A flag</t>
  </si>
  <si>
    <t>A) A stack of stones</t>
  </si>
  <si>
    <t>The target is usually a stack of stones that must be knocked down to score points.</t>
  </si>
  <si>
    <t>What is the main responsibility of the defending team in Boli Khela?</t>
  </si>
  <si>
    <t>A) To throw the stone, B) To catch the stone, C) To defend the target, D) To score points</t>
  </si>
  <si>
    <t>C) To defend the target</t>
  </si>
  <si>
    <t>The defending team's role is to prevent the attacking team from knocking over the target.</t>
  </si>
  <si>
    <t>In Boli Khela, what is the minimum throwing distance required for a valid attempt?</t>
  </si>
  <si>
    <t>A) 5 meters, B) 10 meters, C) 15 meters, D) 20 meters</t>
  </si>
  <si>
    <t>B) 10 meters</t>
  </si>
  <si>
    <t>Throws that fail to cover at least 10 meters are considered invalid and don’t count.</t>
  </si>
  <si>
    <t>What happens if the stone slips out of a player’s hand before the throw?</t>
  </si>
  <si>
    <t>A) It is a foul, B) It is ignored, C) The throw is repeated, D) The other team gains a point</t>
  </si>
  <si>
    <t>Accidental slips are not penalized but must be re-thrown.</t>
  </si>
  <si>
    <t>Which hand is typically used for throwing in Boli Khela?</t>
  </si>
  <si>
    <t>A) Left hand, B) Right hand, C) Either hand, D) Both hands</t>
  </si>
  <si>
    <t>C) Either hand</t>
  </si>
  <si>
    <t>Players may use whichever hand they are comfortable with, but not both together.</t>
  </si>
  <si>
    <t>What is the usual ground marking for the throwing position?</t>
  </si>
  <si>
    <t>A) A chalk circle, B) A rope, C) A wooden stick, D) A flag</t>
  </si>
  <si>
    <t>A) A chalk circle</t>
  </si>
  <si>
    <t>Players must remain inside a chalk-marked circle while throwing.</t>
  </si>
  <si>
    <t>What happens if a player throws the stone after the referee’s stop signal?</t>
  </si>
  <si>
    <t>A) The throw is valid, B) It is considered a foul, C) It is counted as a bonus, D) The throw continues</t>
  </si>
  <si>
    <t>B) It is considered a foul</t>
  </si>
  <si>
    <t>Throws after the referee’s stop signal are invalid and may incur penalties.</t>
  </si>
  <si>
    <t>Which team throws first in Boli Khela?</t>
  </si>
  <si>
    <t>A) Chosen by coin toss, B) Home team, C) Defending team, D) Younger team</t>
  </si>
  <si>
    <t>A) Chosen by coin toss</t>
  </si>
  <si>
    <t>The referee decides the starting team through a fair toss.</t>
  </si>
  <si>
    <t>What is the referee’s primary responsibility in scoring?</t>
  </si>
  <si>
    <t>A) To count valid throws, B) To encourage players, C) To award points arbitrarily, D) To join the match</t>
  </si>
  <si>
    <t>A) To count valid throws</t>
  </si>
  <si>
    <t>The referee ensures all throws are properly judged and points are fairly recorded.</t>
  </si>
  <si>
    <t>What is the rule if the stone bounces before hitting the target?</t>
  </si>
  <si>
    <t>A) It counts, B) It doesn’t count, C) It is a bonus, D) The other team loses a turn</t>
  </si>
  <si>
    <t>B) It doesn’t count</t>
  </si>
  <si>
    <t>Stones must directly strike the target without touching the ground first.</t>
  </si>
  <si>
    <t>How many referees usually oversee a Boli Khela match?</t>
  </si>
  <si>
    <t>A) One, B) Two, C) Three, D) Four</t>
  </si>
  <si>
    <t>A) One</t>
  </si>
  <si>
    <t>Generally, a single referee controls the match, but assistants may help in large tournaments.</t>
  </si>
  <si>
    <t>What is the standard order of play?</t>
  </si>
  <si>
    <t>A) All players from one team throw first, B) Alternating players from each team, C) Only captains throw, D) Random order</t>
  </si>
  <si>
    <t>A) All players from one team throw first</t>
  </si>
  <si>
    <t>One team completes its throws before the opposing team begins.</t>
  </si>
  <si>
    <t>What happens if a player deliberately delays their throw beyond the allowed time?</t>
  </si>
  <si>
    <t>A) The throw is forfeited, B) The team loses a point, C) The referee restarts, D) No consequence</t>
  </si>
  <si>
    <t>A) The throw is forfeited</t>
  </si>
  <si>
    <t>Time wasting leads to loss of that turn.</t>
  </si>
  <si>
    <t>If the target is moved due to wind, what should be done?</t>
  </si>
  <si>
    <t>A) Continue play, B) Reset the target, C) Award points, D) Cancel the round</t>
  </si>
  <si>
    <t>B) Reset the target</t>
  </si>
  <si>
    <t>Targets must be stable before the game continues.</t>
  </si>
  <si>
    <t>What is the referee’s signal to begin a throw?</t>
  </si>
  <si>
    <t>A) A hand clap, B) A flag wave, C) A whistle, D) A drum beat</t>
  </si>
  <si>
    <t>C) A whistle</t>
  </si>
  <si>
    <t>Whistle signals officially start each turn.</t>
  </si>
  <si>
    <t>What is the rule if a player’s foot touches outside the circle during a throw?</t>
  </si>
  <si>
    <t>A) Throw counts, B) Throw is invalid, C) Penalty point, D) Replay the throw</t>
  </si>
  <si>
    <t>B) Throw is invalid</t>
  </si>
  <si>
    <t>Stepping outside the boundary cancels the attempt.</t>
  </si>
  <si>
    <t>How are ties in score usually handled?</t>
  </si>
  <si>
    <t>A) Declared draw, B) Toss of a coin, C) Extra round, D) Both teams win</t>
  </si>
  <si>
    <t>C) Extra round</t>
  </si>
  <si>
    <t>Tied matches are resolved with an additional round.</t>
  </si>
  <si>
    <t>What type of stone is preferred for Boli Khela?</t>
  </si>
  <si>
    <t>A) Round stone, B) Flat stone, C) Carved stone, D) Painted stone</t>
  </si>
  <si>
    <t>A) Round stone</t>
  </si>
  <si>
    <t>Rounded stones are easier to grip and throw.</t>
  </si>
  <si>
    <t>What is done if the stone breaks during the game?</t>
  </si>
  <si>
    <t>A) Replace it, B) Game ends, C) Team is penalized, D) Continue with pieces</t>
  </si>
  <si>
    <t>A) Replace it</t>
  </si>
  <si>
    <t>Stones are replaced if damaged to keep fairness.</t>
  </si>
  <si>
    <t>Which team defends first in a match?</t>
  </si>
  <si>
    <t>A) Random choice, B) Coin toss loser, C) The older team, D) Audience decides</t>
  </si>
  <si>
    <t>B) Coin toss loser</t>
  </si>
  <si>
    <t>The team that loses the toss usually starts as defender.</t>
  </si>
  <si>
    <t>What is the consequence of unsportsmanlike behavior?</t>
  </si>
  <si>
    <t>A) Verbal warning, B) Loss of turn, C) Disqualification, D) All of these</t>
  </si>
  <si>
    <t>D) All of these</t>
  </si>
  <si>
    <t>Depending on severity, penalties range from warnings to expulsion.</t>
  </si>
  <si>
    <t>How is the final score announced?</t>
  </si>
  <si>
    <t>A) By the referee, B) By the captain, C) By the crowd, D) By the sponsor</t>
  </si>
  <si>
    <t>A) By the referee</t>
  </si>
  <si>
    <t>The referee officially declares the final score at the end.</t>
  </si>
  <si>
    <t>What is the maximum number of throws per player in a round?</t>
  </si>
  <si>
    <t>A) One, B) Two, C) Three, D) Unlimited</t>
  </si>
  <si>
    <t>Each player only gets a single attempt in each round.</t>
  </si>
  <si>
    <t>If the target falls due to ground vibration, what is the ruling?</t>
  </si>
  <si>
    <t>A) Point is awarded, B) Replay the round, C) Team penalized, D) Ignore it</t>
  </si>
  <si>
    <t>B) Replay the round</t>
  </si>
  <si>
    <t>Only direct stone contact can knock the target validly.</t>
  </si>
  <si>
    <t>What happens if both teams knock down the target equal times?</t>
  </si>
  <si>
    <t>A) The referee decides, B) Draw, C) Additional throws, D) Team captains choose</t>
  </si>
  <si>
    <t>C) Additional throws</t>
  </si>
  <si>
    <t>Tie-breaker throws are played to settle the result.</t>
  </si>
  <si>
    <t>What is the maximum allowed preparation time before a throw?</t>
  </si>
  <si>
    <t>A) 15 seconds, B) 30 seconds, C) 45 seconds, D) 60 seconds</t>
  </si>
  <si>
    <t>Players must throw within half a minute of being called.</t>
  </si>
  <si>
    <t>Which throwing style is forbidden in Boli Khela?</t>
  </si>
  <si>
    <t>A) Overarm, B) Underarm, C) Sidearm, D) Two-handed</t>
  </si>
  <si>
    <t>D) Two-handed</t>
  </si>
  <si>
    <t>Using both hands together is against the rules.</t>
  </si>
  <si>
    <t>What material is used to mark the throwing area traditionally?</t>
  </si>
  <si>
    <t>A) Lime powder, B) Rope, C) Bamboo, D) Grass</t>
  </si>
  <si>
    <t>A) Lime powder</t>
  </si>
  <si>
    <t>White lime or chalk powder outlines the thrower’s circle.</t>
  </si>
  <si>
    <t>How is a foul announced?</t>
  </si>
  <si>
    <t>A) With a whistle, B) With a flag, C) By hand signal, D) All of the above</t>
  </si>
  <si>
    <t>Referees may use any official signal to call fouls.</t>
  </si>
  <si>
    <t>What is the role of spectators in scoring?</t>
  </si>
  <si>
    <t>A) They cheer only, B) They decide points, C) They record fouls, D) They control time</t>
  </si>
  <si>
    <t>A) They cheer only</t>
  </si>
  <si>
    <t>Audience participation is limited to cheering, not scoring.</t>
  </si>
  <si>
    <t>What is the referee’s ruling if the stone touches the boundary line?</t>
  </si>
  <si>
    <t>A) Valid throw, B) Invalid throw, C) Bonus point, D) Replay</t>
  </si>
  <si>
    <t>B) Invalid throw</t>
  </si>
  <si>
    <t>Stones must land fully inside the marked area.</t>
  </si>
  <si>
    <t>Which team wins if no target is knocked down?</t>
  </si>
  <si>
    <t>A) First team, B) Defending team, C) Declared draw, D) Decided by toss</t>
  </si>
  <si>
    <t>C) Declared draw</t>
  </si>
  <si>
    <t>If no points are scored, the game ends in a draw.</t>
  </si>
  <si>
    <t>What happens if a team refuses to continue the game?</t>
  </si>
  <si>
    <t>A) Match is paused, B) They forfeit, C) Replay later, D) Referee decides</t>
  </si>
  <si>
    <t>B) They forfeit</t>
  </si>
  <si>
    <t>Quitting mid-match results in automatic loss.</t>
  </si>
  <si>
    <t>What must the target be made of?</t>
  </si>
  <si>
    <t>A) Clay, B) Wood, C) Stones, D) Bamboo</t>
  </si>
  <si>
    <t>C) Stones</t>
  </si>
  <si>
    <t>Traditionally, stacked stones form the target.</t>
  </si>
  <si>
    <t>What happens if the stone touches the target but doesn’t knock it down?</t>
  </si>
  <si>
    <t>A) Point awarded, B) No point, C) Replay throw, D) Bonus chance</t>
  </si>
  <si>
    <t>B) No point</t>
  </si>
  <si>
    <t>Only full knockdowns earn points.</t>
  </si>
  <si>
    <t>Which team takes the first throw after a break?</t>
  </si>
  <si>
    <t>A) Same as before, B) Chosen randomly, C) Opposite team, D) Referee decides</t>
  </si>
  <si>
    <t>A) Same as before</t>
  </si>
  <si>
    <t>The game resumes with the same sequence as before the break.</t>
  </si>
  <si>
    <t>What is the role of a captain in Boli Khela?</t>
  </si>
  <si>
    <t>A) To keep score, B) To lead team throws, C) To represent the team in disputes, D) All of these</t>
  </si>
  <si>
    <t>Captains manage their teams and handle referee discussions.</t>
  </si>
  <si>
    <t>What happens if a stone lands outside the boundary lines?</t>
  </si>
  <si>
    <t>A) Point awarded, B) Throw invalid, C) Team penalized, D) Round ends</t>
  </si>
  <si>
    <t>B) Throw invalid</t>
  </si>
  <si>
    <t>Stones must land within the defined field.</t>
  </si>
  <si>
    <t>What is the rule for handling disputes in Boli Khela?</t>
  </si>
  <si>
    <t>A) Crowd decides, B) Referee decides, C) Captains decide, D) Replay match</t>
  </si>
  <si>
    <t>B) Referee decides</t>
  </si>
  <si>
    <t>The referee has the final authority on all disputes.</t>
  </si>
  <si>
    <t>What happens if rain interrupts a match?</t>
  </si>
  <si>
    <t>A) Match abandoned, B) Postponed, C) Decided by toss, D) Referee chooses</t>
  </si>
  <si>
    <t>B) Postponed</t>
  </si>
  <si>
    <t>Matches can be paused and resumed after rain.</t>
  </si>
  <si>
    <t>Which throw earns the highest points?</t>
  </si>
  <si>
    <t>A) Longest throw, B) Strongest throw, C) Knockdown throw, D) None</t>
  </si>
  <si>
    <t>C) Knockdown throw</t>
  </si>
  <si>
    <t>Only knocking the target down earns points, regardless of distance.</t>
  </si>
  <si>
    <t>What happens if a player cheats by moving closer than allowed?</t>
  </si>
  <si>
    <t>A) Replay throw, B) Penalty point, C) Disqualification, D) Warning</t>
  </si>
  <si>
    <t>C) Disqualification</t>
  </si>
  <si>
    <t>Cheating by crossing the line results in removal.</t>
  </si>
  <si>
    <t>How many assistants may a referee appoint?</t>
  </si>
  <si>
    <t>B) Two</t>
  </si>
  <si>
    <t>In larger tournaments, two assistants may support the referee.</t>
  </si>
  <si>
    <t>What is the penalty for distracting opponents?</t>
  </si>
  <si>
    <t>A) Loss of turn, B) Point deduction, C) Warning, D) All of the above</t>
  </si>
  <si>
    <t>Distractions are penalized to ensure fair play.</t>
  </si>
  <si>
    <t>What happens if the stone is thrown before the referee’s signal?</t>
  </si>
  <si>
    <t>A) Valid throw, B) Replay throw, C) Foul, D) Bonus point</t>
  </si>
  <si>
    <t>C) Foul</t>
  </si>
  <si>
    <t>Throwing early is considered a foul.</t>
  </si>
  <si>
    <t>Which skill is tested most in Boli Khela?</t>
  </si>
  <si>
    <t>A) Running, B) Jumping, C) Throwing accuracy, D) Singing</t>
  </si>
  <si>
    <t>C) Throwing accuracy</t>
  </si>
  <si>
    <t>The key test is how accurately players can strike the target.</t>
  </si>
  <si>
    <t>What happens if a team’s player is injured mid-match?</t>
  </si>
  <si>
    <t>A) Match ends, B) Substitute allowed, C) Team continues short, D) Replay game</t>
  </si>
  <si>
    <t>C) Team continues short</t>
  </si>
  <si>
    <t>Substitutes are not allowed, teams must continue.</t>
  </si>
  <si>
    <t>How far is the target usually kept from the throwing circle?</t>
  </si>
  <si>
    <t>A) 20m, B) 15m, C) 10m, D) 25m</t>
  </si>
  <si>
    <t>A) 20m</t>
  </si>
  <si>
    <t>Standard distance is around 20 meters.</t>
  </si>
  <si>
    <t>What is the role of defending players?</t>
  </si>
  <si>
    <t>A) To distract, B) To protect target, C) To throw stones, D) To count points</t>
  </si>
  <si>
    <t>B) To protect target</t>
  </si>
  <si>
    <t>Defenders stand near the target to block throws if possible.</t>
  </si>
  <si>
    <t>What is not allowed while defending?</t>
  </si>
  <si>
    <t>A) Standing near target, B) Catching stone with hands, C) Shouting, D) Moving around</t>
  </si>
  <si>
    <t>B) Catching stone with hands</t>
  </si>
  <si>
    <t>Defenders cannot physically catch the stone.</t>
  </si>
  <si>
    <t>How are invalid throws handled?</t>
  </si>
  <si>
    <t>A) Repeated, B) Ignored, C) Penalized, D) Bonus to opponent</t>
  </si>
  <si>
    <t>B) Ignored</t>
  </si>
  <si>
    <t>Invalid throws simply don’t count.</t>
  </si>
  <si>
    <t>What happens if the defending team touches the target themselves?</t>
  </si>
  <si>
    <t>A) Point awarded to attacker, B) No change, C) Replay round, D) Warning only</t>
  </si>
  <si>
    <t>A) Point awarded to attacker</t>
  </si>
  <si>
    <t>If defenders knock down their own target, attackers gain the point.</t>
  </si>
  <si>
    <t>What happens if a player argues aggressively with the referee?</t>
  </si>
  <si>
    <t>A) Warning, B) Penalty, C) Disqualification, D) All of these</t>
  </si>
  <si>
    <t>Referee has full authority to penalize misconduct.</t>
  </si>
  <si>
    <t>How is the playing order of players in a team decided?</t>
  </si>
  <si>
    <t>A) By captain, B) By referee, C) By crowd, D) By lottery</t>
  </si>
  <si>
    <t>A) By captain</t>
  </si>
  <si>
    <t>Team captains decide which player throws in what order.</t>
  </si>
  <si>
    <t>What is the penalty for missing a turn?</t>
  </si>
  <si>
    <t>A) Replay allowed, B) Loss of that chance, C) Deduct a point, D) End game</t>
  </si>
  <si>
    <t>B) Loss of that chance</t>
  </si>
  <si>
    <t>Missed turns are not replayed.</t>
  </si>
  <si>
    <t>What must a stone be checked for before the match?</t>
  </si>
  <si>
    <t>A) Weight, B) Shape, C) Cracks, D) All of these</t>
  </si>
  <si>
    <t>Stones are inspected to ensure fairness.</t>
  </si>
  <si>
    <t>How are extra throws awarded?</t>
  </si>
  <si>
    <t>A) For tie-breakers only, B) For fouls, C) For crowd demand, D) Never</t>
  </si>
  <si>
    <t>A) For tie-breakers only</t>
  </si>
  <si>
    <t>Extra throws are given only to break ties.</t>
  </si>
  <si>
    <t>What happens if the referee makes a mistake in counting?</t>
  </si>
  <si>
    <t>A) Crowd corrects, B) Replay game, C) Correction upon protest, D) Ignore mistake</t>
  </si>
  <si>
    <t>C) Correction upon protest</t>
  </si>
  <si>
    <t>Teams may protest, and referee can correct genuine errors.</t>
  </si>
  <si>
    <t>What is the rule on team uniforms?</t>
  </si>
  <si>
    <t>A) Not required, B) Required for identification, C) Only captains wear, D) Sponsor decides</t>
  </si>
  <si>
    <t>B) Required for identification</t>
  </si>
  <si>
    <t>Teams wear similar colors for clarity.</t>
  </si>
  <si>
    <t>What is the maximum rest time between rounds?</t>
  </si>
  <si>
    <t>A) 1 minute, B) 3 minutes, C) 5 minutes, D) 10 minutes</t>
  </si>
  <si>
    <t>B) 3 minutes</t>
  </si>
  <si>
    <t>Short breaks are allowed but kept under 3 minutes.</t>
  </si>
  <si>
    <t>What happens if both teams refuse tie-breakers?</t>
  </si>
  <si>
    <t>A) Declared draw, B) Toss decides, C) Referee decides winner, D) Replay another day</t>
  </si>
  <si>
    <t>A) Declared draw</t>
  </si>
  <si>
    <t>If both refuse, the game is called a draw.</t>
  </si>
  <si>
    <t>What happens if the stone is too light or too heavy?</t>
  </si>
  <si>
    <t>A) Still used, B) Adjusted by referee, C) Replaced with standard weight, D) Chosen by teams</t>
  </si>
  <si>
    <t>C) Replaced with standard weight</t>
  </si>
  <si>
    <t>Only stones of approved 4–5 kg weight are permitted.</t>
  </si>
  <si>
    <t>What happens if the stone is lifted but not thrown within the referee’s countdown?</t>
  </si>
  <si>
    <t>A) It counts as a throw, B) It is a foul, C) Player gets another chance, D) Opponent gains bonus</t>
  </si>
  <si>
    <t>B) It is a foul</t>
  </si>
  <si>
    <t>Delaying the throw after lifting results in a foul.</t>
  </si>
  <si>
    <t>Which factor is most important for a successful throw in Boli Khela?</t>
  </si>
  <si>
    <t>A) Strength, B) Balance, C) Timing, D) All of the above</t>
  </si>
  <si>
    <t>Throwing requires strength, balance, and timing together.</t>
  </si>
  <si>
    <t>What happens if the stone hits the boundary line of the target area?</t>
  </si>
  <si>
    <t>A) It counts, B) It doesn’t count, C) Half points are awarded, D) Throw is repeated</t>
  </si>
  <si>
    <t>A) It counts</t>
  </si>
  <si>
    <t>Stones landing on the boundary are considered valid.</t>
  </si>
  <si>
    <t>What is the usual attire of Boli Khela players?</t>
  </si>
  <si>
    <t>A) Sports shoes, B) Traditional lungi or shorts, C) Formal wear, D) Barefoot only</t>
  </si>
  <si>
    <t>B) Traditional lungi or shorts</t>
  </si>
  <si>
    <t>Players traditionally wear local attire.</t>
  </si>
  <si>
    <t>Which festival is Boli Khela most commonly associated with?</t>
  </si>
  <si>
    <t>A) Eid, B) Durga Puja, C) Baishakhi, D) New Year</t>
  </si>
  <si>
    <t>C) Baishakhi</t>
  </si>
  <si>
    <t>The game is closely tied to Baishakhi celebrations.</t>
  </si>
  <si>
    <t>In Dariabandha, what is the objective of the 'runner' team?</t>
  </si>
  <si>
    <t>A) To tag the defenders, B) To avoid being caught, C) To capture the flag, D) To reach the end line</t>
  </si>
  <si>
    <t>B) To avoid being caught</t>
  </si>
  <si>
    <t>The primary goal of the runner team is to avoid being caught by the opposing team.</t>
  </si>
  <si>
    <t>How many players typically make up each team in Dariabandha?</t>
  </si>
  <si>
    <t>A) 3-5, B) 5-7, C) 7-9, D) 10-12</t>
  </si>
  <si>
    <t>B) 5-7</t>
  </si>
  <si>
    <t>Dariabandha is usually played with 5 to 7 players on each team.</t>
  </si>
  <si>
    <t>Which of these best describes the role of the 'defender' team in Dariabandha?</t>
  </si>
  <si>
    <t>A) To block paths, B) To score points, C) To capture the runner team, D) To set traps</t>
  </si>
  <si>
    <t>C) To capture the runner team</t>
  </si>
  <si>
    <t>The defender team's main role is to capture the players from the runner team.</t>
  </si>
  <si>
    <t>In Dariabandha, what forms the 'safe zones' that runners must avoid being caught in?</t>
  </si>
  <si>
    <t>A) Circles, B) Triangles, C) Lines, D) Squares</t>
  </si>
  <si>
    <t>C) Lines</t>
  </si>
  <si>
    <t>The game field is divided into lines that act as safe zones where players can strategize.</t>
  </si>
  <si>
    <t>Which action would result in a point for the defending team in Dariabandha?</t>
  </si>
  <si>
    <t>A) Crossing a line, B) Catching a runner, C) Moving out of bounds, D) Touching the starting point</t>
  </si>
  <si>
    <t>B) Catching a runner</t>
  </si>
  <si>
    <t>The defending team scores points by successfully catching members of the runner team.</t>
  </si>
  <si>
    <t>What happens if a runner crosses over the boundary lines in Dariabandha?</t>
  </si>
  <si>
    <t>A) They lose a point, B) They are eliminated, C) The game restarts, D) They get a penalty</t>
  </si>
  <si>
    <t>B) They are eliminated</t>
  </si>
  <si>
    <t>Crossing the boundary lines results in elimination for the runner player.</t>
  </si>
  <si>
    <t>How is the winner decided in a game of Dariabandha?</t>
  </si>
  <si>
    <t>A) By score, B) By time limit, C) By remaining players, D) By audience vote</t>
  </si>
  <si>
    <t>A) By score</t>
  </si>
  <si>
    <t>The team with the highest score at the end of the game wins in Dariabandha.</t>
  </si>
  <si>
    <t>Which term describes the defendersâ€™ movement in Dariabandha?</t>
  </si>
  <si>
    <t>A) Zigzag, B) Linear, C) Rotational, D) Circular</t>
  </si>
  <si>
    <t>B) Linear</t>
  </si>
  <si>
    <t>Defenders can only move along the lines in a linear direction to catch runners.</t>
  </si>
  <si>
    <t>How long is a standard round in Dariabandha?</t>
  </si>
  <si>
    <t>A) 5 minutes, B) 10 minutes, C) 15 minutes, D) 20 minutes</t>
  </si>
  <si>
    <t>B) 10 minutes</t>
  </si>
  <si>
    <t>Each round in Dariabandha typically lasts around 10 minutes.</t>
  </si>
  <si>
    <t>Which player role must remain within the designated lines in Dariabandha?</t>
  </si>
  <si>
    <t>A) Runner, B) Defender, C) Goalkeeper, D) Catcher</t>
  </si>
  <si>
    <t>B) Defender</t>
  </si>
  <si>
    <t>Defenders are restricted to the designated lines while trying to catch runners.</t>
  </si>
  <si>
    <t>What is the purpose of dividing the Dariabandha field into a grid?</t>
  </si>
  <si>
    <t>A) For scoring points, B) For movement restriction, C) For timekeeping, D) For easier viewing</t>
  </si>
  <si>
    <t>B) For movement restriction</t>
  </si>
  <si>
    <t>The grid restricts player movements, adding challenge to the game strategy.</t>
  </si>
  <si>
    <t>What results in a penalty for the defending team in Dariabandha?</t>
  </si>
  <si>
    <t>A) Leaving the grid, B) Crossing over runners, C) Blocking lines, D) Missing a runner</t>
  </si>
  <si>
    <t>A) Leaving the grid</t>
  </si>
  <si>
    <t>If defenders step out of the grid, they incur a penalty for their team.</t>
  </si>
  <si>
    <t>In Dariabandha, which player can move freely between grid lines?</t>
  </si>
  <si>
    <t>A) Defender, B) Runner, C) Captain, D) Catcher</t>
  </si>
  <si>
    <t>B) Runner</t>
  </si>
  <si>
    <t>Runners have the freedom to move between grid lines to evade capture.</t>
  </si>
  <si>
    <t>How many rounds does a typical game of Dariabandha have?</t>
  </si>
  <si>
    <t>C) 3</t>
  </si>
  <si>
    <t>A standard Dariabandha game consists of three rounds for competitive balance.</t>
  </si>
  <si>
    <t>What is the role of the game referee in Dariabandha?</t>
  </si>
  <si>
    <t>A) To coach players, B) To score points, C) To oversee rules, D) To block runners</t>
  </si>
  <si>
    <t>C) To oversee rules</t>
  </si>
  <si>
    <t>The referee ensures all rules are followed and maintains fairness in the game.</t>
  </si>
  <si>
    <t>In Dariabandha, which team starts with the offensive role?</t>
  </si>
  <si>
    <t>A) Runner, B) Defender, C) Captain, D) Coach</t>
  </si>
  <si>
    <t>A) Runner</t>
  </si>
  <si>
    <t>The runner team begins in the offensive role, aiming to avoid capture.</t>
  </si>
  <si>
    <t>What results in automatic elimination for a player in Dariabandha?</t>
  </si>
  <si>
    <t>A) Running off the field, B) Crossing lines, C) Dropping equipment, D) Talking to defenders</t>
  </si>
  <si>
    <t>A) Running off the field</t>
  </si>
  <si>
    <t>Players who run outside the designated field area are automatically eliminated.</t>
  </si>
  <si>
    <t>How many points are typically awarded for each captured runner in Dariabandha?</t>
  </si>
  <si>
    <t>A) 1</t>
  </si>
  <si>
    <t>Each captured runner typically earns the defender team 1 point.</t>
  </si>
  <si>
    <t>In Dariabandha, what does a runner achieve by crossing to the end line?</t>
  </si>
  <si>
    <t>A) A free pass, B) Bonus points, C) Safety, D) Extra time</t>
  </si>
  <si>
    <t>C) Safety</t>
  </si>
  <si>
    <t>Runners reaching the end line can rest in safety, avoiding capture.</t>
  </si>
  <si>
    <t>What action restarts the game in Dariabandha?</t>
  </si>
  <si>
    <t>A) Runner elimination, B) Defender crossing lines, C) Reaching time limit, D) Reaching safety</t>
  </si>
  <si>
    <t>A) Runner elimination</t>
  </si>
  <si>
    <t>Elimination of all runners signals the end of the round, resetting the game.</t>
  </si>
  <si>
    <t>What happens if all runners are caught in Dariabandha?</t>
  </si>
  <si>
    <t>A) Defenders lose points, B) Game resets, C) New runners enter, D) Game ends</t>
  </si>
  <si>
    <t>B) Game resets</t>
  </si>
  <si>
    <t>Once all runners are caught, the game resets for the next round.</t>
  </si>
  <si>
    <t>In Dariabandha, where must defenders keep their hands to avoid penalties?</t>
  </si>
  <si>
    <t>A) At their sides, B) Above their heads, C) Behind their backs, D) On the lines</t>
  </si>
  <si>
    <t>D) On the lines</t>
  </si>
  <si>
    <t>Defenders must keep their hands on the lines to avoid penalties.</t>
  </si>
  <si>
    <t>What is the main strategy for the defending team in Dariabandha?</t>
  </si>
  <si>
    <t>A) Trap runners, B) Follow runners, C) Block grid lines, D) Hide behind lines</t>
  </si>
  <si>
    <t>A) Trap runners</t>
  </si>
  <si>
    <t>The defending team uses a strategy to trap runners within specific grid areas.</t>
  </si>
  <si>
    <t>How does a defender earn extra points in Dariabandha?</t>
  </si>
  <si>
    <t>A) By crossing grid lines, B) By eliminating multiple runners, C) By touching all lines, D) By reaching the end line</t>
  </si>
  <si>
    <t>B) By eliminating multiple runners</t>
  </si>
  <si>
    <t>Defenders earn bonus points for capturing multiple runners in a round.</t>
  </si>
  <si>
    <t>What is the primary skill needed by runners in Dariabandha?</t>
  </si>
  <si>
    <t>A) Endurance, B) Agility, C) Strength, D) Flexibility</t>
  </si>
  <si>
    <t>B) Agility</t>
  </si>
  <si>
    <t>Runners rely on agility to evade capture by quickly moving within the grid.</t>
  </si>
  <si>
    <t>In Dariabandha, what happens if a defender steps out of the grid lines?</t>
  </si>
  <si>
    <t>A) They are disqualified, B) They lose a point, C) The game pauses, D) The round resets</t>
  </si>
  <si>
    <t>A) They are disqualified</t>
  </si>
  <si>
    <t>A defender stepping out of grid lines results in disqualification from that round.</t>
  </si>
  <si>
    <t>How does a runner gain an advantage in Dariabandha?</t>
  </si>
  <si>
    <t>A) By crossing defenders, B) By reaching the end zone, C) By tagging defenders, D) By stepping outside the field</t>
  </si>
  <si>
    <t>B) By reaching the end zone</t>
  </si>
  <si>
    <t>Reaching the end zone provides safety and a strategic advantage to runners.</t>
  </si>
  <si>
    <t>Which item is typically used to mark the grid lines in Dariabandha?</t>
  </si>
  <si>
    <t>A) Chalk, B) Rope, C) Stones, D) Sticks</t>
  </si>
  <si>
    <t>A) Chalk</t>
  </si>
  <si>
    <t>Chalk is commonly used to draw the grid lines on the ground in Dariabandha.</t>
  </si>
  <si>
    <t>What type of surface is Dariabandha traditionally played on?</t>
  </si>
  <si>
    <t>A) Grass, B) Mud, C) Sand, D) Concrete</t>
  </si>
  <si>
    <t>B) Mud</t>
  </si>
  <si>
    <t>Dariabandha is often played on a mud surface for better traction and safety.</t>
  </si>
  <si>
    <t>How does the defending team typically position itself at the start of Dariabandha?</t>
  </si>
  <si>
    <t>A) Randomly, B) In a line, C) In pairs, D) Along grid lines</t>
  </si>
  <si>
    <t>D) Along grid lines</t>
  </si>
  <si>
    <t>Defenders are positioned along the grid lines at the start to control the field.</t>
  </si>
  <si>
    <t>What happens if a runner collides with a defender in Dariabandha?</t>
  </si>
  <si>
    <t>A) Defender wins a point, B) Runner is out, C) Game restarts, D) Runner switches teams</t>
  </si>
  <si>
    <t>B) Runner is out</t>
  </si>
  <si>
    <t>A collision with a defender results in the runner being eliminated from the round.</t>
  </si>
  <si>
    <t>In Dariabandha, which player role has the main task of evasion?</t>
  </si>
  <si>
    <t>A) Defender, B) Runner, C) Goalkeeper, D) Blocker</t>
  </si>
  <si>
    <t>Runners' main role is to evade defenders and stay within the grid lines.</t>
  </si>
  <si>
    <t>What happens if all defenders are distracted in Dariabandha?</t>
  </si>
  <si>
    <t>A) Runners win automatically, B) Runners can score freely, C) Game pauses, D) Runners receive a penalty</t>
  </si>
  <si>
    <t>B) Runners can score freely</t>
  </si>
  <si>
    <t>If defenders lose focus, runners can move freely to the end zones for points.</t>
  </si>
  <si>
    <t>Which direction are defenders typically restricted to in Dariabandha?</t>
  </si>
  <si>
    <t>A) Horizontal, B) Diagonal, C) Vertical, D) Circular</t>
  </si>
  <si>
    <t>C) Vertical</t>
  </si>
  <si>
    <t>Defenders are often restricted to moving vertically along specific lines in the grid.</t>
  </si>
  <si>
    <t>How does a round end in Dariabandha?</t>
  </si>
  <si>
    <t>A) All defenders are caught, B) Time limit ends, C) All runners are captured, D) Defender reaches end zone</t>
  </si>
  <si>
    <t>C) All runners are captured</t>
  </si>
  <si>
    <t>The round ends once all runners are captured by the defenders.</t>
  </si>
  <si>
    <t>What does the term 'Dariabandha' translate to in English?</t>
  </si>
  <si>
    <t>A) Line of Safety, B) Block the Path, C) Circle of Defenders, D) Boundary Game</t>
  </si>
  <si>
    <t>B) Block the Path</t>
  </si>
  <si>
    <t>Dariabandha' roughly translates to 'Block the Path,' indicating the game's objective.</t>
  </si>
  <si>
    <t>What is a key skill for defenders in Dariabandha?</t>
  </si>
  <si>
    <t>A) Speed, B) Patience, C) Strength, D) Jumping</t>
  </si>
  <si>
    <t>B) Patience</t>
  </si>
  <si>
    <t>Defenders need patience to wait for the right moment to capture runners.</t>
  </si>
  <si>
    <t>What advantage does a runner gain by reaching the safe zones repeatedly?</t>
  </si>
  <si>
    <t>A) Extra points, B) Additional players, C) Time bonuses, D) Fewer defenders</t>
  </si>
  <si>
    <t>A) Extra points</t>
  </si>
  <si>
    <t>Reaching safe zones multiple times can earn runners extra points.</t>
  </si>
  <si>
    <t>Which of these is a key tactic for runners in Dariabandha?</t>
  </si>
  <si>
    <t>A) Running in circles, B) Hiding, C) Zigzag movement, D) Jumping over defenders</t>
  </si>
  <si>
    <t>C) Zigzag movement</t>
  </si>
  <si>
    <t>Zigzag movement helps runners avoid predictable paths and evade defenders.</t>
  </si>
  <si>
    <t>What signals the end of the game in Dariabandha?</t>
  </si>
  <si>
    <t>A) Timer expires, B) Maximum score is reached, C) All runners are caught, D) Defender captures runner</t>
  </si>
  <si>
    <t>B) Maximum score is reached</t>
  </si>
  <si>
    <t>The game concludes when a team reaches the maximum score limit set before play.</t>
  </si>
  <si>
    <t>In Dariabandha, how are teams chosen?</t>
  </si>
  <si>
    <t>A) Randomly, B) By skill, C) By age, D) Players choose</t>
  </si>
  <si>
    <t>A) Randomly</t>
  </si>
  <si>
    <t>Teams are usually formed randomly to ensure fair play and balance.</t>
  </si>
  <si>
    <t>Which defensive technique is most effective in Dariabandha?</t>
  </si>
  <si>
    <t>A) Forming a line, B) Moving randomly, C) Blocking safe zones, D) Chasing runners</t>
  </si>
  <si>
    <t>C) Blocking safe zones</t>
  </si>
  <si>
    <t>Blocking safe zones restricts runners' movements and increases chances of capture.</t>
  </si>
  <si>
    <t>How can a defender legally prevent a runner from reaching the end zone?</t>
  </si>
  <si>
    <t>A) By crossing lines, B) By moving quickly, C) By blocking the path, D) By hiding</t>
  </si>
  <si>
    <t>C) By blocking the path</t>
  </si>
  <si>
    <t>Defenders legally prevent runners by blocking their path without leaving the grid.</t>
  </si>
  <si>
    <t>Which skill is least important in Dariabandha?</t>
  </si>
  <si>
    <t>A) Endurance, B) Agility, C) Flexibility, D) Jumping</t>
  </si>
  <si>
    <t>D) Jumping</t>
  </si>
  <si>
    <t>Jumping is rarely needed in Dariabandha compared to agility and endurance.</t>
  </si>
  <si>
    <t>How many times can a runner reach the end line without being caught in Dariabandha?</t>
  </si>
  <si>
    <t>A) Once, B) Twice, C) Three times, D) Unlimited</t>
  </si>
  <si>
    <t>D) Unlimited</t>
  </si>
  <si>
    <t>Runners can reach the end line as many times as they can avoid being caught.</t>
  </si>
  <si>
    <t>What strategy might runners use to distract defenders in Dariabandha?</t>
  </si>
  <si>
    <t>A) Moving in groups, B) Shouting, C) Running in circles, D) Staying still</t>
  </si>
  <si>
    <t>A) Moving in groups</t>
  </si>
  <si>
    <t>Runners may use group movements to confuse defenders and create openings.</t>
  </si>
  <si>
    <t>How does a defender earn a bonus in Dariabandha?</t>
  </si>
  <si>
    <t>A) By catching multiple runners, B) By blocking an end zone, C) By reaching the start line, D) By scoring alone</t>
  </si>
  <si>
    <t>A) By catching multiple runners</t>
  </si>
  <si>
    <t>Catching multiple runners in quick succession often earns defenders a bonus.</t>
  </si>
  <si>
    <t>What does the defending team rely on most in Dariabandha?</t>
  </si>
  <si>
    <t>A) Speed, B) Blocking, C) Agility, D) Teamwork</t>
  </si>
  <si>
    <t>D) Teamwork</t>
  </si>
  <si>
    <t>Effective teamwork is crucial for defenders to cover the grid and catch runners.</t>
  </si>
  <si>
    <t>How can a runner re-enter the game in Dariabandha after being caught?</t>
  </si>
  <si>
    <t>A) By scoring a point, B) By crossing a line, C) They cannot, D) By reaching the end line</t>
  </si>
  <si>
    <t>C) They cannot</t>
  </si>
  <si>
    <t>Once caught, runners cannot re-enter until the next round.</t>
  </si>
  <si>
    <t>Which of these actions is allowed in Dariabandha?</t>
  </si>
  <si>
    <t>A) Touching opponents, B) Crossing lines, C) Running out of bounds, D) Evading defenders</t>
  </si>
  <si>
    <t>D) Evading defenders</t>
  </si>
  <si>
    <t>Evading defenders is a legal and essential action for runners in Dariabandha.</t>
  </si>
  <si>
    <t>What happens if a runner crosses multiple defenders?</t>
  </si>
  <si>
    <t>A) Game restarts, B) Points are scored, C) Runner is out, D) Runner earns extra time</t>
  </si>
  <si>
    <t>B) Points are scored</t>
  </si>
  <si>
    <t>Crossing multiple defenders successfully earns runners additional points.</t>
  </si>
  <si>
    <t>What is the primary objective for runners in Dariabandha?</t>
  </si>
  <si>
    <t>A) Evade defenders, B) Score goals, C) Reach the center line, D) Stay in one place</t>
  </si>
  <si>
    <t>A) Evade defenders</t>
  </si>
  <si>
    <t>Runners' main objective is to evade defenders while moving across the grid.</t>
  </si>
  <si>
    <t>How many defenders are allowed to occupy the same line in Dariabandha?</t>
  </si>
  <si>
    <t>Only one defender is allowed per line to ensure fair play and movement for runners.</t>
  </si>
  <si>
    <t>What action is forbidden for defenders while in position?</t>
  </si>
  <si>
    <t>A) Moving sideways, B) Standing still, C) Crossing lines, D) Blocking runners</t>
  </si>
  <si>
    <t>C) Crossing lines</t>
  </si>
  <si>
    <t>Defenders must remain on their assigned lines and cannot cross into others.</t>
  </si>
  <si>
    <t>If a runner is tagged by a defender, what happens?</t>
  </si>
  <si>
    <t>A) Runner gains a point, B) Runner is out, C) Defender gains a point, D) Game resets</t>
  </si>
  <si>
    <t>When a runner is tagged, they are considered 'out' for the rest of that round.</t>
  </si>
  <si>
    <t>How does a team win in Dariabandha?</t>
  </si>
  <si>
    <t>A) By eliminating defenders, B) By scoring the most points, C) By occupying the field, D) By tagging all runners</t>
  </si>
  <si>
    <t>B) By scoring the most points</t>
  </si>
  <si>
    <t>The team with the highest score at the end wins the game.</t>
  </si>
  <si>
    <t>What is the main role of the defending team in Dariabandha?</t>
  </si>
  <si>
    <t>A) To chase runners, B) To block paths, C) To capture end zones, D) To switch positions</t>
  </si>
  <si>
    <t>B) To block paths</t>
  </si>
  <si>
    <t>Defenders focus on blocking paths to prevent runners from crossing the grid.</t>
  </si>
  <si>
    <t>Which skill is crucial for runners to succeed in Dariabandha?</t>
  </si>
  <si>
    <t>A) Jumping, B) Flexibility, C) Agility, D) Strength</t>
  </si>
  <si>
    <t>C) Agility</t>
  </si>
  <si>
    <t>Agility is essential for runners to swiftly evade defenders and navigate the grid.</t>
  </si>
  <si>
    <t>What happens if a runner reaches the end zone without being tagged?</t>
  </si>
  <si>
    <t>A) They switch teams, B) They earn a point, C) Game pauses, D) Defender is out</t>
  </si>
  <si>
    <t>B) They earn a point</t>
  </si>
  <si>
    <t>Reaching the end zone without being tagged earns a point for the runner's team.</t>
  </si>
  <si>
    <t>In Dariabandha, which movement is typically prohibited for defenders?</t>
  </si>
  <si>
    <t>A) Forward, B) Backward, C) Diagonal, D) Vertical</t>
  </si>
  <si>
    <t>C) Diagonal</t>
  </si>
  <si>
    <t>Defenders usually canâ€™t move diagonally, limiting their movement options.</t>
  </si>
  <si>
    <t>What is the maximum number of defenders allowed in one row of the grid in Dariabandha?</t>
  </si>
  <si>
    <t>A) 1, B) 2, C) 3, D) Unlimited</t>
  </si>
  <si>
    <t>Only one defender can occupy a single row to maintain fair gameplay.</t>
  </si>
  <si>
    <t>What must runners do before entering the grid in Dariabandha?</t>
  </si>
  <si>
    <t>A) Wait for referee’s signal, B) Run immediately, C) Touch defenders, D) Jump into the grid</t>
  </si>
  <si>
    <t>A) Wait for referee’s signal</t>
  </si>
  <si>
    <t>Runners can only begin once the referee gives the start signal.</t>
  </si>
  <si>
    <t>What is the penalty for defenders starting before the referee’s whistle?</t>
  </si>
  <si>
    <t>A) Disqualification, B) Warning, C) Runners get free pass, D) Round restarts</t>
  </si>
  <si>
    <t>C) Runners get free pass</t>
  </si>
  <si>
    <t>Early movement by defenders gives runners a free advantage.</t>
  </si>
  <si>
    <t>How far apart are the parallel lines usually drawn in Dariabandha?</t>
  </si>
  <si>
    <t>A) 1 foot, B) 2 feet, C) 3 feet, D) 4 feet</t>
  </si>
  <si>
    <t>C) 3 feet</t>
  </si>
  <si>
    <t>Parallel lines are generally spaced about 3 feet apart for fair play.</t>
  </si>
  <si>
    <t>Which team switches roles after each round in Dariabandha?</t>
  </si>
  <si>
    <t>A) Runner, B) Defender, C) Both, D) Neither</t>
  </si>
  <si>
    <t>C) Both</t>
  </si>
  <si>
    <t>Both teams switch roles after every round for balance.</t>
  </si>
  <si>
    <t>What must defenders avoid while attempting to tag runners?</t>
  </si>
  <si>
    <t>A) Crossing lines, B) Standing still, C) Shouting, D) Moving quickly</t>
  </si>
  <si>
    <t>A) Crossing lines</t>
  </si>
  <si>
    <t>Defenders are not allowed to leave or cross their assigned lines.</t>
  </si>
  <si>
    <t>In case of a tie after all rounds, how is the winner decided?</t>
  </si>
  <si>
    <t>A) Coin toss, B) Extra round, C) Time replay, D) No result</t>
  </si>
  <si>
    <t>B) Extra round</t>
  </si>
  <si>
    <t>An additional round is played to break the tie.</t>
  </si>
  <si>
    <t>What is the referee’s signal to start the game?</t>
  </si>
  <si>
    <t>A) Hand raise, B) Whistle, C) Flag drop, D) Clap</t>
  </si>
  <si>
    <t>B) Whistle</t>
  </si>
  <si>
    <t>A whistle usually signals the beginning of the game.</t>
  </si>
  <si>
    <t>What is the minimum number of lines needed to draw a Dariabandha field?</t>
  </si>
  <si>
    <t>C) 4</t>
  </si>
  <si>
    <t>At least four lines are required to create a playable grid.</t>
  </si>
  <si>
    <t>Which side of the field do runners usually start from?</t>
  </si>
  <si>
    <t>A) Left side, B) Right side, C) One end, D) Center</t>
  </si>
  <si>
    <t>C) One end</t>
  </si>
  <si>
    <t>Runners begin from one designated end of the grid.</t>
  </si>
  <si>
    <t>What is the maximum time a runner can remain in one safe zone?</t>
  </si>
  <si>
    <t>A) 5 sec, B) 10 sec, C) 15 sec, D) Unlimited</t>
  </si>
  <si>
    <t>B) 10 sec</t>
  </si>
  <si>
    <t>Staying too long in one zone results in a penalty.</t>
  </si>
  <si>
    <t>Which team is responsible for drawing the field lines before play begins?</t>
  </si>
  <si>
    <t>A) Runner team, B) Defender team, C) Both teams, D) Referee</t>
  </si>
  <si>
    <t>D) Referee</t>
  </si>
  <si>
    <t>The referee or organizers ensure the grid is marked properly.</t>
  </si>
  <si>
    <t>What happens if defenders block more than one grid at the same time?</t>
  </si>
  <si>
    <t>A) Bonus points, B) Warning, C) Penalty, D) Game ends</t>
  </si>
  <si>
    <t>C) Penalty</t>
  </si>
  <si>
    <t>Defenders must stay in their designated rows, blocking multiple grids is a foul.</t>
  </si>
  <si>
    <t>How are captured runners removed from the field?</t>
  </si>
  <si>
    <t>A) By referee signal, B) They leave immediately, C) They switch sides, D) They stay seated</t>
  </si>
  <si>
    <t>B) They leave immediately</t>
  </si>
  <si>
    <t>Eliminated runners must leave the field without delay.</t>
  </si>
  <si>
    <t>What happens if runners intentionally collide with defenders?</t>
  </si>
  <si>
    <t>A) Runner scores, B) Runner is out, C) Defender is penalized, D) Game resets</t>
  </si>
  <si>
    <t>Colliding with defenders deliberately results in runner elimination.</t>
  </si>
  <si>
    <t>Which direction can runners NOT move in Dariabandha?</t>
  </si>
  <si>
    <t>A) Forward, B) Backward, C) Diagonal, D) Zigzag</t>
  </si>
  <si>
    <t>Runners can move forward, backward, and zigzag, but not strictly diagonal across lines.</t>
  </si>
  <si>
    <t>What is the usual size of a Dariabandha field?</t>
  </si>
  <si>
    <t>A) 20x10 ft, B) 30x15 ft, C) 50x20 ft, D) 60x30 ft</t>
  </si>
  <si>
    <t>C) 50x20 ft</t>
  </si>
  <si>
    <t>Standard Dariabandha fields are about 50 feet by 20 feet.</t>
  </si>
  <si>
    <t>What happens if defenders argue with the referee?</t>
  </si>
  <si>
    <t>A) Warning, B) Point deduction, C) Expulsion, D) Runners get free points</t>
  </si>
  <si>
    <t>B) Point deduction</t>
  </si>
  <si>
    <t>Unsportsmanlike conduct against the referee results in point penalties.</t>
  </si>
  <si>
    <t>What is the maximum number of defenders a team can have in official Dariabandha matches?</t>
  </si>
  <si>
    <t>A) 5, B) 6, C) 7, D) 9</t>
  </si>
  <si>
    <t>B) 6</t>
  </si>
  <si>
    <t>Typically, 5–7 players per team are allowed, with 6 defenders in standard rules.</t>
  </si>
  <si>
    <t>Which part of the defender’s body must touch the line during play?</t>
  </si>
  <si>
    <t>A) Hand, B) Foot, C) Head, D) Elbow</t>
  </si>
  <si>
    <t>B) Foot</t>
  </si>
  <si>
    <t>Defenders must keep at least one foot on their designated line.</t>
  </si>
  <si>
    <t>What must runners avoid doing while in safe zones?</t>
  </si>
  <si>
    <t>A) Talking, B) Resting too long, C) Moving sideways, D) Laughing</t>
  </si>
  <si>
    <t>B) Resting too long</t>
  </si>
  <si>
    <t>Staying too long in safe zones is against the rules.</t>
  </si>
  <si>
    <t>What happens if a runner steps exactly on a boundary line?</t>
  </si>
  <si>
    <t>A) Runner is safe, B) Runner is out, C) Game restarts, D) Defender is penalized</t>
  </si>
  <si>
    <t>Stepping on the boundary line is treated as leaving the field.</t>
  </si>
  <si>
    <t>When can substitutes enter a Dariabandha game?</t>
  </si>
  <si>
    <t>A) Anytime, B) Only between rounds, C) When referee allows, D) After a runner is caught</t>
  </si>
  <si>
    <t>B) Only between rounds</t>
  </si>
  <si>
    <t>Substitutions are permitted only between rounds.</t>
  </si>
  <si>
    <t>What is the usual width of a line drawn on the field?</t>
  </si>
  <si>
    <t>A) 1 inch, B) 2 inches, C) 3 inches, D) 4 inches</t>
  </si>
  <si>
    <t>B) 2 inches</t>
  </si>
  <si>
    <t>Lines are generally drawn about 2 inches thick for visibility.</t>
  </si>
  <si>
    <t>What happens if defenders leave their positions without reason?</t>
  </si>
  <si>
    <t>A) No effect, B) Warning, C) Runner gets points, D) Round restarts</t>
  </si>
  <si>
    <t>B) Warning</t>
  </si>
  <si>
    <t>Defenders leaving their assigned line positions can be warned or penalized.</t>
  </si>
  <si>
    <t>What is the maximum number of rounds that can be added as tiebreakers?</t>
  </si>
  <si>
    <t>Usually, only one additional round is added in case of a tie.</t>
  </si>
  <si>
    <t>Who decides the final outcome in disputes?</t>
  </si>
  <si>
    <t>A) Captain, B) Audience, C) Referee, D) Runners</t>
  </si>
  <si>
    <t>C) Referee</t>
  </si>
  <si>
    <t>The referee has the final authority in resolving disputes.</t>
  </si>
  <si>
    <t>How are grid sections marked on mud fields?</t>
  </si>
  <si>
    <t>A) Chalk, B) Ash, C) Rope, D) Water</t>
  </si>
  <si>
    <t>B) Ash</t>
  </si>
  <si>
    <t>In mud fields, ash or lime powder is often used to draw grids.</t>
  </si>
  <si>
    <t>What is the minimum number of players required to start a Dariabandha match?</t>
  </si>
  <si>
    <t>A) 4, B) 6, C) 8, D) 10</t>
  </si>
  <si>
    <t>A minimum of 3 players per side (6 total) is required.</t>
  </si>
  <si>
    <t>What is the penalty for a runner faking injury?</t>
  </si>
  <si>
    <t>A) Warning, B) Point deduction, C) Disqualification, D) Extra time</t>
  </si>
  <si>
    <t>Pretending injury for advantage leads to disqualification.</t>
  </si>
  <si>
    <t>Which team is responsible for keeping time in informal matches?</t>
  </si>
  <si>
    <t>A) Runner team, B) Defender team, C) Referee, D) Spectators</t>
  </si>
  <si>
    <t>Referees or organizers keep official time.</t>
  </si>
  <si>
    <t>What happens if a runner enters the grid before the whistle?</t>
  </si>
  <si>
    <t>A) They are safe, B) They are out, C) They get a point, D) Defender penalized</t>
  </si>
  <si>
    <t>B) They are out</t>
  </si>
  <si>
    <t>Entering before the start signal results in elimination.</t>
  </si>
  <si>
    <t>What is the maximum number of steps a defender can take without touching the line again?</t>
  </si>
  <si>
    <t>Defenders must always keep at least one step close to their line.</t>
  </si>
  <si>
    <t>What happens if the field marking gets erased during play?</t>
  </si>
  <si>
    <t>A) Game continues, B) Match is paused, C) Defenders get points, D) Runners win</t>
  </si>
  <si>
    <t>B) Match is paused</t>
  </si>
  <si>
    <t>The referee pauses the game to redraw missing lines.</t>
  </si>
  <si>
    <t>What is the standard rest time between rounds?</t>
  </si>
  <si>
    <t>A) 1 min, B) 2 min, C) 5 min, D) 10 min</t>
  </si>
  <si>
    <t>B) 2 min</t>
  </si>
  <si>
    <t>Players usually get 2 minutes of rest between rounds.</t>
  </si>
  <si>
    <t>What happens if two defenders accidentally stand on the same line?</t>
  </si>
  <si>
    <t>A) Nothing, B) Penalty, C) Runners score, D) Game restarts</t>
  </si>
  <si>
    <t>B) Penalty</t>
  </si>
  <si>
    <t>Only one defender is allowed per line; more than one is penalized.</t>
  </si>
  <si>
    <t>Which side of the grid is considered the "end zone"?</t>
  </si>
  <si>
    <t>A) Both ends, B) One end only, C) Center, D) Left side</t>
  </si>
  <si>
    <t>A) Both ends</t>
  </si>
  <si>
    <t>Runners can reach either end zone for safety and points.</t>
  </si>
  <si>
    <t>What happens if a defender tags a runner outside the grid?</t>
  </si>
  <si>
    <t>A) Runner is out, B) Defender penalized, C) Both eliminated, D) Game restarts</t>
  </si>
  <si>
    <t>B) Defender penalized</t>
  </si>
  <si>
    <t>Defenders can only tag within their assigned grid lines.</t>
  </si>
  <si>
    <t>Which skill is equally important for both runners and defenders?</t>
  </si>
  <si>
    <t>A) Strength, B) Flexibility, C) Concentration, D) Jumping</t>
  </si>
  <si>
    <t>C) Concentration</t>
  </si>
  <si>
    <t>Both roles require high concentration to succeed.</t>
  </si>
  <si>
    <t>What happens if a team refuses to switch roles after a round?</t>
  </si>
  <si>
    <t>A) Game ends, B) Automatic forfeit, C) Point deduction, D) Replay</t>
  </si>
  <si>
    <t>B) Automatic forfeit</t>
  </si>
  <si>
    <t>Refusal to switch roles leads to team disqualification/forfeit.</t>
  </si>
  <si>
    <t>What is the maximum duration of a full Dariabandha match?</t>
  </si>
  <si>
    <t>A) 15 min, B) 30 min, C) 45 min, D) 60 min</t>
  </si>
  <si>
    <t>B) 30 min</t>
  </si>
  <si>
    <t>A standard game with 3 rounds usually lasts around 30 minutes.</t>
  </si>
  <si>
    <t>What happens if runners delay entering the grid after the whistle?</t>
  </si>
  <si>
    <t>A) Nothing, B) Runners are warned, C) Defenders score, D) Round restarts</t>
  </si>
  <si>
    <t>B) Runners are warned</t>
  </si>
  <si>
    <t>Delaying entry after the whistle is penalized with a warning.</t>
  </si>
  <si>
    <t>How many end zones are typically drawn on a Dariabandha field?</t>
  </si>
  <si>
    <t>One at each end of the field for runners to reach safely.</t>
  </si>
  <si>
    <t>Which team must remain silent during the opposing team’s turn?</t>
  </si>
  <si>
    <t>To ensure fairness, both teams must avoid distracting noise during turns.</t>
  </si>
  <si>
    <t>What happens if a defender accidentally leaves the line while tagging?</t>
  </si>
  <si>
    <t>A) Runner out, B) Defender penalized, C) No effect, D) Runner gets points</t>
  </si>
  <si>
    <t>Defenders must remain strictly on their line when tagging.</t>
  </si>
  <si>
    <t>What is the maximum number of runners allowed on the field at one time?</t>
  </si>
  <si>
    <t>A) 3, B) 5, C) 7, D) 9</t>
  </si>
  <si>
    <t>C) 7</t>
  </si>
  <si>
    <t>Standard rules allow 5–7 runners per round.</t>
  </si>
  <si>
    <t>What is the purpose of the midline in Dariabandha?</t>
  </si>
  <si>
    <t>A) Rest zone, B) Scoring line, C) Division of field, D) Substitution area</t>
  </si>
  <si>
    <t>C) Division of field</t>
  </si>
  <si>
    <t>The midline divides the field into two equal halves for play.</t>
  </si>
  <si>
    <t>Which object is NOT permitted for marking lines in Dariabandha?</t>
  </si>
  <si>
    <t>A) Chalk, B) Ash, C) Paint, D) Rope</t>
  </si>
  <si>
    <t>D) Rope</t>
  </si>
  <si>
    <t>Rope is not suitable as it can cause tripping hazards.</t>
  </si>
  <si>
    <t>What happens if a defender intentionally pushes a runner?</t>
  </si>
  <si>
    <t>A) Runner out, B) Defender penalized, C) Game reset, D) Both eliminated</t>
  </si>
  <si>
    <t>Physical pushing is illegal and results in penalties.</t>
  </si>
  <si>
    <t>What happens if no runners can cross to the end zone within the round time?</t>
  </si>
  <si>
    <t>A) Defenders win, B) Round resets, C) No points, D) Extra time</t>
  </si>
  <si>
    <t>A) Defenders win</t>
  </si>
  <si>
    <t>If no runner scores, the defenders automatically win the round.</t>
  </si>
  <si>
    <t>How many defenders can tag the same runner at once?</t>
  </si>
  <si>
    <t>Only one defender is allowed to tag a runner to avoid confusion.</t>
  </si>
  <si>
    <t>What happens if runners deliberately step out to waste time?</t>
  </si>
  <si>
    <t>A) Runner safe, B) Runner out, C) Defenders penalized, D) Game restarts</t>
  </si>
  <si>
    <t>B) Runner out</t>
  </si>
  <si>
    <t>Any deliberate step outside eliminates the runner.</t>
  </si>
  <si>
    <t>What is the referee’s role during substitutions?</t>
  </si>
  <si>
    <t>A) Approve changes, B) Ignore them, C) Decide players, D) Score points</t>
  </si>
  <si>
    <t>A) Approve changes</t>
  </si>
  <si>
    <t>The referee must approve all substitutions.</t>
  </si>
  <si>
    <t>What happens if a runner reaches the end zone after time has expired?</t>
  </si>
  <si>
    <t>A) Runner safe, B) No point, C) Bonus point, D) Replay</t>
  </si>
  <si>
    <t>Points are only valid if scored within time limits.</t>
  </si>
  <si>
    <t>Which part of the field must remain clear for safe play?</t>
  </si>
  <si>
    <t>A) End zones, B) Boundary lines, C) Grid lines, D) Sidelines</t>
  </si>
  <si>
    <t>D) Sidelines</t>
  </si>
  <si>
    <t>Sidelines must remain clear of people or objects to avoid accidents.</t>
  </si>
  <si>
    <t>What happens if the number of players drops below minimum mid-match?</t>
  </si>
  <si>
    <t>A) Continue, B) Match ends, C) Defenders get points, D) Substitute joins instantly</t>
  </si>
  <si>
    <t>B) Match ends</t>
  </si>
  <si>
    <t>A match cannot continue if fewer than the minimum players remain.</t>
  </si>
  <si>
    <t>What is the consequence of repeated fouls by the same defender?</t>
  </si>
  <si>
    <t>A) Warning, B) Substitution, C) Expulsion, D) Free points to runners</t>
  </si>
  <si>
    <t>C) Expulsion</t>
  </si>
  <si>
    <t>Repeated fouls can lead to permanent removal from the match.</t>
  </si>
  <si>
    <t>Which part of the body is a legal tagging area in Dariabandha?</t>
  </si>
  <si>
    <t>A) Any part, B) Only hand, C) Only shoulder, D) Only foot</t>
  </si>
  <si>
    <t>A) Any part</t>
  </si>
  <si>
    <t>Defenders can tag runners using any body part, usually the hand.</t>
  </si>
  <si>
    <t>What happens if both teams score the same in the final round?</t>
  </si>
  <si>
    <t>A) Replay match, B) Extra round, C) Both declared winners, D) Penalty shootout style</t>
  </si>
  <si>
    <t>A tiebreaker round is played to decide the winner.</t>
  </si>
  <si>
    <t>What happens if a runner refuses to leave after being tagged?</t>
  </si>
  <si>
    <t>A) Runner stays, B) Round ends, C) Referee penalizes, D) Defender loses point</t>
  </si>
  <si>
    <t>C) Referee penalizes</t>
  </si>
  <si>
    <t>The referee can penalize the team if a tagged runner doesn’t leave.</t>
  </si>
  <si>
    <t>What must defenders avoid doing when stationed on their line?</t>
  </si>
  <si>
    <t>A) Sitting down, B) Leaving line, C) Blocking sideways, D) Shouting</t>
  </si>
  <si>
    <t>A) Sitting down</t>
  </si>
  <si>
    <t>Defenders cannot sit or kneel while on duty, they must stay active.</t>
  </si>
  <si>
    <t>Which team earns the first move after the toss?</t>
  </si>
  <si>
    <t>A) Runner, B) Defender, C) Both together, D) Referee decides</t>
  </si>
  <si>
    <t>The toss-winning team typically chooses to start as runners.</t>
  </si>
  <si>
    <t>What is the penalty if a runner crosses the grid diagonally?</t>
  </si>
  <si>
    <t>A) Warning, B) Elimination, C) Extra point, D) Defender penalized</t>
  </si>
  <si>
    <t>B) Elimination</t>
  </si>
  <si>
    <t>Moving diagonally is against rules and causes elimination.</t>
  </si>
  <si>
    <t>Which condition can stop a match immediately?</t>
  </si>
  <si>
    <t>A) Noise, B) Foul, C) Rain, D) Shouting</t>
  </si>
  <si>
    <t>C) Rain</t>
  </si>
  <si>
    <t>Heavy rain or unsafe weather may cause suspension of the match.</t>
  </si>
  <si>
    <t>How many whistles usually indicate the end of a round?</t>
  </si>
  <si>
    <t>Two whistles typically signal the round’s conclusion.</t>
  </si>
  <si>
    <t>In Golla Chut, what is the minimum number of players required on each team?</t>
  </si>
  <si>
    <t>A) 4, B) 5, C) 6, D) 7</t>
  </si>
  <si>
    <t>C) 6</t>
  </si>
  <si>
    <t>Golla Chut requires at least six players per team for optimal play.</t>
  </si>
  <si>
    <t>What is the main objective for the 'chasing' team in Golla Chut?</t>
  </si>
  <si>
    <t>A) Capture all players on the other team, B) Reach a designated line, C) Score goals, D) Cross the boundary line</t>
  </si>
  <si>
    <t>A) Capture all players on the other team</t>
  </si>
  <si>
    <t>The primary aim of the chasing team is to tag and capture the members of the other team.</t>
  </si>
  <si>
    <t>In Golla Chut, what is the 'chut' area?</t>
  </si>
  <si>
    <t>A) A resting area for the players, B) A designated safe zone, C) The starting point for the game, D) The finishing line</t>
  </si>
  <si>
    <t>B) A designated safe zone</t>
  </si>
  <si>
    <t>The 'chut' area is a safe zone where players cannot be tagged.</t>
  </si>
  <si>
    <t>Which team starts as the 'chasing' team in Golla Chut?</t>
  </si>
  <si>
    <t>A) Decided by coin toss, B) The team with fewer players, C) The team with more points, D) Alternates each round</t>
  </si>
  <si>
    <t>A) Decided by coin toss</t>
  </si>
  <si>
    <t>A coin toss typically decides which team will start as the chasing team.</t>
  </si>
  <si>
    <t>What is the typical boundary structure for Golla Chut?</t>
  </si>
  <si>
    <t>A) Circular, B) Square, C) Rectangular, D) Triangular</t>
  </si>
  <si>
    <t>B) Square</t>
  </si>
  <si>
    <t>The play area in Golla Chut is usually square-shaped, marked for clarity.</t>
  </si>
  <si>
    <t>How many 'safe zones' are there in a standard Golla Chut game?</t>
  </si>
  <si>
    <t>There is typically one designated 'chut' or safe zone in Golla Chut.</t>
  </si>
  <si>
    <t>What happens when a player reaches the chut area in Golla Chut?</t>
  </si>
  <si>
    <t>A) They score a point, B) They are eliminated, C) They become the chaser, D) They are safe from being tagged</t>
  </si>
  <si>
    <t>D) They are safe from being tagged</t>
  </si>
  <si>
    <t>Players in the chut area are safe and cannot be tagged by the chasing team.</t>
  </si>
  <si>
    <t>In Golla Chut, if all players of a team are captured, what is the result?</t>
  </si>
  <si>
    <t>A) The round restarts, B) The team loses a point, C) The round ends, D) The captured team wins a point</t>
  </si>
  <si>
    <t>C) The round ends</t>
  </si>
  <si>
    <t>The round ends if all players from a team are captured by the chasers.</t>
  </si>
  <si>
    <t>What skill is most crucial for success in Golla Chut?</t>
  </si>
  <si>
    <t>A) Jumping, B) Throwing, C) Agility, D) Stamina</t>
  </si>
  <si>
    <t>Agility is essential in Golla Chut, as players need to evade capture while running.</t>
  </si>
  <si>
    <t>How does a player avoid being tagged in Golla Chut?</t>
  </si>
  <si>
    <t>A) By jumping, B) By touching the ground, C) By entering the chut area, D) By hiding</t>
  </si>
  <si>
    <t>C) By entering the chut area</t>
  </si>
  <si>
    <t>Players avoid being tagged by entering the chut area, which is a safe zone.</t>
  </si>
  <si>
    <t>If a chaser tags an opponent outside the chut, what does the opponent do?</t>
  </si>
  <si>
    <t>A) Exits the game, B) Joins the chasing team, C) Waits in a designated area, D) Leaves the field</t>
  </si>
  <si>
    <t>C) Waits in a designated area</t>
  </si>
  <si>
    <t>Tagged players are usually sent to a designated waiting area until the round ends.</t>
  </si>
  <si>
    <t>Which of the following is NOT a rule in Golla Chut?</t>
  </si>
  <si>
    <t>A) Players cannot enter chut more than twice, B) Chasers can change every round, C) Players can only be tagged outside chut, D) Players can hide from chasers</t>
  </si>
  <si>
    <t>D) Players can hide from chasers</t>
  </si>
  <si>
    <t>Players are not allowed to hide from chasers; they must remain within the field of play.</t>
  </si>
  <si>
    <t>How does a team score a point in Golla Chut?</t>
  </si>
  <si>
    <t>A) By tagging opponents, B) By reaching the chut without being tagged, C) By crossing the finish line, D) By completing a lap</t>
  </si>
  <si>
    <t>B) By reaching the chut without being tagged</t>
  </si>
  <si>
    <t>Teams score by reaching the chut area without being tagged by the chasers.</t>
  </si>
  <si>
    <t>What happens when a player outside chut is tagged?</t>
  </si>
  <si>
    <t>A) They join the chut team, B) They are out for the round, C) They switch teams, D) They become a chaser</t>
  </si>
  <si>
    <t>B) They are out for the round</t>
  </si>
  <si>
    <t>Players tagged outside the chut are considered out for the remainder of that round.</t>
  </si>
  <si>
    <t>Who decides the winning team in Golla Chut?</t>
  </si>
  <si>
    <t>A) The team with more players, B) The team with the most points, C) The team with fewer tags, D) The team with better defense</t>
  </si>
  <si>
    <t>B) The team with the most points</t>
  </si>
  <si>
    <t>The team with the highest score, achieved by reaching the chut without being tagged, wins.</t>
  </si>
  <si>
    <t>In Golla Chut, how is a round started?</t>
  </si>
  <si>
    <t>A) By a whistle, B) By a coin toss, C) By a flag signal, D) By a countdown</t>
  </si>
  <si>
    <t>A) By a whistle</t>
  </si>
  <si>
    <t>A whistle is typically used to signal the start of each round in Golla Chut.</t>
  </si>
  <si>
    <t>How long is a typical Golla Chut game?</t>
  </si>
  <si>
    <t>A) 10 minutes, B) 20 minutes, C) 30 minutes, D) Until a set score is reached</t>
  </si>
  <si>
    <t>D) Until a set score is reached</t>
  </si>
  <si>
    <t>Golla Chut is played until one team reaches a predetermined score.</t>
  </si>
  <si>
    <t>In Golla Chut, if a player from the chut steps out, what happens?</t>
  </si>
  <si>
    <t>A) They can be tagged, B) They become a chaser, C) They score a point, D) Nothing happens</t>
  </si>
  <si>
    <t>A) They can be tagged</t>
  </si>
  <si>
    <t>Once a player steps out of chut, they are vulnerable and can be tagged by the chasers.</t>
  </si>
  <si>
    <t>What happens if both teams reach the chut simultaneously?</t>
  </si>
  <si>
    <t>A) Both get a point, B) The round is replayed, C) No points awarded, D) A tie is declared</t>
  </si>
  <si>
    <t>B) The round is replayed</t>
  </si>
  <si>
    <t>If both teams reach chut simultaneously, the round is usually replayed to determine the outcome.</t>
  </si>
  <si>
    <t>In Golla Chut, what is the role of the referee?</t>
  </si>
  <si>
    <t>A) To tag players, B) To score points, C) To enforce rules, D) To coach teams</t>
  </si>
  <si>
    <t>C) To enforce rules</t>
  </si>
  <si>
    <t>The referee ensures that the rules of Golla Chut are followed by all players.</t>
  </si>
  <si>
    <t>In Golla Chut, which team role involves actively chasing opponents?</t>
  </si>
  <si>
    <t>A) Defender, B) Chaser, C) Runner, D) Leader</t>
  </si>
  <si>
    <t>B) Chaser</t>
  </si>
  <si>
    <t>The chaser's role is to tag or capture players from the opposing team.</t>
  </si>
  <si>
    <t>What is the primary goal of a runner in Golla Chut?</t>
  </si>
  <si>
    <t>A) Tag the chasers, B) Reach the chut, C) Capture the flag, D) Guard the chut</t>
  </si>
  <si>
    <t>B) Reach the chut</t>
  </si>
  <si>
    <t>The runners aim to reach the chut area safely without being tagged.</t>
  </si>
  <si>
    <t>What is the penalty for a player caught outside the chut area in Golla Chut?</t>
  </si>
  <si>
    <t>A) Disqualification, B) Time penalty, C) Removed for the round, D) Swaps teams</t>
  </si>
  <si>
    <t>C) Removed for the round</t>
  </si>
  <si>
    <t>Players tagged outside the chut are removed from the game for that round.</t>
  </si>
  <si>
    <t>How does a player officially enter the chut area in Golla Chut?</t>
  </si>
  <si>
    <t>A) By tagging a chaser, B) By reaching without being tagged, C) By crawling, D) By signaling</t>
  </si>
  <si>
    <t>B) By reaching without being tagged</t>
  </si>
  <si>
    <t>Players must reach the chut without being tagged to enter safely.</t>
  </si>
  <si>
    <t>In Golla Chut, if a chaser fails to tag any opponent in a round, what happens?</t>
  </si>
  <si>
    <t>A) Opponents score double points, B) Round is void, C) Opponents gain a bonus, D) The chaser is replaced</t>
  </si>
  <si>
    <t>A) Opponents score double points</t>
  </si>
  <si>
    <t>If the chaser fails to tag any opponent, the opposing team may be awarded extra points.</t>
  </si>
  <si>
    <t>What is the maximum time a player can stay in the chut area?</t>
  </si>
  <si>
    <t>A) 5 seconds, B) 10 seconds, C) 15 seconds, D) No time limit</t>
  </si>
  <si>
    <t>D) No time limit</t>
  </si>
  <si>
    <t>There is no time limit for players staying in the chut area.</t>
  </si>
  <si>
    <t>Who can initiate the chase in a new round of Golla Chut?</t>
  </si>
  <si>
    <t>A) Any player, B) Only the captain, C) The last chaser, D) A designated chaser</t>
  </si>
  <si>
    <t>D) A designated chaser</t>
  </si>
  <si>
    <t>The team chooses a designated chaser to begin each round.</t>
  </si>
  <si>
    <t>What happens if a runner accidentally steps out of the field boundaries in Golla Chut?</t>
  </si>
  <si>
    <t>A) They are tagged, B) They are out for the round, C) Nothing happens, D) They switch teams</t>
  </si>
  <si>
    <t>Leaving the field boundary results in the player being out for that round.</t>
  </si>
  <si>
    <t>In Golla Chut, can a player re-enter the game after being tagged?</t>
  </si>
  <si>
    <t>A) Yes, after a break, B) No, C) Yes, if allowed by a teammate, D) Yes, by touching chut</t>
  </si>
  <si>
    <t>B) No</t>
  </si>
  <si>
    <t>Once tagged, players cannot re-enter the game until the round ends.</t>
  </si>
  <si>
    <t>How does a team decide their first chaser?</t>
  </si>
  <si>
    <t>A) By vote, B) Randomly, C) Coin toss, D) The youngest player</t>
  </si>
  <si>
    <t>C) Coin toss</t>
  </si>
  <si>
    <t>A coin toss often decides which team starts as chaser.</t>
  </si>
  <si>
    <t>If a player tags an opponent before reaching chut, what does it signify?</t>
  </si>
  <si>
    <t>A) Opponent is safe, B) Opponent is out, C) Opponent switches sides, D) Opponent gets a point</t>
  </si>
  <si>
    <t>B) Opponent is out</t>
  </si>
  <si>
    <t>Tagged players before reaching chut are considered out.</t>
  </si>
  <si>
    <t>What is the correct action if a dispute arises during the game?</t>
  </si>
  <si>
    <t>A) Team discussion, B) Consult referee, C) Replay round, D) Disqualify player</t>
  </si>
  <si>
    <t>B) Consult referee</t>
  </si>
  <si>
    <t>Referees resolve disputes by enforcing the rules.</t>
  </si>
  <si>
    <t>What skill is most valuable for a chaser in Golla Chut?</t>
  </si>
  <si>
    <t>A) Strength, B) Speed, C) Balance, D) Jumping</t>
  </si>
  <si>
    <t>B) Speed</t>
  </si>
  <si>
    <t>Speed is crucial for chasers to catch opponents.</t>
  </si>
  <si>
    <t>Which strategy helps runners succeed in Golla Chut?</t>
  </si>
  <si>
    <t>A) Hiding, B) Team coordination, C) Loud calls, D) Standing still</t>
  </si>
  <si>
    <t>B) Team coordination</t>
  </si>
  <si>
    <t>Runners often coordinate to avoid being tagged and reach chut safely.</t>
  </si>
  <si>
    <t>In Golla Chut, how many rounds are typically played in a match?</t>
  </si>
  <si>
    <t>Usually, Golla Chut games consist of three rounds to determine the winner.</t>
  </si>
  <si>
    <t>What is a common winning condition in Golla Chut?</t>
  </si>
  <si>
    <t>A) Tagging all players, B) Reaching chut, C) Scoring the most points, D) Last player standing</t>
  </si>
  <si>
    <t>C) Scoring the most points</t>
  </si>
  <si>
    <t>The team with the highest points from successful chut reaches wins.</t>
  </si>
  <si>
    <t>Who takes over if a chaser gets tired in Golla Chut?</t>
  </si>
  <si>
    <t>A) Another player from the team, B) A substitute, C) Opposing team member, D) No one</t>
  </si>
  <si>
    <t>A) Another player from the team</t>
  </si>
  <si>
    <t>Teams can replace a tired chaser with another player.</t>
  </si>
  <si>
    <t>What role does a 'leader' play in Golla Chut?</t>
  </si>
  <si>
    <t>A) Strategist, B) Rule enforcer, C) Primary chaser, D) Referee</t>
  </si>
  <si>
    <t>A) Strategist</t>
  </si>
  <si>
    <t>The leader coordinates the team's strategy and plans for the game.</t>
  </si>
  <si>
    <t>What is a unique strategy in Golla Chut for runners?</t>
  </si>
  <si>
    <t>A) Running in straight lines, B) Moving in zig-zags, C) Hiding in chut, D) Taunting chasers</t>
  </si>
  <si>
    <t>B) Moving in zig-zags</t>
  </si>
  <si>
    <t>Zig-zag movements help runners evade chasers effectively.</t>
  </si>
  <si>
    <t>In Golla Chut, can a player tag multiple opponents in one round?</t>
  </si>
  <si>
    <t>A) Yes, B) No, C) Only in last round, D) If allowed by referee</t>
  </si>
  <si>
    <t>A) Yes</t>
  </si>
  <si>
    <t>A chaser can tag multiple opponents if they can catch them.</t>
  </si>
  <si>
    <t>What is the referee's role regarding scoring in Golla Chut?</t>
  </si>
  <si>
    <t>A) Adds points, B) Verifies points, C) Adjusts scores, D) Coaches players</t>
  </si>
  <si>
    <t>B) Verifies points</t>
  </si>
  <si>
    <t>Referees verify and confirm scores achieved during the game.</t>
  </si>
  <si>
    <t>How does a chaser signal their intent to tag in Golla Chut?</t>
  </si>
  <si>
    <t>A) By pointing, B) By running, C) By shouting, D) By touching ground</t>
  </si>
  <si>
    <t>C) By shouting</t>
  </si>
  <si>
    <t>Chasers sometimes signal intent by shouting to alert the runners.</t>
  </si>
  <si>
    <t>Can players switch sides during a Golla Chut game?</t>
  </si>
  <si>
    <t>A) Yes, every round, B) No, C) Only in tie rounds, D) Only if injured</t>
  </si>
  <si>
    <t>A) Yes, every round</t>
  </si>
  <si>
    <t>Teams switch roles between rounds to balance the game.</t>
  </si>
  <si>
    <t>What is the role of a â€˜boundary judge' in Golla Chut?</t>
  </si>
  <si>
    <t>A) Maintains field limits, B) Times rounds, C) Calls fouls, D) Scores points</t>
  </si>
  <si>
    <t>A) Maintains field limits</t>
  </si>
  <si>
    <t>Boundary judges ensure that players stay within the field limits.</t>
  </si>
  <si>
    <t>What is the rule for stepping into chut after a score?</t>
  </si>
  <si>
    <t>A) Player must wait 5 seconds, B) Immediate entry allowed, C) Must be tagged first, D) Wait for referee signal</t>
  </si>
  <si>
    <t>B) Immediate entry allowed</t>
  </si>
  <si>
    <t>Players can enter chut immediately after scoring to avoid being tagged.</t>
  </si>
  <si>
    <t>In Golla Chut, what is the primary purpose of the chut area?</t>
  </si>
  <si>
    <t>A) A starting point for runners, B) A safe zone, C) A penalty area, D) An area for scoring</t>
  </si>
  <si>
    <t>B) A safe zone</t>
  </si>
  <si>
    <t>The chut area serves as a safe zone where runners cannot be tagged by chasers.</t>
  </si>
  <si>
    <t>If a chaser tags a runner, what is the status of the tagged runner?</t>
  </si>
  <si>
    <t>A) Safe, B) Out for the round, C) Scored a point, D) Becomes a chaser</t>
  </si>
  <si>
    <t>B) Out for the round</t>
  </si>
  <si>
    <t>Tagged runners are considered out for the remainder of the round.</t>
  </si>
  <si>
    <t>What is one common strategy used by runners in Golla Chut?</t>
  </si>
  <si>
    <t>A) Running in a straight line, B) Running in a zigzag pattern, C) Hiding, D) Standing still</t>
  </si>
  <si>
    <t>B) Running in a zigzag pattern</t>
  </si>
  <si>
    <t>Runners often use zigzag patterns to evade chasers more effectively.</t>
  </si>
  <si>
    <t>How many players are typically on each team in a game of Golla Chut?</t>
  </si>
  <si>
    <t>A) 5, B) 7, C) 9, D) 10</t>
  </si>
  <si>
    <t>A standard game of Golla Chut usually has 7 players per team.</t>
  </si>
  <si>
    <t>In Golla Chut, what action starts each round?</t>
  </si>
  <si>
    <t>A) A whistle blow, B) A coin toss, C) A race to chut, D) A countdown</t>
  </si>
  <si>
    <t>A) A whistle blow</t>
  </si>
  <si>
    <t>A whistle blow by the referee signals the start of each round in Golla Chut.</t>
  </si>
  <si>
    <t>What is the role of the referee in Golla Chut?</t>
  </si>
  <si>
    <t>A) To score points, B) To enforce rules, C) To choose teams, D) To play as a chaser</t>
  </si>
  <si>
    <t>B) To enforce rules</t>
  </si>
  <si>
    <t>The referee ensures all players follow the rules of the game.</t>
  </si>
  <si>
    <t>If a runner is tagged by a chaser outside the chut, what is the consequence?</t>
  </si>
  <si>
    <t>A) They score a point, B) They are out for the round, C) They switch teams, D) They become the chaser</t>
  </si>
  <si>
    <t>Tagged runners outside the chut are removed from play for that round.</t>
  </si>
  <si>
    <t>What is considered a foul in Golla Chut?</t>
  </si>
  <si>
    <t>A) Running too fast, B) Shouting, C) Tagging too close to chut, D) Leaving the field</t>
  </si>
  <si>
    <t>D) Leaving the field</t>
  </si>
  <si>
    <t>Leaving the field boundaries is considered a foul in Golla Chut.</t>
  </si>
  <si>
    <t>What must a chaser do to successfully tag a runner?</t>
  </si>
  <si>
    <t>A) Touch them lightly, B) Shout their name, C) Stand in chut, D) Chase them halfway</t>
  </si>
  <si>
    <t>A) Touch them lightly</t>
  </si>
  <si>
    <t>A chaser needs to touch a runner to tag them successfully.</t>
  </si>
  <si>
    <t>What skill is most valuable for a runner in Golla Chut?</t>
  </si>
  <si>
    <t>A) Strength, B) Speed, C) Loud voice, D) Jumping</t>
  </si>
  <si>
    <t>Speed is essential for runners to avoid being tagged by chasers.</t>
  </si>
  <si>
    <t>How does a team score points in Golla Chut?</t>
  </si>
  <si>
    <t>A) By tagging chasers, B) By reaching chut, C) By shouting, D) By running fast</t>
  </si>
  <si>
    <t>B) By reaching chut</t>
  </si>
  <si>
    <t>Reaching the chut area without being tagged earns the team points.</t>
  </si>
  <si>
    <t>In Golla Chut, can the chasers use any part of the chut to avoid tagging?</t>
  </si>
  <si>
    <t>A) Yes, B) No, C) Only the back, D) Only the sides</t>
  </si>
  <si>
    <t>Chasers are not allowed to use the chut to evade tagging.</t>
  </si>
  <si>
    <t>How is the first chaser decided at the beginning of the game?</t>
  </si>
  <si>
    <t>A) By volunteer, B) By team vote, C) By coin toss, D) Random selection</t>
  </si>
  <si>
    <t>C) By coin toss</t>
  </si>
  <si>
    <t>A coin toss is often used to determine which team starts as chasers.</t>
  </si>
  <si>
    <t>How many rounds are usually played in a full game of Golla Chut?</t>
  </si>
  <si>
    <t>A) 2, B) 3, C) 5, D) 7</t>
  </si>
  <si>
    <t>Most Golla Chut games consist of three rounds to decide the winner.</t>
  </si>
  <si>
    <t>What happens if the chaser fails to tag any runner by the end of the round?</t>
  </si>
  <si>
    <t>A) The chaser's team loses points, B) The chaser is out, C) The chaser's team loses the round, D) No penalty</t>
  </si>
  <si>
    <t>C) The chaser's team loses the round</t>
  </si>
  <si>
    <t>If no runner is tagged, the chaser's team forfeits the round.</t>
  </si>
  <si>
    <t>In Golla Chut, what shape is the central safe zone usually drawn?</t>
  </si>
  <si>
    <t>A) Circle, B) Triangle, C) Square, D) Line</t>
  </si>
  <si>
    <t>A) Circle</t>
  </si>
  <si>
    <t>The chut or safe zone is usually circular to allow even access from all sides.</t>
  </si>
  <si>
    <t>What happens if a chaser steps into the chut area?</t>
  </si>
  <si>
    <t>A) Tagged out, B) Foul, C) Round restart, D) No effect</t>
  </si>
  <si>
    <t>B) Foul</t>
  </si>
  <si>
    <t>Chasers are not allowed to enter the chut; doing so is considered a foul.</t>
  </si>
  <si>
    <t>Which team role requires constant movement to avoid being surrounded?</t>
  </si>
  <si>
    <t>A) Runner, B) Chaser, C) Leader, D) Referee</t>
  </si>
  <si>
    <t>Runners must keep moving to prevent being surrounded by chasers.</t>
  </si>
  <si>
    <t>How are teams balanced if one team has fewer players?</t>
  </si>
  <si>
    <t>A) Recruit new players, B) Adjust points, C) Rotate extra turns, D) Substitute rotation</t>
  </si>
  <si>
    <t>D) Substitute rotation</t>
  </si>
  <si>
    <t>Teams often use substitutes or rotation to balance unequal numbers.</t>
  </si>
  <si>
    <t>In Golla Chut, how is the field boundary usually marked?</t>
  </si>
  <si>
    <t>A) Chalk, B) Ropes, C) Sticks, D) All of the above</t>
  </si>
  <si>
    <t>Boundaries may be marked with chalk, ropes, or sticks depending on the setup.</t>
  </si>
  <si>
    <t>What is the maximum number of teams that can play at once?</t>
  </si>
  <si>
    <t>A) 2, B) 3, C) 4, D) Unlimited</t>
  </si>
  <si>
    <t>A) 2</t>
  </si>
  <si>
    <t>Standard Golla Chut is played between two teams at a time.</t>
  </si>
  <si>
    <t>Which player role directs teammates during gameplay?</t>
  </si>
  <si>
    <t>A) Chaser, B) Runner, C) Leader, D) Referee</t>
  </si>
  <si>
    <t>C) Leader</t>
  </si>
  <si>
    <t>The leader guides and coordinates strategies during the game.</t>
  </si>
  <si>
    <t>What is the penalty if a chaser uses physical force beyond tagging?</t>
  </si>
  <si>
    <t>A) Point deduction, B) Warning, C) Round lost, D) All of the above</t>
  </si>
  <si>
    <t>Using force beyond tagging is penalized with warnings, deductions, or round loss.</t>
  </si>
  <si>
    <t>What action immediately disqualifies a runner?</t>
  </si>
  <si>
    <t>A) Entering chut, B) Leaving boundary, C) Running too fast, D) Talking</t>
  </si>
  <si>
    <t>B) Leaving boundary</t>
  </si>
  <si>
    <t>Runners who leave the designated field are immediately disqualified.</t>
  </si>
  <si>
    <t>How is fairness ensured in team switching after each round?</t>
  </si>
  <si>
    <t>A) Coin toss, B) Referee’s call, C) Automatic role reversal, D) Bonus points</t>
  </si>
  <si>
    <t>C) Automatic role reversal</t>
  </si>
  <si>
    <t>Teams automatically switch roles after each round for fairness.</t>
  </si>
  <si>
    <t>In Golla Chut, what is the purpose of a substitute player?</t>
  </si>
  <si>
    <t>A) Keep score, B) Replace tired players, C) Act as referee, D) Distract opponents</t>
  </si>
  <si>
    <t>B) Replace tired players</t>
  </si>
  <si>
    <t>Substitutes replace tired or injured players to keep the game going.</t>
  </si>
  <si>
    <t>What is the rule if a player enters chut after being tagged?</t>
  </si>
  <si>
    <t>A) Still safe, B) Eliminated, C) Team scores, D) Round reset</t>
  </si>
  <si>
    <t>B) Eliminated</t>
  </si>
  <si>
    <t>Once tagged, a player cannot escape elimination by entering chut.</t>
  </si>
  <si>
    <t>Which skill is most useful for dodging in Golla Chut?</t>
  </si>
  <si>
    <t>A) Strength, B) Reflexes, C) Jumping height, D) Voice</t>
  </si>
  <si>
    <t>B) Reflexes</t>
  </si>
  <si>
    <t>Quick reflexes help players dodge sudden attempts to tag them.</t>
  </si>
  <si>
    <t>How is cheating prevented in Golla Chut?</t>
  </si>
  <si>
    <t>A) Captains watch, B) Referee enforces rules, C) Opponents track, D) Crowd judges</t>
  </si>
  <si>
    <t>B) Referee enforces rules</t>
  </si>
  <si>
    <t>Referees ensure fairness and prevent cheating during the match.</t>
  </si>
  <si>
    <t>In Golla Chut, what is the minimum safe distance between chut and boundary?</t>
  </si>
  <si>
    <t>A) 5 ft, B) 10 ft, C) 15 ft, D) 20 ft</t>
  </si>
  <si>
    <t>B) 10 ft</t>
  </si>
  <si>
    <t>A gap of at least 10 ft is usually maintained for smooth play.</t>
  </si>
  <si>
    <t>What happens if a player re-enters chut without scoring?</t>
  </si>
  <si>
    <t>A) No effect, B) Eliminated, C) Warning, D) Bonus chance</t>
  </si>
  <si>
    <t>A) No effect</t>
  </si>
  <si>
    <t>Entering chut again without scoring just means the player is safe, no point added.</t>
  </si>
  <si>
    <t>Which of these is NOT allowed for runners?</t>
  </si>
  <si>
    <t>A) Zig-zag running, B) Staying in chut, C) Exiting boundary, D) Team coordination</t>
  </si>
  <si>
    <t>C) Exiting boundary</t>
  </si>
  <si>
    <t>Runners cannot leave the play boundary; it results in elimination.</t>
  </si>
  <si>
    <t>How does weather affect Golla Chut matches?</t>
  </si>
  <si>
    <t>A) Cancelled if heavy rain, B) Played indoors, C) Continued regardless, D) Extended rounds</t>
  </si>
  <si>
    <t>A) Cancelled if heavy rain</t>
  </si>
  <si>
    <t>Outdoor Golla Chut games are usually cancelled or postponed in heavy rain.</t>
  </si>
  <si>
    <t>What is the role of timekeeper in organized Golla Chut matches?</t>
  </si>
  <si>
    <t>A) Track scores, B) Track round length, C) Tag players, D) Call fouls</t>
  </si>
  <si>
    <t>B) Track round length</t>
  </si>
  <si>
    <t>The timekeeper ensures rounds don’t exceed agreed lengths.</t>
  </si>
  <si>
    <t>What is the advantage of team coordination for runners?</t>
  </si>
  <si>
    <t>A) Confuses referee, B) Distracts chasers, C) Improves scoring chances, D) Extends round</t>
  </si>
  <si>
    <t>C) Improves scoring chances</t>
  </si>
  <si>
    <t>Runners coordinating together increase their chance of safely reaching chut.</t>
  </si>
  <si>
    <t>What happens if a chaser tags a runner inside the chut?</t>
  </si>
  <si>
    <t>A) Runner is safe, B) Runner is out, C) Round restarts, D) Both are out</t>
  </si>
  <si>
    <t>A) Runner is safe</t>
  </si>
  <si>
    <t>Runners cannot be tagged inside the chut as it is a safe zone.</t>
  </si>
  <si>
    <t>How is the first round chaser team selected?</t>
  </si>
  <si>
    <t>A) Coin toss, B) Referee decision, C) Captain’s choice, D) Volunteer</t>
  </si>
  <si>
    <t>A) Coin toss</t>
  </si>
  <si>
    <t>The initial chasing team is selected by a coin toss.</t>
  </si>
  <si>
    <t>What happens if both teams refuse to chase first?</t>
  </si>
  <si>
    <t>A) Round cancelled, B) Coin toss, C) No game, D) Random pick</t>
  </si>
  <si>
    <t>B) Coin toss</t>
  </si>
  <si>
    <t>If no team agrees to start chasing, a coin toss decides.</t>
  </si>
  <si>
    <t>What is the ruling if two runners are tagged at the same time?</t>
  </si>
  <si>
    <t>A) First tag counts, B) Both out, C) Replay round, D) No tag valid</t>
  </si>
  <si>
    <t>B) Both out</t>
  </si>
  <si>
    <t>If a chaser tags multiple runners simultaneously, both are out.</t>
  </si>
  <si>
    <t>If a runner touches chut with only one foot, are they safe?</t>
  </si>
  <si>
    <t>A) Yes, B) No, C) Only if both feet touch, D) Depends on referee</t>
  </si>
  <si>
    <t>Touching chut with any part of the body makes the runner safe.</t>
  </si>
  <si>
    <t>Can a player argue with the referee’s decision?</t>
  </si>
  <si>
    <t>A) Yes, B) No, C) Only captain, D) After the game</t>
  </si>
  <si>
    <t>Players are not allowed to argue with the referee’s decision during play.</t>
  </si>
  <si>
    <t>What happens if a runner deliberately pushes a chaser?</t>
  </si>
  <si>
    <t>A) Allowed, B) Warning, C) Out for round, D) Round void</t>
  </si>
  <si>
    <t>C) Out for round</t>
  </si>
  <si>
    <t>Physical contact other than tagging results in elimination.</t>
  </si>
  <si>
    <t>Can chasers form a barrier near the chut?</t>
  </si>
  <si>
    <t>A) Yes, B) No, C) Only if referee allows, D) Only in final round</t>
  </si>
  <si>
    <t>Chasers cannot block chut directly; it is considered a foul.</t>
  </si>
  <si>
    <t>What is the rule for restarting a round after a foul?</t>
  </si>
  <si>
    <t>A) Round restarts, B) Opponent gains point, C) Foul team loses player, D) Replay from chut</t>
  </si>
  <si>
    <t>A) Round restarts</t>
  </si>
  <si>
    <t>A foul usually leads to restarting the round.</t>
  </si>
  <si>
    <t>If a runner is tagged just as they touch chut, what happens?</t>
  </si>
  <si>
    <t>A) Runner out, B) Runner safe, C) Both out, D) Round replay</t>
  </si>
  <si>
    <t>B) Runner safe</t>
  </si>
  <si>
    <t>Touching chut first makes the runner safe, even if tagged instantly.</t>
  </si>
  <si>
    <t>How many whistles signal the end of a round?</t>
  </si>
  <si>
    <t>Two whistles are typically used to signal the end of a round.</t>
  </si>
  <si>
    <t>What happens if a team enters the field before the referee’s signal?</t>
  </si>
  <si>
    <t>A) Warning, B) Immediate foul, C) Opponent scores, D) Round cancelled</t>
  </si>
  <si>
    <t>B) Immediate foul</t>
  </si>
  <si>
    <t>Entering before the referee’s signal counts as a foul.</t>
  </si>
  <si>
    <t>What is the rule if a player pretends to be tagged?</t>
  </si>
  <si>
    <t>A) Allowed, B) Warning, C) Treated as out, D) Ignored</t>
  </si>
  <si>
    <t>C) Treated as out</t>
  </si>
  <si>
    <t>Pretending to be tagged is cheating, so the player is removed.</t>
  </si>
  <si>
    <t>What is the maximum number of times a team can switch chasers in a round?</t>
  </si>
  <si>
    <t>A) Once, B) Twice, C) Unlimited, D) Not allowed</t>
  </si>
  <si>
    <t>C) Unlimited</t>
  </si>
  <si>
    <t>Teams can change their active chaser as many times as needed.</t>
  </si>
  <si>
    <t>If the referee is unsure about a tag, what is the ruling?</t>
  </si>
  <si>
    <t>A) Runner safe, B) Runner out, C) Both out, D) Replay round</t>
  </si>
  <si>
    <t>D) Replay round</t>
  </si>
  <si>
    <t>Disputed situations are resolved by replaying the round.</t>
  </si>
  <si>
    <t>What is the penalty if a chaser crosses the boundary?</t>
  </si>
  <si>
    <t>A) Nothing, B) Chaser out, C) Team loses round, D) Warning</t>
  </si>
  <si>
    <t>B) Chaser out</t>
  </si>
  <si>
    <t>Chasers leaving the boundary are considered out.</t>
  </si>
  <si>
    <t>Can a runner enter chut from any direction?</t>
  </si>
  <si>
    <t>A) Yes, B) No, C) Only from front, D) Only from side</t>
  </si>
  <si>
    <t>Runners may enter the chut from any side.</t>
  </si>
  <si>
    <t>What happens if a player enters chut without being chased?</t>
  </si>
  <si>
    <t>A) Still safe, B) Foul, C) Round ends, D) Out</t>
  </si>
  <si>
    <t>A) Still safe</t>
  </si>
  <si>
    <t>Entering chut without being chased is allowed and the player remains safe.</t>
  </si>
  <si>
    <t>How many players must be active on the field during a round?</t>
  </si>
  <si>
    <t>A) All team members, B) At least 5, C) At least 6, D) As per agreement</t>
  </si>
  <si>
    <t>A) All team members</t>
  </si>
  <si>
    <t>All players of each team are required to participate during a round.</t>
  </si>
  <si>
    <t>If a tagged player refuses to leave the field, what happens?</t>
  </si>
  <si>
    <t>A) Warning, B) Round stopped, C) Opponent gains point, D) Referee ejects them</t>
  </si>
  <si>
    <t>D) Referee ejects them</t>
  </si>
  <si>
    <t>Referees have authority to remove disobedient players from the game.</t>
  </si>
  <si>
    <t>What is the main duty of the captain during gameplay?</t>
  </si>
  <si>
    <t>A) Score points, B) Direct team strategy, C) Act as referee, D) Chase opponents</t>
  </si>
  <si>
    <t>B) Direct team strategy</t>
  </si>
  <si>
    <t>Captains provide direction and motivate teammates.</t>
  </si>
  <si>
    <t>If a runner re-enters chut after scoring, what must they do before running again?</t>
  </si>
  <si>
    <t>A) Wait for whistle, B) Get captain’s approval, C) Step out fully, D) Nothing</t>
  </si>
  <si>
    <t>A) Wait for whistle</t>
  </si>
  <si>
    <t>A whistle restarts their next attempt safely.</t>
  </si>
  <si>
    <t>In a formal tournament, how are match durations usually decided?</t>
  </si>
  <si>
    <t>A) Randomly, B) Pre-agreed rules, C) Referee’s mood, D) By audience</t>
  </si>
  <si>
    <t>B) Pre-agreed rules</t>
  </si>
  <si>
    <t>Tournament rules decide total duration before play.</t>
  </si>
  <si>
    <t>What happens if two runners collide while escaping chasers?</t>
  </si>
  <si>
    <t>A) Both safe, B) Both out, C) Continue unless tagged, D) Round restarts</t>
  </si>
  <si>
    <t>C) Continue unless tagged</t>
  </si>
  <si>
    <t>Collisions are not fouls; they remain active unless tagged.</t>
  </si>
  <si>
    <t>Which formation is most effective for chasers to block runners?</t>
  </si>
  <si>
    <t>A) Line, B) Triangle, C) Circle, D) Zigzag</t>
  </si>
  <si>
    <t>B) Triangle</t>
  </si>
  <si>
    <t>A triangular formation helps block multiple escape paths.</t>
  </si>
  <si>
    <t>How is a false start by a runner handled?</t>
  </si>
  <si>
    <t>A) Warning, B) Point loss, C) Restart round, D) Elimination</t>
  </si>
  <si>
    <t>A) Warning</t>
  </si>
  <si>
    <t>Runners starting early receive a warning, not elimination.</t>
  </si>
  <si>
    <t>What is the rule if spectators interfere with play?</t>
  </si>
  <si>
    <t>A) Ignore, B) Replay round, C) Referee may pause, D) Players decide</t>
  </si>
  <si>
    <t>C) Referee may pause</t>
  </si>
  <si>
    <t>The referee can pause play to restore order if outsiders interfere.</t>
  </si>
  <si>
    <t>What happens when a chaser tags outside boundary lines?</t>
  </si>
  <si>
    <t>A) Valid tag, B) Invalid tag, C) Double points, D) Round over</t>
  </si>
  <si>
    <t>B) Invalid tag</t>
  </si>
  <si>
    <t>Tags made outside the play boundary are invalid.</t>
  </si>
  <si>
    <t>Which team usually defends first in friendly matches?</t>
  </si>
  <si>
    <t>A) Decided by coin toss, B) Team with fewer players, C) Team with older players, D) Team chosen by referee</t>
  </si>
  <si>
    <t>A coin toss decides who starts defending.</t>
  </si>
  <si>
    <t>What is the penalty if a runner abuses or taunts opponents?</t>
  </si>
  <si>
    <t>A) Bonus to chasers, B) Warning or elimination, C) No penalty, D) Round restart</t>
  </si>
  <si>
    <t>B) Warning or elimination</t>
  </si>
  <si>
    <t>Unsportsmanlike behavior can lead to a penalty.</t>
  </si>
  <si>
    <t>What is the referee’s signal to pause the game temporarily?</t>
  </si>
  <si>
    <t>A) Double whistle, B) Raised hand, C) Flag wave, D) Any of the above</t>
  </si>
  <si>
    <t>D) Any of the above</t>
  </si>
  <si>
    <t>Referees may use standard signals like whistles or flags.</t>
  </si>
  <si>
    <t>What happens if chut becomes overcrowded with too many runners?</t>
  </si>
  <si>
    <t>A) Allowed, B) Only half stay safe, C) Referee limits entry, D) No points awarded</t>
  </si>
  <si>
    <t>C) Referee limits entry</t>
  </si>
  <si>
    <t>Referees ensure chut isn’t abused as a permanent shelter.</t>
  </si>
  <si>
    <t>Which skill helps runners fake direction changes?</t>
  </si>
  <si>
    <t>A) Stamina, B) Body feints, C) Loud voice, D) Jumping</t>
  </si>
  <si>
    <t>B) Body feints</t>
  </si>
  <si>
    <t>Body feints help trick chasers into wrong directions.</t>
  </si>
  <si>
    <t>What must a chaser do after successfully tagging a runner?</t>
  </si>
  <si>
    <t>A) Step back, B) Raise hand, C) Shout “out”, D) Report to referee</t>
  </si>
  <si>
    <t>B) Raise hand</t>
  </si>
  <si>
    <t>Raising a hand signals the tag to referee and players.</t>
  </si>
  <si>
    <t>In case of disputes between captains, who has final authority?</t>
  </si>
  <si>
    <t>A) Captains, B) Crowd, C) Referee, D) Coin toss</t>
  </si>
  <si>
    <t>Referees hold the final authority in disputes.</t>
  </si>
  <si>
    <t>Which foul can lead to immediate disqualification of a team?</t>
  </si>
  <si>
    <t>A) Repeated boundary exits, B) Verbal abuse, C) Physical aggression, D) All of the above</t>
  </si>
  <si>
    <t>Repeated or extreme fouls can disqualify a team.</t>
  </si>
  <si>
    <t>What is the role of a scorekeeper in organized Golla Chut?</t>
  </si>
  <si>
    <t>A) Keep player list, B) Track chut entries, C) Record team scores, D) Substitute referee</t>
  </si>
  <si>
    <t>C) Record team scores</t>
  </si>
  <si>
    <t>Scorekeepers maintain records of chut entries and points.</t>
  </si>
  <si>
    <t>What is the usual penalty for delaying the game deliberately?</t>
  </si>
  <si>
    <t>A) Extra round, B) Warning, C) Point loss, D) Elimination of captain</t>
  </si>
  <si>
    <t>C) Point loss</t>
  </si>
  <si>
    <t>Teams delaying intentionally may lose points.</t>
  </si>
  <si>
    <t>Which defensive strategy is used by chasers to save energy?</t>
  </si>
  <si>
    <t>A) Standing still, B) Rotating positions, C) Slow walking, D) Avoid tagging</t>
  </si>
  <si>
    <t>B) Rotating positions</t>
  </si>
  <si>
    <t>Chasers rotate positions to save stamina during long rounds.</t>
  </si>
  <si>
    <t>What is the maximum number of players allowed per team in traditional Golla Chut?</t>
  </si>
  <si>
    <t>Traditional rules limit each side to 7 players.</t>
  </si>
  <si>
    <t>How is the starting team (chasers vs runners) usually decided?</t>
  </si>
  <si>
    <t>A) By age, B) By referee, C) By coin toss, D) By choice</t>
  </si>
  <si>
    <t>Coin toss decides the first defending team.</t>
  </si>
  <si>
    <t>What must all players do before a round begins?</t>
  </si>
  <si>
    <t>A) Shake hands, B) Stand in chut, C) Touch the central line, D) Be inside boundary</t>
  </si>
  <si>
    <t>D) Be inside boundary</t>
  </si>
  <si>
    <t>Every player must remain within play boundary before start.</t>
  </si>
  <si>
    <t>Which line defines the area runners must cross to score?</t>
  </si>
  <si>
    <t>A) End line, B) Chut line, C) Boundary line, D) Middle line</t>
  </si>
  <si>
    <t>A) End line</t>
  </si>
  <si>
    <t>Crossing the end line outside chut scores a point.</t>
  </si>
  <si>
    <t>Can a runner remain in chut for unlimited time?</t>
  </si>
  <si>
    <t>A) Yes, B) No, C) Only captain can, D) Only once</t>
  </si>
  <si>
    <t>Staying too long in chut is not allowed; must attempt to run.</t>
  </si>
  <si>
    <t>What is the rule for chasers stepping outside boundary while chasing?</t>
  </si>
  <si>
    <t>A) Allowed once, B) Allowed twice, C) Not allowed, D) Only captain allowed</t>
  </si>
  <si>
    <t>C) Not allowed</t>
  </si>
  <si>
    <t>Chasers must stay inside boundary during chase.</t>
  </si>
  <si>
    <t>In Ha-du-du, how many players are there on each team?</t>
  </si>
  <si>
    <t>A) 5, B) 7, C) 9, D) 11</t>
  </si>
  <si>
    <t>Each team consists of 7 players in Ha-du-du.</t>
  </si>
  <si>
    <t>How many players can a team have on the field in Ha-du-du?</t>
  </si>
  <si>
    <t>A) 3, B) 4, C) 5, D) 6</t>
  </si>
  <si>
    <t>C) 5</t>
  </si>
  <si>
    <t>A team has 5 players on the field during the game.</t>
  </si>
  <si>
    <t>In Ha-du-du, what is the main objective for the raider?</t>
  </si>
  <si>
    <t>A) Score points, B) Block the opponent, C) Defend the team, D) Tag players</t>
  </si>
  <si>
    <t>A) Score points</t>
  </si>
  <si>
    <t>The raider's goal is to score points by tagging opposing players.</t>
  </si>
  <si>
    <t>What happens when a raider is tagged in Ha-du-du?</t>
  </si>
  <si>
    <t>A) They return to the team, B) They get eliminated, C) They can continue, D) They score points</t>
  </si>
  <si>
    <t>B) They get eliminated</t>
  </si>
  <si>
    <t>A raider who is tagged is eliminated from the game.</t>
  </si>
  <si>
    <t>How long does a raider have to stay on the opponent's side in Ha-du-du?</t>
  </si>
  <si>
    <t>A) 10 seconds, B) 15 seconds, C) 20 seconds, D) 30 seconds</t>
  </si>
  <si>
    <t>B) 15 seconds</t>
  </si>
  <si>
    <t>A raider must return within 15 seconds or be penalized.</t>
  </si>
  <si>
    <t>In Ha-du-du, how many points are awarded when a raider successfully tags an opponent?</t>
  </si>
  <si>
    <t>A) 1, B) 2, C) 3, D) 5</t>
  </si>
  <si>
    <t>Each successful tag by the raider earns 1 point for their team.</t>
  </si>
  <si>
    <t>Which team has the advantage at the start of a Ha-du-du match?</t>
  </si>
  <si>
    <t>A) Defending team, B) Attacking team, C) Random, D) No advantage</t>
  </si>
  <si>
    <t>B) Attacking team</t>
  </si>
  <si>
    <t>The attacking team has the advantage in initiating play.</t>
  </si>
  <si>
    <t>In Ha-du-du, when does the game end?</t>
  </si>
  <si>
    <t>A) When all players are tagged, B) When time runs out, C) After a set number of rounds, D) When a team scores 20 points</t>
  </si>
  <si>
    <t>B) When time runs out</t>
  </si>
  <si>
    <t>The game ends when the allotted time expires.</t>
  </si>
  <si>
    <t>In Ha-du-du, what happens if both teams score equal points at the end?</t>
  </si>
  <si>
    <t>A) Sudden death round, B) Extra time, C) Draw, D) Replay</t>
  </si>
  <si>
    <t>C) Draw</t>
  </si>
  <si>
    <t>If points are tied, the match results in a draw.</t>
  </si>
  <si>
    <t>How many halves are there in a standard Ha-du-du game?</t>
  </si>
  <si>
    <t>A Ha-du-du match consists of two halves.</t>
  </si>
  <si>
    <t>What is the maximum duration for a Ha-du-du match?</t>
  </si>
  <si>
    <t>A) 15 minutes, B) 30 minutes, C) 45 minutes, D) 60 minutes</t>
  </si>
  <si>
    <t>B) 30 minutes</t>
  </si>
  <si>
    <t>A Ha-du-du game typically lasts for 30 minutes.</t>
  </si>
  <si>
    <t>In Ha-du-du, how is a player eliminated?</t>
  </si>
  <si>
    <t>A) By being tagged, B) By failing to return in time, C) By stepping out of bounds, D) All of the above</t>
  </si>
  <si>
    <t>A player can be eliminated by being tagged, failing to return in time, or stepping out of bounds.</t>
  </si>
  <si>
    <t>Which of the following is a penalty in Ha-du-du?</t>
  </si>
  <si>
    <t>A) Not tagging an opponent, B) Not returning in 15 seconds, C) Defending too aggressively, D) No penalties</t>
  </si>
  <si>
    <t>B) Not returning in 15 seconds</t>
  </si>
  <si>
    <t>A penalty is given for not returning within the 15-second time limit.</t>
  </si>
  <si>
    <t>Who decides whether a player is tagged in Ha-du-du?</t>
  </si>
  <si>
    <t>A) Referee, B) Team captain, C) Opponent, D) Spectators</t>
  </si>
  <si>
    <t>A) Referee</t>
  </si>
  <si>
    <t>The referee decides whether a player is tagged in Ha-du-du.</t>
  </si>
  <si>
    <t>What is the term used for a team that is on defense in Ha-du-du?</t>
  </si>
  <si>
    <t>A) Attackers, B) Raiders, C) Defenders, D) Blockers</t>
  </si>
  <si>
    <t>C) Defenders</t>
  </si>
  <si>
    <t>The team on the defensive side is referred to as the defenders.</t>
  </si>
  <si>
    <t>In Ha-du-du, how many seconds does a raider have to chant 'Ha-du-du' continuously?</t>
  </si>
  <si>
    <t>A) 5, B) 7, C) 10, D) 15</t>
  </si>
  <si>
    <t>The raider must chant 'Ha-du-du' for 7 seconds to signal their intent.</t>
  </si>
  <si>
    <t>What is the role of a 'blocker' in Ha-du-du?</t>
  </si>
  <si>
    <t>A) To tag the opponent, B) To defend and prevent raiders from tagging, C) To score points, D) To act as a decoy</t>
  </si>
  <si>
    <t>B) To defend and prevent raiders from tagging</t>
  </si>
  <si>
    <t>Blockers prevent raiders from tagging players or scoring points.</t>
  </si>
  <si>
    <t>Can a player re-enter the game after being tagged out in Ha-du-du?</t>
  </si>
  <si>
    <t>A) Yes, after a round, B) No, they stay out, C) Yes, after a time penalty, D) Yes, if they are substituted</t>
  </si>
  <si>
    <t>B) No, they stay out</t>
  </si>
  <si>
    <t>Once tagged out, the player cannot re-enter the game until the next round.</t>
  </si>
  <si>
    <t>What is the maximum number of players in a team in Ha-du-du?</t>
  </si>
  <si>
    <t>A) 5, B) 6, C) 7, D) 8</t>
  </si>
  <si>
    <t>A team in Ha-du-du can have a maximum of 7 players.</t>
  </si>
  <si>
    <t>In Ha-du-du, what happens when a raider touches the line?</t>
  </si>
  <si>
    <t>A) The point is void, B) The raider is eliminated, C) The defender is penalized, D) Nothing happens</t>
  </si>
  <si>
    <t>B) The raider is eliminated</t>
  </si>
  <si>
    <t>If the raider touches the line, they are eliminated from the round.</t>
  </si>
  <si>
    <t>In Ha-du-du, what happens if a raider successfully tags all players from the opponent's team?</t>
  </si>
  <si>
    <t>A) Game is over, B) Extra point is awarded, C) Team wins, D) Nothing happens</t>
  </si>
  <si>
    <t>C) Team wins</t>
  </si>
  <si>
    <t>If a raider tags all players, their team wins the round.</t>
  </si>
  <si>
    <t>What is the main defense strategy in Ha-du-du?</t>
  </si>
  <si>
    <t>A) Blocking, B) Evading, C) Aggressive tagging, D) Protecting the line</t>
  </si>
  <si>
    <t>A) Blocking</t>
  </si>
  <si>
    <t>Blocking is the key defense strategy to prevent a raider from tagging.</t>
  </si>
  <si>
    <t>In Ha-du-du, what happens when a team scores a point?</t>
  </si>
  <si>
    <t>A) They get a bonus player, B) They switch roles, C) They continue attacking, D) The game pauses</t>
  </si>
  <si>
    <t>B) They switch roles</t>
  </si>
  <si>
    <t>After scoring a point, the attacking and defending roles switch.</t>
  </si>
  <si>
    <t>In Ha-du-du, what is the role of a 'raider'?</t>
  </si>
  <si>
    <t>A) To defend, B) To score points by tagging, C) To block, D) To assist the blockers</t>
  </si>
  <si>
    <t>B) To score points by tagging</t>
  </si>
  <si>
    <t>A raider's role is to score points by tagging players from the opponent team.</t>
  </si>
  <si>
    <t>How is the winner of a Ha-du-du match determined?</t>
  </si>
  <si>
    <t>A) By the highest score, B) By the last player standing, C) By the most tags, D) By the most successful defenses</t>
  </si>
  <si>
    <t>A) By the highest score</t>
  </si>
  <si>
    <t>The team with the highest score at the end of the match wins.</t>
  </si>
  <si>
    <t>What happens when both teams have equal scores at the end of a Ha-du-du match?</t>
  </si>
  <si>
    <t>A) A penalty shootout, B) A draw, C) Extra time, D) A rematch</t>
  </si>
  <si>
    <t>B) A draw</t>
  </si>
  <si>
    <t>In case of a tie, the match ends in a draw.</t>
  </si>
  <si>
    <t>In Ha-du-du, what is the term for the defensive players?</t>
  </si>
  <si>
    <t>A) Raiders, B) Blockers, C) Tags, D) Protectors</t>
  </si>
  <si>
    <t>B) Blockers</t>
  </si>
  <si>
    <t>The defensive players are referred to as blockers in Ha-du-du.</t>
  </si>
  <si>
    <t>In Ha-du-du, which of the following is NOT allowed during the game?</t>
  </si>
  <si>
    <t>A) Tagging an opponent, B) Using force to block, C) Running out of bounds, D) Choking an opponent</t>
  </si>
  <si>
    <t>D) Choking an opponent</t>
  </si>
  <si>
    <t>Choking or any form of violent conduct is strictly prohibited in Ha-du-du.</t>
  </si>
  <si>
    <t>How does a raider score a point in Ha-du-du?</t>
  </si>
  <si>
    <t>A) By tagging the opponent's player, B) By running past the defenders, C) By staying on the opponent's side, D) By blocking the defenders</t>
  </si>
  <si>
    <t>A) By tagging the opponent's player</t>
  </si>
  <si>
    <t>A raider scores a point by tagging an opposing player without being caught.</t>
  </si>
  <si>
    <t>In Ha-du-du, which position is most crucial for defense?</t>
  </si>
  <si>
    <t>A) Attacker, B) Raider, C) Blocker, D) Referee</t>
  </si>
  <si>
    <t>C) Blocker</t>
  </si>
  <si>
    <t>Blockers play a crucial role in defending against the raiders.</t>
  </si>
  <si>
    <t>In Ha-du-du, how many points are awarded if a raider successfully tags 3 players from the opposing team?</t>
  </si>
  <si>
    <t>A) 1, B) 3, C) 5, D) 10</t>
  </si>
  <si>
    <t>A raider earns 3 points by tagging 3 players from the opposing team.</t>
  </si>
  <si>
    <t>What is the key challenge for the raider in Ha-du-du?</t>
  </si>
  <si>
    <t>A) To avoid being tagged, B) To score points, C) To evade defenders, D) To return in time</t>
  </si>
  <si>
    <t>A) To avoid being tagged</t>
  </si>
  <si>
    <t>The main challenge for the raider is to tag players while avoiding being tagged themselves.</t>
  </si>
  <si>
    <t>In Ha-du-du, when can the raider cross back to their side?</t>
  </si>
  <si>
    <t>A) Immediately after tagging, B) After 7 seconds of chanting, C) Only if tagged, D) After 10 seconds</t>
  </si>
  <si>
    <t>A) Immediately after tagging</t>
  </si>
  <si>
    <t>The raider can return to their side immediately after tagging the opponent.</t>
  </si>
  <si>
    <t>Which of the following is a key responsibility of the defender in Ha-du-du?</t>
  </si>
  <si>
    <t>A) To tag the raider, B) To stop the raider from scoring, C) To score points, D) To chant 'Ha-du-du'</t>
  </si>
  <si>
    <t>B) To stop the raider from scoring</t>
  </si>
  <si>
    <t>Defenders must stop the raiders from tagging their players and scoring points.</t>
  </si>
  <si>
    <t>In Ha-du-du, what happens if a raider fails to return within 15 seconds?</t>
  </si>
  <si>
    <t>A) They are penalized, B) The opposing team wins, C) They are eliminated, D) Nothing happens</t>
  </si>
  <si>
    <t>A) They are penalized</t>
  </si>
  <si>
    <t>A raider who fails to return within 15 seconds faces a penalty.</t>
  </si>
  <si>
    <t>Which action is NOT permitted in Ha-du-du?</t>
  </si>
  <si>
    <t>A) Defensive blocking, B) Physical contact, C) Running out of bounds, D) Spitting</t>
  </si>
  <si>
    <t>D) Spitting</t>
  </si>
  <si>
    <t>Spitting or any unsportsmanlike behavior is not allowed in Ha-du-du.</t>
  </si>
  <si>
    <t>In Ha-du-du, how does a team switch roles?</t>
  </si>
  <si>
    <t>A) By scoring points, B) After a round, C) When tagged out, D) At the end of a game</t>
  </si>
  <si>
    <t>B) After a round</t>
  </si>
  <si>
    <t>Teams switch roles after each round between defending and attacking.</t>
  </si>
  <si>
    <t>In Ha-du-du, how long does a raider have to chant 'Ha-du-du' before starting the attack?</t>
  </si>
  <si>
    <t>A) 5 seconds, B) 7 seconds, C) 10 seconds, D) 15 seconds</t>
  </si>
  <si>
    <t>B) 7 seconds</t>
  </si>
  <si>
    <t>A raider must chant 'Ha-du-du' for 7 seconds before starting the attack.</t>
  </si>
  <si>
    <t>In Ha-du-du, what is the purpose of chanting 'Ha-du-du'?</t>
  </si>
  <si>
    <t>A) To signal the start of an attack, B) To scare the opponent, C) To alert the referee, D) To confuse the opponent</t>
  </si>
  <si>
    <t>A) To signal the start of an attack</t>
  </si>
  <si>
    <t>Chanting 'Ha-du-du' signals the start of an attack by the raider.</t>
  </si>
  <si>
    <t>How many players from each team are involved in a single attack in Ha-du-du?</t>
  </si>
  <si>
    <t>In Ha-du-du, only one player (the raider) is involved in an attack at a time.</t>
  </si>
  <si>
    <t>In Ha-du-du, what happens if a raider steps out of bounds?</t>
  </si>
  <si>
    <t>A) They get eliminated, B) They get a warning, C) They lose a point, D) They continue the attack</t>
  </si>
  <si>
    <t>A) They get eliminated</t>
  </si>
  <si>
    <t>Stepping out of bounds results in the raider's elimination from the round.</t>
  </si>
  <si>
    <t>What is the maximum number of players from one team on the field in Ha-du-du?</t>
  </si>
  <si>
    <t>B) 5</t>
  </si>
  <si>
    <t>There can be a maximum of 5 players from one team on the field at any time.</t>
  </si>
  <si>
    <t>In Ha-du-du, when a defender successfully tags a raider, what happens?</t>
  </si>
  <si>
    <t>A) The raider is eliminated, B) The game pauses, C) The defender earns a point, D) The raider returns to their side</t>
  </si>
  <si>
    <t>A) The raider is eliminated</t>
  </si>
  <si>
    <t>A raider who is tagged by a defender is eliminated from the round.</t>
  </si>
  <si>
    <t>In Ha-du-du, how is the winner of the game determined?</t>
  </si>
  <si>
    <t>A) By points, B) By tags, C) By the longest attack, D) By the number of defenders</t>
  </si>
  <si>
    <t>A) By points</t>
  </si>
  <si>
    <t>The team with the highest points at the end of the game wins.</t>
  </si>
  <si>
    <t>In Ha-du-du, what happens if a raider tags all the players from the opposing team?</t>
  </si>
  <si>
    <t>A) The round ends, B) The raider wins the game, C) The attacking team wins the game, D) Nothing happens</t>
  </si>
  <si>
    <t>C) The attacking team wins the game</t>
  </si>
  <si>
    <t>What is the duration of a typical Ha-du-du match?</t>
  </si>
  <si>
    <t>A) 15 minutes, B) 20 minutes, C) 30 minutes, D) 45 minutes</t>
  </si>
  <si>
    <t>C) 30 minutes</t>
  </si>
  <si>
    <t>A standard Ha-du-du match lasts for 30 minutes.</t>
  </si>
  <si>
    <t>In Ha-du-du, who is responsible for enforcing the rules of the game?</t>
  </si>
  <si>
    <t>A) Team captains, B) Referee, C) Coach, D) Spectators</t>
  </si>
  <si>
    <t>B) Referee</t>
  </si>
  <si>
    <t>The referee ensures that the rules are followed during the game.</t>
  </si>
  <si>
    <t>In Ha-du-du, when does a team switch between offense and defense?</t>
  </si>
  <si>
    <t>A) After each point, B) After each round, C) When a player is tagged, D) At the start of the game</t>
  </si>
  <si>
    <t>B) After each round</t>
  </si>
  <si>
    <t>Teams switch between offense and defense after each round.</t>
  </si>
  <si>
    <t>In Ha-du-du, what happens if a defender grabs the raider by the legs?</t>
  </si>
  <si>
    <t>A) The raider gets a point, B) The defender is penalized, C) Both players are eliminated, D) The raider is tagged</t>
  </si>
  <si>
    <t>B) The defender is penalized</t>
  </si>
  <si>
    <t>Grabbing the raider by the legs is a foul, and the defender is penalized.</t>
  </si>
  <si>
    <t>In Ha-du-du, what is the maximum time a raider can stay on the opponent's side?</t>
  </si>
  <si>
    <t>A) 7 seconds, B) 10 seconds, C) 15 seconds, D) 20 seconds</t>
  </si>
  <si>
    <t>C) 15 seconds</t>
  </si>
  <si>
    <t>A raider must return to their side within 15 seconds.</t>
  </si>
  <si>
    <t>In Ha-du-du, which team role involves preventing the raider from tagging the players?</t>
  </si>
  <si>
    <t>A) Blocker, B) Raider, C) Attacker, D) Defender</t>
  </si>
  <si>
    <t>A) Blocker</t>
  </si>
  <si>
    <t>The blockers prevent the raider from tagging the players.</t>
  </si>
  <si>
    <t>In Ha-du-du, what happens if a raider steps inside the opponent's scoring zone without tagging?</t>
  </si>
  <si>
    <t>A) The raider loses a point, B) The game restarts, C) The raider is penalized, D) The defender is penalized</t>
  </si>
  <si>
    <t>C) The raider is penalized</t>
  </si>
  <si>
    <t>Stepping into the scoring zone without tagging results in a penalty for the raider.</t>
  </si>
  <si>
    <t>In Ha-du-du, what is the term for a successful defensive maneuver to stop the raider?</t>
  </si>
  <si>
    <t>A) Block, B) Tackle, C) Tag, D) Catch</t>
  </si>
  <si>
    <t>A) Block</t>
  </si>
  <si>
    <t>A block is a defensive maneuver used to stop the raider from scoring.</t>
  </si>
  <si>
    <t>In Ha-du-du, how many players are there on each team at the start of the game?</t>
  </si>
  <si>
    <t>Each team starts with 7 players in a standard Ha-du-du match.</t>
  </si>
  <si>
    <t>What is the primary role of the raider in Ha-du-du?</t>
  </si>
  <si>
    <t>A) To block defenders, B) To tag opponents, C) To score points, D) To protect teammates</t>
  </si>
  <si>
    <t>B) To tag opponents</t>
  </si>
  <si>
    <t>The raider's main goal is to tag players from the opposing team without being tagged themselves.</t>
  </si>
  <si>
    <t>In Ha-du-du, how is a defender's role different from a raider's?</t>
  </si>
  <si>
    <t>A) Defenders score points, B) Defenders stop the raider from scoring, C) Defenders tag opponents, D) Defenders cannot touch the raider</t>
  </si>
  <si>
    <t>B) Defenders stop the raider from scoring</t>
  </si>
  <si>
    <t>Defenders aim to stop the raiders from tagging players by blocking or tagging them.</t>
  </si>
  <si>
    <t>What happens if a raider fails to tag an opponent within the allotted time?</t>
  </si>
  <si>
    <t>A) The raider is eliminated, B) The raider loses a point, C) The raider gets another attempt, D) The round ends</t>
  </si>
  <si>
    <t>If a raider fails to tag an opponent within the time limit, they are eliminated from the round.</t>
  </si>
  <si>
    <t>In Ha-du-du, how long is the attacking time for a raider?</t>
  </si>
  <si>
    <t>A raider has 15 seconds to make an attack and return to their side.</t>
  </si>
  <si>
    <t>What is the term used for the defensive players in Ha-du-du?</t>
  </si>
  <si>
    <t>A) Blockers, B) Raiders, C) Taggers, D) Defenders</t>
  </si>
  <si>
    <t>A) Blockers</t>
  </si>
  <si>
    <t>Defensive players in Ha-du-du are called blockers, as they try to prevent the raider from scoring.</t>
  </si>
  <si>
    <t>In Ha-du-du, what happens if a raider touches the line marking the opponent's side?</t>
  </si>
  <si>
    <t>A) The raider is disqualified, B) The raider earns extra points, C) The raider is penalized, D) The raider scores a point</t>
  </si>
  <si>
    <t>A raider who touches the line while attacking is penalized and eliminated.</t>
  </si>
  <si>
    <t>In Ha-du-du, what is the maximum number of substitutes allowed per team?</t>
  </si>
  <si>
    <t>Each team is allowed a maximum of 4 substitutes in official play.</t>
  </si>
  <si>
    <t>What is the minimum number of players required on the field to continue a match?</t>
  </si>
  <si>
    <t>A team must have at least 5 active players to continue a match.</t>
  </si>
  <si>
    <t>How is the initial raider determined in Ha-du-du?</t>
  </si>
  <si>
    <t>A) Coin toss, B) Referee decision, C) Home team, D) Random draw</t>
  </si>
  <si>
    <t>The coin toss decides which team raids first.</t>
  </si>
  <si>
    <t>What is the maximum number of officials in a standard Ha-du-du game?</t>
  </si>
  <si>
    <t>One referee and two assistant referees usually officiate the match.</t>
  </si>
  <si>
    <t>What is the maximum duration of each half in Ha-du-du?</t>
  </si>
  <si>
    <t>A) 10 min, B) 12 min, C) 15 min, D) 20 min</t>
  </si>
  <si>
    <t>C) 15 min</t>
  </si>
  <si>
    <t>Each half is 15 minutes in a standard 30-minute game.</t>
  </si>
  <si>
    <t>How many timeouts are permitted per team in Ha-du-du?</t>
  </si>
  <si>
    <t>Each team may take 2 timeouts per match.</t>
  </si>
  <si>
    <t>In Ha-du-du, what is the standard halftime break duration?</t>
  </si>
  <si>
    <t>A) 2 min, B) 3 min, C) 5 min, D) 7 min</t>
  </si>
  <si>
    <t>C) 5 min</t>
  </si>
  <si>
    <t>Teams get a 5-minute halftime break.</t>
  </si>
  <si>
    <t>What is the maximum raid duration allowed?</t>
  </si>
  <si>
    <t>A) 10s, B) 12s, C) 15s, D) 20s</t>
  </si>
  <si>
    <t>C) 15s</t>
  </si>
  <si>
    <t>A raider has 15 seconds to complete their raid.</t>
  </si>
  <si>
    <t>How many players can be revived when a raider scores a point?</t>
  </si>
  <si>
    <t>A) 0, B) 1, C) 2, D) 3</t>
  </si>
  <si>
    <t>B) 1</t>
  </si>
  <si>
    <t>Each successful raid revives one eliminated player.</t>
  </si>
  <si>
    <t>What is the penalty for a defender stepping out of bounds without contact?</t>
  </si>
  <si>
    <t>A) No penalty, B) Replay, C) Defender out, D) Raider eliminated</t>
  </si>
  <si>
    <t>C) Defender out</t>
  </si>
  <si>
    <t>Defenders going out of bounds are considered out.</t>
  </si>
  <si>
    <t>What is the penalty for a raider stopping the chant of “Ha-du-du”?</t>
  </si>
  <si>
    <t>A) Free raid, B) Raider out, C) Defender penalized, D) Replay</t>
  </si>
  <si>
    <t>B) Raider out</t>
  </si>
  <si>
    <t>Raiders must chant continuously; stopping eliminates them.</t>
  </si>
  <si>
    <t>How wide is a standard Ha-du-du court?</t>
  </si>
  <si>
    <t>A) 6m, B) 7m, C) 8m, D) 9m</t>
  </si>
  <si>
    <t>B) 7m</t>
  </si>
  <si>
    <t>The width of the playing area is 7 meters.</t>
  </si>
  <si>
    <t>What is the length of a standard Ha-du-du court?</t>
  </si>
  <si>
    <t>A) 8m, B) 10m, C) 12m, D) 15m</t>
  </si>
  <si>
    <t>C) 12m</t>
  </si>
  <si>
    <t>Standard Ha-du-du courts are 12 meters long.</t>
  </si>
  <si>
    <t>What happens if a raider fails to tag any defender and returns safely?</t>
  </si>
  <si>
    <t>A) No points, B) Defender out, C) Raider gets 1 point, D) Replay</t>
  </si>
  <si>
    <t>A) No points</t>
  </si>
  <si>
    <t>Raiders must tag at least one defender to score.</t>
  </si>
  <si>
    <t>What happens if all players on a team are eliminated?</t>
  </si>
  <si>
    <t>A) Match ends, B) Opponent gets bonus point, C) Team is revived, D) Replay</t>
  </si>
  <si>
    <t>B) Opponent gets bonus point</t>
  </si>
  <si>
    <t>When all are out, the opponent earns an extra point.</t>
  </si>
  <si>
    <t>What happens if both teams are tied after regulation time?</t>
  </si>
  <si>
    <t>A) Draw, B) Golden raid, C) Replay, D) Extra 5 minutes</t>
  </si>
  <si>
    <t>A) Draw</t>
  </si>
  <si>
    <t>If tied, the game is declared a draw.</t>
  </si>
  <si>
    <t>What is the penalty for a defender using violent force?</t>
  </si>
  <si>
    <t>A) Warning, B) Defender out, C) Raider point, D) Match stopped</t>
  </si>
  <si>
    <t>B) Defender out</t>
  </si>
  <si>
    <t>Excessive force is a foul, eliminating the defender.</t>
  </si>
  <si>
    <t>In Ha-du-du, when does a team switch sides?</t>
  </si>
  <si>
    <t>A) Every 5 min, B) At halftime, C) After every raid, D) At referee’s call</t>
  </si>
  <si>
    <t>B) At halftime</t>
  </si>
  <si>
    <t>Teams switch court sides at halftime.</t>
  </si>
  <si>
    <t>How many players from one team raid at a time?</t>
  </si>
  <si>
    <t>Only one raider can raid at a time.</t>
  </si>
  <si>
    <t>What happens if a raider touches defenders and goes out of bounds?</t>
  </si>
  <si>
    <t>A) Raider gets points, B) Defenders get points, C) No points, D) Replay</t>
  </si>
  <si>
    <t>C) No points</t>
  </si>
  <si>
    <t>A raider must stay in bounds for the tag to count.</t>
  </si>
  <si>
    <t>How many players should remain in the lobby before substitution?</t>
  </si>
  <si>
    <t>At least one player must remain in the lobby to allow substitution.</t>
  </si>
  <si>
    <t>Can a raider hold their breath instead of chanting?</t>
  </si>
  <si>
    <t>A) Yes, B) No, C) Only with referee’s permission, D) Only once</t>
  </si>
  <si>
    <t>Chanting is compulsory during the raid.</t>
  </si>
  <si>
    <t>What happens if defenders delay the raid intentionally?</t>
  </si>
  <si>
    <t>A) No penalty, B) Defenders warned, C) Raiders get points, D) Replay</t>
  </si>
  <si>
    <t>C) Raiders get points</t>
  </si>
  <si>
    <t>Intentionally delaying is penalized by awarding points to raiders.</t>
  </si>
  <si>
    <t>What is the minimum number of referees required for a Ha-du-du game?</t>
  </si>
  <si>
    <t>A minimum of one referee is required to conduct a game.</t>
  </si>
  <si>
    <t>What happens if a raider touches multiple defenders and returns safely?</t>
  </si>
  <si>
    <t>A) 1 point, B) Points equal to players tagged, C) Only 2 points, D) No points</t>
  </si>
  <si>
    <t>B) Points equal to players tagged</t>
  </si>
  <si>
    <t>A raider scores based on the number of defenders tagged.</t>
  </si>
  <si>
    <t>Which line must a raider cross to start an attack?</t>
  </si>
  <si>
    <t>A) Midline, B) End line, C) Center circle, D) Boundary line</t>
  </si>
  <si>
    <t>A) Midline</t>
  </si>
  <si>
    <t>Raiders must cross the midline to start the raid.</t>
  </si>
  <si>
    <t>What happens if a raider doesn’t cross the midline?</t>
  </si>
  <si>
    <t>A) No penalty, B) Replay, C) Raider out, D) Warning</t>
  </si>
  <si>
    <t>C) Raider out</t>
  </si>
  <si>
    <t>A raid is invalid unless the raider crosses the midline.</t>
  </si>
  <si>
    <t>What is the maximum number of players in a Ha-du-du squad including substitutes?</t>
  </si>
  <si>
    <t>A) 9, B) 10, C) 11, D) 12</t>
  </si>
  <si>
    <t>D) 12</t>
  </si>
  <si>
    <t>A squad may consist of up to 12 players including substitutes.</t>
  </si>
  <si>
    <t>What happens if a raider touches the midline but is caught before returning?</t>
  </si>
  <si>
    <t>A) Raider scores, B) Defenders penalized, C) Raider out, D) Replay</t>
  </si>
  <si>
    <t>A raider must return fully to earn points.</t>
  </si>
  <si>
    <t>What is the penalty for defenders pulling raider’s hair?</t>
  </si>
  <si>
    <t>A) Warning, B) Free raid, C) Raider point, D) Defender out</t>
  </si>
  <si>
    <t>D) Defender out</t>
  </si>
  <si>
    <t>Pulling hair is a foul leading to defender elimination.</t>
  </si>
  <si>
    <t>How many bonus points can a raider earn in a single raid?</t>
  </si>
  <si>
    <t>A raider can earn only one bonus point in a raid.</t>
  </si>
  <si>
    <t>What happens if the raider is injured during a raid?</t>
  </si>
  <si>
    <t>A) Substitution allowed, B) Replay, C) Point to defender, D) No result</t>
  </si>
  <si>
    <t>A) Substitution allowed</t>
  </si>
  <si>
    <t>If injured, a raider can be substituted.</t>
  </si>
  <si>
    <t>Can a defender step outside the court to tag a raider?</t>
  </si>
  <si>
    <t>A) Yes, B) No, C) Only with referee’s permission, D) In bonus line only</t>
  </si>
  <si>
    <t>Defenders cannot go outside the boundary to tag.</t>
  </si>
  <si>
    <t>What happens if both raider and defender go out of bounds together?</t>
  </si>
  <si>
    <t>A) Both out, B) Both safe, C) Replay, D) Raider point</t>
  </si>
  <si>
    <t>A) Both out</t>
  </si>
  <si>
    <t>Both players are declared out if they leave together.</t>
  </si>
  <si>
    <t>What is the maximum number of raids a player can perform consecutively?</t>
  </si>
  <si>
    <t>No player can raid more than twice in succession.</t>
  </si>
  <si>
    <t>What is the role of the assistant referee?</t>
  </si>
  <si>
    <t>A) Scorekeeping, B) Timekeeping, C) Monitoring sidelines, D) All of the above</t>
  </si>
  <si>
    <t>Assistant referees manage scoring, time, and sideline rules.</t>
  </si>
  <si>
    <t>What is the punishment for a false start by a raider?</t>
  </si>
  <si>
    <t>A) Warning, B) Replay, C) Raider out, D) Point to defender</t>
  </si>
  <si>
    <t>B) Replay</t>
  </si>
  <si>
    <t>A false start leads to a raid replay.</t>
  </si>
  <si>
    <t>What happens if a raider holds onto a defender’s clothes?</t>
  </si>
  <si>
    <t>A) Raider gets point, B) Defender out, C) Raider penalized, D) Replay</t>
  </si>
  <si>
    <t>C) Raider penalized</t>
  </si>
  <si>
    <t>Holding clothes is illegal, raider is penalized.</t>
  </si>
  <si>
    <t>What happens when the defending team prevents a raider from returning?</t>
  </si>
  <si>
    <t>A) Defenders score, B) Raider safe, C) Replay, D) Free raid</t>
  </si>
  <si>
    <t>A) Defenders score</t>
  </si>
  <si>
    <t>If raider is held and cannot return, defenders earn the point.</t>
  </si>
  <si>
    <t>What is the penalty for defenders using two hands to choke a raider?</t>
  </si>
  <si>
    <t>A) No penalty, B) Warning, C) Defender out, D) Raider eliminated</t>
  </si>
  <si>
    <t>Choking is a foul leading to defender elimination.</t>
  </si>
  <si>
    <t>Which body contact is allowed in Ha-du-du defense?</t>
  </si>
  <si>
    <t>A) Shoulder block, B) Leg sweep, C) Hair pull, D) Punch</t>
  </si>
  <si>
    <t>A) Shoulder block</t>
  </si>
  <si>
    <t>Legal body blocks include shoulder blocks, not violent moves.</t>
  </si>
  <si>
    <t>What happens if the raider chants incorrectly?</t>
  </si>
  <si>
    <t>A) Warning, B) Raider out, C) Replay, D) No penalty</t>
  </si>
  <si>
    <t>Incorrect or incomplete chant leads to elimination.</t>
  </si>
  <si>
    <t>Can a raider score points by touching defenders with any body part?</t>
  </si>
  <si>
    <t>A) Only hands, B) Only feet, C) Any body part, D) Only upper body</t>
  </si>
  <si>
    <t>C) Any body part</t>
  </si>
  <si>
    <t>A raider can tag using any body part.</t>
  </si>
  <si>
    <t>What happens if defenders surround the raider without touching?</t>
  </si>
  <si>
    <t>A) Raider safe, B) Defenders score, C) Raider out if time ends, D) Replay</t>
  </si>
  <si>
    <t>C) Raider out if time ends</t>
  </si>
  <si>
    <t>If surrounded and time expires, the raider is out.</t>
  </si>
  <si>
    <t>Can substitutions be made during halftime?</t>
  </si>
  <si>
    <t>A) Yes, B) No, C) Only with referee’s permission, D) Only after first raid</t>
  </si>
  <si>
    <t>Substitutions are allowed during halftime.</t>
  </si>
  <si>
    <t>What is the referee’s signal for a raider out?</t>
  </si>
  <si>
    <t>A) Raised hand, B) Whistle, C) Point towards defenders, D) All of the above</t>
  </si>
  <si>
    <t>Referees use hand signals and whistles to confirm outs.</t>
  </si>
  <si>
    <t>How many points are awarded for an all-out?</t>
  </si>
  <si>
    <t>Eliminating all defenders awards 2 extra points.</t>
  </si>
  <si>
    <t>What is the minimum distance between teams at the start of play?</t>
  </si>
  <si>
    <t>A) 1m, B) 2m, C) 3m, D) 5m</t>
  </si>
  <si>
    <t>B) 2m</t>
  </si>
  <si>
    <t>Teams must be at least 2 meters apart at the start.</t>
  </si>
  <si>
    <t>Can a defender push the raider out of bounds?</t>
  </si>
  <si>
    <t>A) Yes, B) No, C) Only with referee’s approval, D) Only during bonus raid</t>
  </si>
  <si>
    <t>Defenders may not push a raider outside the line.</t>
  </si>
  <si>
    <t>What happens if a raider enters without chanting?</t>
  </si>
  <si>
    <t>A) Raider out, B) Free raid, C) Replay, D) Defender penalized</t>
  </si>
  <si>
    <t>A) Raider out</t>
  </si>
  <si>
    <t>Chanting is mandatory for a raid to count.</t>
  </si>
  <si>
    <t>How is the winner of Ha-du-du decided?</t>
  </si>
  <si>
    <t>A) Most tags, B) Most points, C) Most successful defenses, D) Last team standing</t>
  </si>
  <si>
    <t>B) Most points</t>
  </si>
  <si>
    <t>The team with the highest score at the end wins.</t>
  </si>
  <si>
    <t>What happens if a raider tags but doesn’t return within time?</t>
  </si>
  <si>
    <t>Raider must return safely to score.</t>
  </si>
  <si>
    <t>How many players can defenders revive after an all-out?</t>
  </si>
  <si>
    <t>A) None, B) 1, C) 2, D) All</t>
  </si>
  <si>
    <t>D) All</t>
  </si>
  <si>
    <t>After an all-out, all players are revived.</t>
  </si>
  <si>
    <t>Can a raider fake chanting?</t>
  </si>
  <si>
    <t>A) Yes, B) No, C) Only once per raid, D) With referee’s permission</t>
  </si>
  <si>
    <t>Faking chants is illegal; continuous chant is required.</t>
  </si>
  <si>
    <t>What is the referee’s decision in case of a dispute?</t>
  </si>
  <si>
    <t>A) Replay, B) Final and binding, C) Captains decide, D) Audience vote</t>
  </si>
  <si>
    <t>B) Final and binding</t>
  </si>
  <si>
    <t>The referee’s decision is final in disputes.</t>
  </si>
  <si>
    <t>What happens if the raider collides with the referee?</t>
  </si>
  <si>
    <t>A) Raider out, B) Replay, C) Defender point, D) No penalty</t>
  </si>
  <si>
    <t>Accidental collision results in a replay.</t>
  </si>
  <si>
    <t>Can a player play barefoot in Ha-du-du?</t>
  </si>
  <si>
    <t>A) Yes, B) No, C) Only if injured, D) Only on grass</t>
  </si>
  <si>
    <t>Players may play barefoot according to traditional rules.</t>
  </si>
  <si>
    <t>What happens if a defender enters late during raid?</t>
  </si>
  <si>
    <t>A) Defender penalized, B) Raider out, C) Replay, D) No penalty</t>
  </si>
  <si>
    <t>A) Defender penalized</t>
  </si>
  <si>
    <t>Entering late is a foul; defender is penalized.</t>
  </si>
  <si>
    <t>How many bonus points for touching bonus line?</t>
  </si>
  <si>
    <t>A) 1, B) 2, C) 3, D) None</t>
  </si>
  <si>
    <t>Crossing the bonus line gives 1 bonus point.</t>
  </si>
  <si>
    <t>What is the maximum number of raids in a 30-minute match?</t>
  </si>
  <si>
    <t>A) Fixed 20, B) Fixed 25, C) Not fixed, D) 50</t>
  </si>
  <si>
    <t>C) Not fixed</t>
  </si>
  <si>
    <t>The number of raids depends on time, not fixed.</t>
  </si>
  <si>
    <t>What happens if a team refuses to play after referee’s call?</t>
  </si>
  <si>
    <t>A) Match replayed, B) Forfeit, C) Warning, D) No penalty</t>
  </si>
  <si>
    <t>B) Forfeit</t>
  </si>
  <si>
    <t>Refusing to play results in match forfeit.</t>
  </si>
  <si>
    <t>Can the raider jump over defenders?</t>
  </si>
  <si>
    <t>A) Yes, B) No, C) Only once, D) Only with referee’s approval</t>
  </si>
  <si>
    <t>Jumping is legal if within bounds.</t>
  </si>
  <si>
    <t>What happens if a raider touches referee during raid intentionally?</t>
  </si>
  <si>
    <t>A) Raider safe, B) Raider penalized, C) Replay, D) Defender out</t>
  </si>
  <si>
    <t>B) Raider penalized</t>
  </si>
  <si>
    <t>Intentional contact with referee is penalized.</t>
  </si>
  <si>
    <t>How many officials keep track of scoring?</t>
  </si>
  <si>
    <t>The scorer records official scores during the game.</t>
  </si>
  <si>
    <t>What happens if both teams enter the court during timeout?</t>
  </si>
  <si>
    <t>A) Warning, B) Forfeit, C) Replay, D) No penalty</t>
  </si>
  <si>
    <t>Both teams must stay off-court during timeout.</t>
  </si>
  <si>
    <t>What is the primary weapon used in Lathi Khela?</t>
  </si>
  <si>
    <t>A) Sword, B) Shield, C) Stick, D) Dagger</t>
  </si>
  <si>
    <t>C) Stick</t>
  </si>
  <si>
    <t>Lathi Khela is traditionally played with a long wooden stick, known as a 'lathi'.</t>
  </si>
  <si>
    <t>How many players are typically on each team in Lathi Khela?</t>
  </si>
  <si>
    <t>A) 5, B) 10, C) 15, D) 20</t>
  </si>
  <si>
    <t>B) 10</t>
  </si>
  <si>
    <t>Each team generally consists of 10 players in Lathi Khela.</t>
  </si>
  <si>
    <t>In Lathi Khela, what is the primary objective of the game?</t>
  </si>
  <si>
    <t>A) Score goals, B) Knock out opponents, C) Capture flags, D) Defend the territory</t>
  </si>
  <si>
    <t>B) Knock out opponents</t>
  </si>
  <si>
    <t>The main goal is to knock out opponents by striking them with the stick.</t>
  </si>
  <si>
    <t>What is the term used for the stick in Lathi Khela?</t>
  </si>
  <si>
    <t>A) Gada, B) Lathi, C) Danda, D) Patta</t>
  </si>
  <si>
    <t>B) Lathi</t>
  </si>
  <si>
    <t>The stick used in Lathi Khela is called a 'lathi'.</t>
  </si>
  <si>
    <t>In Lathi Khela, what is the time limit for a match?</t>
  </si>
  <si>
    <t>A) 30 minutes, B) 60 minutes, C) 90 minutes, D) No time limit</t>
  </si>
  <si>
    <t>Lathi Khela matches typically do not have a fixed time limit and are played until one team is defeated.</t>
  </si>
  <si>
    <t>What is the role of the leader in Lathi Khela?</t>
  </si>
  <si>
    <t>A) To lead the attack, B) To lead the defense, C) To direct the team, D) To enforce rules</t>
  </si>
  <si>
    <t>C) To direct the team</t>
  </si>
  <si>
    <t>The leader guides the team's strategies and overall gameplay in Lathi Khela.</t>
  </si>
  <si>
    <t>What is a common tactic used in Lathi Khela?</t>
  </si>
  <si>
    <t>A) Jumping over the opponent, B) Outnumbering the opponent, C) Disarming the opponent, D) Using teamwork to strike</t>
  </si>
  <si>
    <t>D) Using teamwork to strike</t>
  </si>
  <si>
    <t>Teamwork is essential in Lathi Khela, with players using synchronized strikes and defense.</t>
  </si>
  <si>
    <t>Which of the following is NOT allowed in Lathi Khela?</t>
  </si>
  <si>
    <t>A) Striking with a lathi, B) Attacking with bare hands, C) Throwing the lathi, D) Defending with a shield</t>
  </si>
  <si>
    <t>D) Defending with a shield</t>
  </si>
  <si>
    <t>Shields are not part of the equipment in Lathi Khela; the game focuses on using sticks for offense and defense.</t>
  </si>
  <si>
    <t>How is a player 'knocked out' in Lathi Khela?</t>
  </si>
  <si>
    <t>A) If struck on the head, B) If struck on the legs, C) If their stick is broken, D) If they fall to the ground</t>
  </si>
  <si>
    <t>A) If struck on the head</t>
  </si>
  <si>
    <t>A player is considered knocked out if they are struck on the head by an opponent's lathi.</t>
  </si>
  <si>
    <t>What type of footwear is typically worn during a Lathi Khela match?</t>
  </si>
  <si>
    <t>A) Sandals, B) Barefoot, C) Sneakers, D) Boots</t>
  </si>
  <si>
    <t>B) Barefoot</t>
  </si>
  <si>
    <t>Players usually play Lathi Khela barefoot to maintain better mobility and grip.</t>
  </si>
  <si>
    <t>How do teams win in Lathi Khela?</t>
  </si>
  <si>
    <t>A) By eliminating all opposing players, B) By scoring the most hits, C) By capturing the opponent's flag, D) By blocking the most strikes</t>
  </si>
  <si>
    <t>A) By eliminating all opposing players</t>
  </si>
  <si>
    <t>A team wins by knocking out all the players from the opposing team.</t>
  </si>
  <si>
    <t>What does the word 'Khela' mean in Lathi Khela?</t>
  </si>
  <si>
    <t>A) Weapon, B) Game, C) Strength, D) Fight</t>
  </si>
  <si>
    <t>B) Game</t>
  </si>
  <si>
    <t>The term 'Khela' translates to 'game' in Bengali.</t>
  </si>
  <si>
    <t>What type of training is involved for Lathi Khela?</t>
  </si>
  <si>
    <t>A) Physical conditioning, B) Martial arts techniques, C) Team coordination, D) All of the above</t>
  </si>
  <si>
    <t>Players undergo physical conditioning, martial arts techniques, and coordination training.</t>
  </si>
  <si>
    <t>Where is Lathi Khela commonly played?</t>
  </si>
  <si>
    <t>A) In urban areas, B) In fields, C) In gymnasiums, D) In playgrounds</t>
  </si>
  <si>
    <t>B) In fields</t>
  </si>
  <si>
    <t>Lathi Khela is typically played in open fields to allow space for movement.</t>
  </si>
  <si>
    <t>In Lathi Khela, which body part is targeted for strikes?</t>
  </si>
  <si>
    <t>A) Legs, B) Arms, C) Head, D) Torso</t>
  </si>
  <si>
    <t>C) Head</t>
  </si>
  <si>
    <t>The head is the most common target for strikes, with the goal of knocking out the opponent.</t>
  </si>
  <si>
    <t>What is the maximum length of a lathi used in the game?</t>
  </si>
  <si>
    <t>A) 3 feet, B) 5 feet, C) 7 feet, D) 9 feet</t>
  </si>
  <si>
    <t>B) 5 feet</t>
  </si>
  <si>
    <t>The lathi typically measures around 5 feet in length.</t>
  </si>
  <si>
    <t>What is the term for a successful strike in Lathi Khela?</t>
  </si>
  <si>
    <t>A) Hit, B) Takedown, C) Knockout, D) Swipe</t>
  </si>
  <si>
    <t>C) Knockout</t>
  </si>
  <si>
    <t>A successful strike that eliminates an opponent is referred to as a 'knockout.'</t>
  </si>
  <si>
    <t>In Lathi Khela, what must players avoid doing?</t>
  </si>
  <si>
    <t>A) Striking with excessive force, B) Going out of bounds, C) Targeting the legs, D) Breaking the lathi</t>
  </si>
  <si>
    <t>A) Striking with excessive force</t>
  </si>
  <si>
    <t>Players must avoid excessive force to ensure safety, as the game can be dangerous.</t>
  </si>
  <si>
    <t>What happens when a player is knocked out in Lathi Khela?</t>
  </si>
  <si>
    <t>A) They are replaced, B) They leave the field, C) They recover and continue, D) They are out for the rest of the game</t>
  </si>
  <si>
    <t>D) They are out for the rest of the game</t>
  </si>
  <si>
    <t>Once a player is knocked out, they are out for the remainder of the game.</t>
  </si>
  <si>
    <t>What kind of protective gear is worn in Lathi Khela?</t>
  </si>
  <si>
    <t>A) Helmet, B) Gloves, C) Arm guards, D) No protective gear</t>
  </si>
  <si>
    <t>D) No protective gear</t>
  </si>
  <si>
    <t>Lathi Khela is traditionally played without any protective gear.</t>
  </si>
  <si>
    <t>How do players in Lathi Khela defend themselves?</t>
  </si>
  <si>
    <t>A) By using their hands, B) By blocking with the lathi, C) By running, D) By hiding</t>
  </si>
  <si>
    <t>B) By blocking with the lathi</t>
  </si>
  <si>
    <t>Players defend themselves by using their lathi to block incoming strikes.</t>
  </si>
  <si>
    <t>What is the typical duration of a round in Lathi Khela?</t>
  </si>
  <si>
    <t>A) 10 minutes, B) 20 minutes, C) 30 minutes, D) 1 hour</t>
  </si>
  <si>
    <t>B) 20 minutes</t>
  </si>
  <si>
    <t>A round typically lasts for 20 minutes, but this can vary depending on the competition.</t>
  </si>
  <si>
    <t>What is a unique feature of Lathi Khela compared to other combat sports?</t>
  </si>
  <si>
    <t>A) Use of swords, B) No physical contact, C) Use of sticks, D) Focus on endurance</t>
  </si>
  <si>
    <t>C) Use of sticks</t>
  </si>
  <si>
    <t>The primary weapon in Lathi Khela is the stick, which distinguishes it from other combat sports.</t>
  </si>
  <si>
    <t>What is the primary skill required to excel in Lathi Khela?</t>
  </si>
  <si>
    <t>A) Speed, B) Strength, C) Strategy, D) Endurance</t>
  </si>
  <si>
    <t>C) Strategy</t>
  </si>
  <si>
    <t>Lathi Khela requires careful strategic planning and teamwork, more than just physical strength.</t>
  </si>
  <si>
    <t>Can Lathi Khela be played individually?</t>
  </si>
  <si>
    <t>A) Yes, B) No</t>
  </si>
  <si>
    <t>Lathi Khela is a team-based sport and cannot be played individually.</t>
  </si>
  <si>
    <t>What is the minimum number of players required for a Lathi Khela match?</t>
  </si>
  <si>
    <t>A match in Lathi Khela requires at least 6 players per team to begin.</t>
  </si>
  <si>
    <t>What is the objective when striking an opponent in Lathi Khela?</t>
  </si>
  <si>
    <t>A) To injure, B) To knock them out, C) To disarm them, D) To make them fall</t>
  </si>
  <si>
    <t>B) To knock them out</t>
  </si>
  <si>
    <t>The goal is to strike the opponent in a way that knocks them out of the game.</t>
  </si>
  <si>
    <t>What happens when both teams score an equal number of knockouts?</t>
  </si>
  <si>
    <t>A) Extra time is given, B) The game is decided by a tiebreaker, C) The match is a draw, D) A re-match is held</t>
  </si>
  <si>
    <t>C) The match is a draw</t>
  </si>
  <si>
    <t>If both teams score an equal number of knockouts, the match is declared a draw.</t>
  </si>
  <si>
    <t>What is the common language used to communicate during a Lathi Khela match?</t>
  </si>
  <si>
    <t>A) Bengali, B) Hindi, C) English, D) Urdu</t>
  </si>
  <si>
    <t>A) Bengali</t>
  </si>
  <si>
    <t>Bengali is the language commonly used during Lathi Khela matches.</t>
  </si>
  <si>
    <t>How do the players in Lathi Khela know when to strike?</t>
  </si>
  <si>
    <t>A) On a signal from the referee, B) When they see an opening, C) On a whistle, D) After a countdown</t>
  </si>
  <si>
    <t>B) When they see an opening</t>
  </si>
  <si>
    <t>Players strike when they see an opening in their opponent's defense.</t>
  </si>
  <si>
    <t>What is a critical aspect of Lathi Khela training?</t>
  </si>
  <si>
    <t>A) Speed, B) Discipline, C) Agility, D) All of the above</t>
  </si>
  <si>
    <t>Training for Lathi Khela involves speed, discipline, and agility.</t>
  </si>
  <si>
    <t>What do spectators generally enjoy most about Lathi Khela?</t>
  </si>
  <si>
    <t>A) The speed, B) The strategy, C) The excitement of the fight, D) The team coordination</t>
  </si>
  <si>
    <t>C) The excitement of the fight</t>
  </si>
  <si>
    <t>Spectators enjoy the thrilling and intense fighting aspects of Lathi Khela.</t>
  </si>
  <si>
    <t>How do Lathi Khela teams typically celebrate a victory?</t>
  </si>
  <si>
    <t>A) By singing, B) By dancing, C) By lifting the trophy, D) By organizing a feast</t>
  </si>
  <si>
    <t>B) By dancing</t>
  </si>
  <si>
    <t>Teams often celebrate a victory in Lathi Khela with traditional dance.</t>
  </si>
  <si>
    <t>What is one of the dangers of playing Lathi Khela?</t>
  </si>
  <si>
    <t>A) Risk of dehydration, B) Risk of injury, C) Risk of poisoning, D) Risk of exhaustion</t>
  </si>
  <si>
    <t>B) Risk of injury</t>
  </si>
  <si>
    <t>Lathi Khela is a physically intense sport, and players risk injury due to the combat nature of the game.</t>
  </si>
  <si>
    <t>How many players are required on each team in Lathi Khela?</t>
  </si>
  <si>
    <t>A match in Lathi Khela requires at least 6 players per team.</t>
  </si>
  <si>
    <t>A) Stick, B) Sword, C) Shield, D) Axe</t>
  </si>
  <si>
    <t>A) Stick</t>
  </si>
  <si>
    <t>Players use a long stick, known as 'Lathi', as their weapon during the match.</t>
  </si>
  <si>
    <t>What is the main goal of a Lathi Khela match?</t>
  </si>
  <si>
    <t>A) To score points, B) To knock out opponents, C) To reach the finish line, D) To complete an obstacle course</t>
  </si>
  <si>
    <t>B) To knock out opponents</t>
  </si>
  <si>
    <t>The objective is to knock out players from the opposing team by striking them with the Lathi.</t>
  </si>
  <si>
    <t>What happens if a player is struck in Lathi Khela?</t>
  </si>
  <si>
    <t>A) They are disqualified, B) They are knocked out, C) They lose points, D) They are substituted</t>
  </si>
  <si>
    <t>B) They are knocked out</t>
  </si>
  <si>
    <t>A player is considered knocked out if they are struck successfully by the opponent's Lathi.</t>
  </si>
  <si>
    <t>Can a player use their hands to defend in Lathi Khela?</t>
  </si>
  <si>
    <t>A) Yes, B) No, C) Only for blocking, D) Only for catching</t>
  </si>
  <si>
    <t>Players are not allowed to use their hands to defend; only the Lathi is used.</t>
  </si>
  <si>
    <t>How is the match decided if both teams score the same number of knockouts?</t>
  </si>
  <si>
    <t>A) Extra time, B) A re-match, C) A tiebreaker round, D) The match is a draw</t>
  </si>
  <si>
    <t>D) The match is a draw</t>
  </si>
  <si>
    <t>If both teams score the same number of knockouts, the match is declared a draw.</t>
  </si>
  <si>
    <t>Which of the following is prohibited in Lathi Khela?</t>
  </si>
  <si>
    <t>A) Headshots, B) Using weapons other than the Lathi, C) Striking from behind, D) All of the above</t>
  </si>
  <si>
    <t>Headshots, using weapons other than the Lathi, and striking from behind are prohibited.</t>
  </si>
  <si>
    <t>What is the minimum age required to participate in Lathi Khela?</t>
  </si>
  <si>
    <t>A) 10, B) 12, C) 14, D) 16</t>
  </si>
  <si>
    <t>C) 14</t>
  </si>
  <si>
    <t>Players must be at least 14 years old to participate in Lathi Khela matches.</t>
  </si>
  <si>
    <t>Is Lathi Khela a contact sport?</t>
  </si>
  <si>
    <t>A) Yes, B) No, C) Only for defense, D) Only for attackers</t>
  </si>
  <si>
    <t>Lathi Khela is a full-contact sport where players engage in physical combat.</t>
  </si>
  <si>
    <t>What is the maximum duration of a Lathi Khela match?</t>
  </si>
  <si>
    <t>A) 10 minutes, B) 20 minutes, C) 30 minutes, D) 45 minutes</t>
  </si>
  <si>
    <t>A Lathi Khela match is typically played for up to 30 minutes.</t>
  </si>
  <si>
    <t>What happens if a player steps out of the designated playing area?</t>
  </si>
  <si>
    <t>A) They lose points, B) They are disqualified, C) They are penalized, D) They are allowed to re-enter</t>
  </si>
  <si>
    <t>C) They are penalized</t>
  </si>
  <si>
    <t>Stepping outside the designated area results in a penalty for the player.</t>
  </si>
  <si>
    <t>What is a common celebration after a Lathi Khela victory?</t>
  </si>
  <si>
    <t>A) Dancing, B) Singing, C) Fireworks, D) A feast</t>
  </si>
  <si>
    <t>A) Dancing</t>
  </si>
  <si>
    <t>Teams typically celebrate a victory with traditional dancing.</t>
  </si>
  <si>
    <t>Can a team substitute players during a match?</t>
  </si>
  <si>
    <t>A) Yes, B) No, C) Only at halftime, D) Only when injured</t>
  </si>
  <si>
    <t>Teams can substitute players during a match, depending on the rules.</t>
  </si>
  <si>
    <t>Which skill is most important for a successful Lathi Khela player?</t>
  </si>
  <si>
    <t>A) Agility, B) Strength, C) Speed, D) All of the above</t>
  </si>
  <si>
    <t>A successful Lathi Khela player requires agility, strength, and speed.</t>
  </si>
  <si>
    <t>How do the players in Lathi Khela communicate during the game?</t>
  </si>
  <si>
    <t>A) Hand signals, B) Whistles, C) Shouts, D) Written notes</t>
  </si>
  <si>
    <t>C) Shouts</t>
  </si>
  <si>
    <t>Players communicate with each other during the match through shouts and verbal signals.</t>
  </si>
  <si>
    <t>Which body part can be used to strike the opponent in Lathi Khela?</t>
  </si>
  <si>
    <t>A) Legs, B) Arms, C) Lathi, D) Head</t>
  </si>
  <si>
    <t>C) Lathi</t>
  </si>
  <si>
    <t>The Lathi is the only allowed weapon for striking an opponent.</t>
  </si>
  <si>
    <t>What is the role of the referee in Lathi Khela?</t>
  </si>
  <si>
    <t>A) To score points, B) To supervise the match and ensure fair play, C) To coach players, D) To announce the winner</t>
  </si>
  <si>
    <t>B) To supervise the match and ensure fair play</t>
  </si>
  <si>
    <t>The referee oversees the match, ensuring that the game is played fairly.</t>
  </si>
  <si>
    <t>What happens if a player falls to the ground during Lathi Khela?</t>
  </si>
  <si>
    <t>A) They are knocked out, B) They are penalized, C) They must stand back up, D) They continue playing</t>
  </si>
  <si>
    <t>A) They are knocked out</t>
  </si>
  <si>
    <t>If a player falls to the ground, they are considered knocked out of the game.</t>
  </si>
  <si>
    <t>Can a Lathi Khela match end before the full time?</t>
  </si>
  <si>
    <t>A) Yes, if one team is knocked out, B) No, C) Yes, if there is a draw, D) Yes, if both teams agree</t>
  </si>
  <si>
    <t>A) Yes, if one team is knocked out</t>
  </si>
  <si>
    <t>The match can end early if one team has all of its players knocked out.</t>
  </si>
  <si>
    <t>Which of the following is a legal move in Lathi Khela?</t>
  </si>
  <si>
    <t>A) Low strike, B) High strike, C) Swinging the Lathi around, D) Overhead strike</t>
  </si>
  <si>
    <t>A) Low strike</t>
  </si>
  <si>
    <t>A low strike is a legal move, while other moves are restricted.</t>
  </si>
  <si>
    <t>What is the primary defense used by players in Lathi Khela?</t>
  </si>
  <si>
    <t>A) Shield, B) Lathi blocking, C) Dodging, D) Grabbing the opponent</t>
  </si>
  <si>
    <t>B) Lathi blocking</t>
  </si>
  <si>
    <t>Players typically defend themselves by blocking strikes with their Lathi.</t>
  </si>
  <si>
    <t>What is the importance of speed in Lathi Khela?</t>
  </si>
  <si>
    <t>A) Helps in striking first, B) Helps in evading strikes, C) Increases endurance, D) Both A and B</t>
  </si>
  <si>
    <t>D) Both A and B</t>
  </si>
  <si>
    <t>Speed is essential for both attacking and evading strikes.</t>
  </si>
  <si>
    <t>How does a team win a Lathi Khela match?</t>
  </si>
  <si>
    <t>A) By scoring the most points, B) By having the most knockouts, C) By knocking out all opponents, D) By having more players left standing</t>
  </si>
  <si>
    <t>C) By knocking out all opponents</t>
  </si>
  <si>
    <t>The match is won when one team knocks out all the players of the opposing team.</t>
  </si>
  <si>
    <t>Are there any penalties for unsportsmanlike conduct in Lathi Khela?</t>
  </si>
  <si>
    <t>A) Yes, B) No, C) Only for major violations, D) Only for foul language</t>
  </si>
  <si>
    <t>Unsportsmanlike conduct, including fouls or cheating, is penalized.</t>
  </si>
  <si>
    <t>How are points scored in Lathi Khela?</t>
  </si>
  <si>
    <t>A) By hitting the opponent, B) By staying in the game, C) By blocking successfully, D) By breaking the Lathi</t>
  </si>
  <si>
    <t>A) By hitting the opponent</t>
  </si>
  <si>
    <t>Points are scored by successfully hitting the opponent with the Lathi.</t>
  </si>
  <si>
    <t>What is a common injury in Lathi Khela?</t>
  </si>
  <si>
    <t>A) Bruises, B) Sprained wrists, C) Head injuries, D) Broken bones</t>
  </si>
  <si>
    <t>A) Bruises</t>
  </si>
  <si>
    <t>The most common injury is bruising, due to the physical nature of the sport.</t>
  </si>
  <si>
    <t>What is the standard playing surface for Lathi Khela?</t>
  </si>
  <si>
    <t>A) Mud ground, B) Wooden floor, C) Concrete court, D) Carpet</t>
  </si>
  <si>
    <t>A) Mud ground</t>
  </si>
  <si>
    <t>Traditionally, Lathi Khela is played on mud or open grounds for safety and mobility.</t>
  </si>
  <si>
    <t>Can players strike an opponent from behind in Lathi Khela?</t>
  </si>
  <si>
    <t>Striking from behind is considered unfair and is not allowed.</t>
  </si>
  <si>
    <t>How is the starting signal of a Lathi Khela match given?</t>
  </si>
  <si>
    <t>A) Drum beat, B) Referee’s whistle, C) Hand clap, D) Flag wave</t>
  </si>
  <si>
    <t>B) Referee’s whistle</t>
  </si>
  <si>
    <t>The referee typically uses a whistle to begin the match.</t>
  </si>
  <si>
    <t>What is the penalty for using a broken lathi during play?</t>
  </si>
  <si>
    <t>A) Disqualification, B) Warning, C) Substitution, D) Free hit to opponent</t>
  </si>
  <si>
    <t>A broken lathi is unsafe, and the player using it may be disqualified.</t>
  </si>
  <si>
    <t>Can players use two sticks simultaneously in Lathi Khela?</t>
  </si>
  <si>
    <t>Only one lathi is allowed per player during the game.</t>
  </si>
  <si>
    <t>What should a player do if their lathi slips from their hands?</t>
  </si>
  <si>
    <t>A) Pick it up immediately, B) Continue barehanded, C) Wait for referee’s signal, D) Leave the field</t>
  </si>
  <si>
    <t>A) Pick it up immediately</t>
  </si>
  <si>
    <t>Players must retrieve their lathi quickly to continue play.</t>
  </si>
  <si>
    <t>Which team starts the match in Lathi Khela?</t>
  </si>
  <si>
    <t>A) Decided by toss, B) Always the host team, C) Referee decides, D) Random selection</t>
  </si>
  <si>
    <t>A) Decided by toss</t>
  </si>
  <si>
    <t>The starting team is usually chosen through a coin toss.</t>
  </si>
  <si>
    <t>What is forbidden during defense in Lathi Khela?</t>
  </si>
  <si>
    <t>A) Blocking with lathi, B) Dodging, C) Using body push, D) Counter-strike</t>
  </si>
  <si>
    <t>C) Using body push</t>
  </si>
  <si>
    <t>Physical pushing with the body is not permitted.</t>
  </si>
  <si>
    <t>If a player deliberately injures an opponent, what happens?</t>
  </si>
  <si>
    <t>A) Warning, B) Substitution, C) Disqualification, D) Replay</t>
  </si>
  <si>
    <t>Intentional injury leads to immediate disqualification.</t>
  </si>
  <si>
    <t>Is grappling allowed in Lathi Khela?</t>
  </si>
  <si>
    <t>Grappling or wrestling moves are strictly forbidden.</t>
  </si>
  <si>
    <t>What happens if the lathi breaks during a strike?</t>
  </si>
  <si>
    <t>A) Game stops, B) Player disqualified, C) Opponent wins, D) Replay the round</t>
  </si>
  <si>
    <t>A) Game stops</t>
  </si>
  <si>
    <t>The referee halts the game to replace the broken lathi.</t>
  </si>
  <si>
    <t>Can players wear gloves in Lathi Khela?</t>
  </si>
  <si>
    <t>Traditional rules do not allow gloves; barehand grip is used.</t>
  </si>
  <si>
    <t>What is the referee’s role when players dispute a strike?</t>
  </si>
  <si>
    <t>A) Replay the move, B) Decide the outcome, C) Call off the match, D) Ignore</t>
  </si>
  <si>
    <t>B) Decide the outcome</t>
  </si>
  <si>
    <t>The referee has the final say in strike disputes.</t>
  </si>
  <si>
    <t>How are fouls recorded in Lathi Khela?</t>
  </si>
  <si>
    <t>A) By referee’s notes, B) By scoreboard, C) By spectators, D) Not recorded</t>
  </si>
  <si>
    <t>A) By referee’s notes</t>
  </si>
  <si>
    <t>Fouls are tracked officially by the referee.</t>
  </si>
  <si>
    <t>Can Lathi Khela be played indoors?</t>
  </si>
  <si>
    <t>The sport requires open outdoor grounds for safety.</t>
  </si>
  <si>
    <t>What happens if both players strike simultaneously?</t>
  </si>
  <si>
    <t>A) Both knocked out, B) Referee decides, C) Replay strike, D) Match ends</t>
  </si>
  <si>
    <t>The referee determines the valid strike in simultaneous hits.</t>
  </si>
  <si>
    <t>Which strike is illegal in Lathi Khela?</t>
  </si>
  <si>
    <t>A) Head strike, B) Side strike, C) Back strike, D) Chest strike</t>
  </si>
  <si>
    <t>C) Back strike</t>
  </si>
  <si>
    <t>Striking an opponent’s back is against the rules.</t>
  </si>
  <si>
    <t>Is tripping an opponent allowed?</t>
  </si>
  <si>
    <t>Tripping opponents is not permitted in Lathi Khela.</t>
  </si>
  <si>
    <t>What happens if a player refuses to fight?</t>
  </si>
  <si>
    <t>A) They are penalized, B) They are substituted, C) Team loses points, D) Match ends</t>
  </si>
  <si>
    <t>Refusal to engage results in a penalty.</t>
  </si>
  <si>
    <t>How many referees usually supervise a Lathi Khela match?</t>
  </si>
  <si>
    <t>Typically, a single referee oversees the match.</t>
  </si>
  <si>
    <t>What should players do when the referee blows the whistle?</t>
  </si>
  <si>
    <t>A) Stop immediately, B) Strike harder, C) Run out, D) Defend</t>
  </si>
  <si>
    <t>A) Stop immediately</t>
  </si>
  <si>
    <t>Players must stop fighting when the referee signals.</t>
  </si>
  <si>
    <t>Can spectators interfere in a Lathi Khela match?</t>
  </si>
  <si>
    <t>Spectators are not allowed to interfere during matches.</t>
  </si>
  <si>
    <t>What is the punishment for verbally abusing opponents?</t>
  </si>
  <si>
    <t>A) Warning, B) Disqualification, C) Point deduction, D) Replay</t>
  </si>
  <si>
    <t>B) Disqualification</t>
  </si>
  <si>
    <t>Verbal abuse leads to immediate disqualification.</t>
  </si>
  <si>
    <t>Can a player re-enter the game after being knocked out?</t>
  </si>
  <si>
    <t>Knocked-out players are permanently out of the game.</t>
  </si>
  <si>
    <t>What is the maximum number of substitutions allowed?</t>
  </si>
  <si>
    <t>Teams are usually allowed up to 3 substitutions.</t>
  </si>
  <si>
    <t>What should a player do if injured during play?</t>
  </si>
  <si>
    <t>A) Continue playing, B) Call for referee, C) Sit down, D) Leave silently</t>
  </si>
  <si>
    <t>B) Call for referee</t>
  </si>
  <si>
    <t>Players must notify the referee if injured.</t>
  </si>
  <si>
    <t>Can players block with their legs in Lathi Khela?</t>
  </si>
  <si>
    <t>Blocking must only be done with the lathi, not legs.</t>
  </si>
  <si>
    <t>What is the referee’s signal for a foul?</t>
  </si>
  <si>
    <t>A) Hand raised, B) Two whistles, C) Red flag, D) Shout</t>
  </si>
  <si>
    <t>B) Two whistles</t>
  </si>
  <si>
    <t>Fouls are indicated by two short whistle blows.</t>
  </si>
  <si>
    <t>Can women participate in Lathi Khela?</t>
  </si>
  <si>
    <t>Both men and women can participate, though traditionally it was male-dominated.</t>
  </si>
  <si>
    <t>How many lathis are permitted per team?</t>
  </si>
  <si>
    <t>A) Equal to team members, B) Unlimited, C) Half the players, D) Fixed at 5</t>
  </si>
  <si>
    <t>A) Equal to team members</t>
  </si>
  <si>
    <t>Each player has exactly one lathi.</t>
  </si>
  <si>
    <t>What happens if a team uses unauthorized equipment?</t>
  </si>
  <si>
    <t>A) Warning, B) Disqualification, C) Replay, D) Substitute</t>
  </si>
  <si>
    <t>Unauthorized weapons or gear lead to disqualification.</t>
  </si>
  <si>
    <t>Can a match end without a winner?</t>
  </si>
  <si>
    <t>Matches can end in a draw if both teams have equal results.</t>
  </si>
  <si>
    <t>Which action is considered unsportsmanlike?</t>
  </si>
  <si>
    <t>A) Helping teammate, B) Encouraging crowd, C) Delaying strikes, D) Excessive taunting</t>
  </si>
  <si>
    <t>D) Excessive taunting</t>
  </si>
  <si>
    <t>Taunting opponents is unsportsmanlike and penalized.</t>
  </si>
  <si>
    <t>Can players switch lathis mid-match?</t>
  </si>
  <si>
    <t>Switching lathis during a match is not allowed.</t>
  </si>
  <si>
    <t>What is the official rest time between rounds?</t>
  </si>
  <si>
    <t>A) 1 min, B) 2 min, C) 3 min, D) 5 min</t>
  </si>
  <si>
    <t>Players usually get 2 minutes rest between rounds.</t>
  </si>
  <si>
    <t>Are tie-breaker rounds allowed in tournaments?</t>
  </si>
  <si>
    <t>In competitive tournaments, tie-breakers may be used.</t>
  </si>
  <si>
    <t>Which strike is most restricted by rules?</t>
  </si>
  <si>
    <t>A) Neck strike, B) Shoulder strike, C) Knee strike, D) Arm strike</t>
  </si>
  <si>
    <t>A) Neck strike</t>
  </si>
  <si>
    <t>Striking the neck is considered highly dangerous and restricted.</t>
  </si>
  <si>
    <t>Can teams request a timeout?</t>
  </si>
  <si>
    <t>Teams are allowed to request a timeout for injuries or disputes.</t>
  </si>
  <si>
    <t>What is the referee’s decision considered?</t>
  </si>
  <si>
    <t>A) Final, B) Negotiable, C) Overruled by captain, D) Decided by crowd</t>
  </si>
  <si>
    <t>A) Final</t>
  </si>
  <si>
    <t>The referee’s judgment is final and binding.</t>
  </si>
  <si>
    <t>Can players use feints in Lathi Khela?</t>
  </si>
  <si>
    <t>Feinting is allowed as a strategy to confuse opponents.</t>
  </si>
  <si>
    <t>What happens if both teams violate rules repeatedly?</t>
  </si>
  <si>
    <t>A) Match cancelled, B) Replay, C) Both disqualified, D) Warning</t>
  </si>
  <si>
    <t>C) Both disqualified</t>
  </si>
  <si>
    <t>Repeated violations can disqualify both teams.</t>
  </si>
  <si>
    <t>What happens if a lathi touches the ground intentionally?</t>
  </si>
  <si>
    <t>A) No penalty, B) Warning, C) Player disqualified, D) Free strike to opponent</t>
  </si>
  <si>
    <t>Intentionally grounding the lathi is discouraged and penalized with a warning.</t>
  </si>
  <si>
    <t>What is the referee’s tool for managing the game?</t>
  </si>
  <si>
    <t>A) Stick, B) Whistle, C) Drum, D) Rope</t>
  </si>
  <si>
    <t>The referee controls the match using a whistle.</t>
  </si>
  <si>
    <t>Can a captain argue with the referee?</t>
  </si>
  <si>
    <t>Arguing with the referee is not allowed.</t>
  </si>
  <si>
    <t>Which side of the lathi is allowed for striking?</t>
  </si>
  <si>
    <t>A) Only one end, B) Both ends, C) Middle only, D) None</t>
  </si>
  <si>
    <t>B) Both ends</t>
  </si>
  <si>
    <t>Both ends of the lathi can be used for striking.</t>
  </si>
  <si>
    <t>Can injured players return after medical check?</t>
  </si>
  <si>
    <t>Once removed due to injury, players cannot re-enter.</t>
  </si>
  <si>
    <t>What is the maximum height allowed for a legal strike?</t>
  </si>
  <si>
    <t>A) Waist, B) Chest, C) Shoulder, D) Head</t>
  </si>
  <si>
    <t>D) Head</t>
  </si>
  <si>
    <t>Strikes up to head level are allowed, beyond that is unsafe.</t>
  </si>
  <si>
    <t>What happens if a player drops their lathi three times?</t>
  </si>
  <si>
    <t>A) Warning, B) Disqualified, C) Substitution, D) Extra strike to opponent</t>
  </si>
  <si>
    <t>B) Disqualified</t>
  </si>
  <si>
    <t>Dropping the lathi repeatedly leads to disqualification.</t>
  </si>
  <si>
    <t>Can defensive dodging without blocking be used?</t>
  </si>
  <si>
    <t>Dodging is a legal defensive technique.</t>
  </si>
  <si>
    <t>How are knockouts verified?</t>
  </si>
  <si>
    <t>A) Player’s admission, B) Referee decision, C) Team captain, D) Audience vote</t>
  </si>
  <si>
    <t>B) Referee decision</t>
  </si>
  <si>
    <t>The referee confirms knockouts officially.</t>
  </si>
  <si>
    <t>Can players wear shoes?</t>
  </si>
  <si>
    <t>Traditional rules require barefoot play for grip.</t>
  </si>
  <si>
    <t>What happens if a team refuses to continue?</t>
  </si>
  <si>
    <t>A) Match cancelled, B) Team penalized, C) Opponent wins, D) Replay</t>
  </si>
  <si>
    <t>C) Opponent wins</t>
  </si>
  <si>
    <t>Forfeiting the match gives the win to the opponent.</t>
  </si>
  <si>
    <t>Can players spin the lathi before striking?</t>
  </si>
  <si>
    <t>Spinning is allowed as long as it doesn’t delay the match.</t>
  </si>
  <si>
    <t>What is the referee’s call when both captains protest?</t>
  </si>
  <si>
    <t>A) Replay, B) Toss, C) Referee decision, D) Match ends</t>
  </si>
  <si>
    <t>C) Referee decision</t>
  </si>
  <si>
    <t>The referee’s decision prevails even if both captains protest.</t>
  </si>
  <si>
    <t>Can players swap positions mid-match?</t>
  </si>
  <si>
    <t>Players may change positions during play for strategy.</t>
  </si>
  <si>
    <t>What happens if a spectator enters the field?</t>
  </si>
  <si>
    <t>A) Match paused, B) Player disqualified, C) Ignore, D) Opponent wins</t>
  </si>
  <si>
    <t>A) Match paused</t>
  </si>
  <si>
    <t>The referee halts the game until the field is clear.</t>
  </si>
  <si>
    <t>What is the penalty for repeated minor fouls?</t>
  </si>
  <si>
    <t>A) Warning, B) Point deduction, C) Disqualification, D) Timeout</t>
  </si>
  <si>
    <t>Continuous fouls eventually lead to disqualification.</t>
  </si>
  <si>
    <t>Can a lathi be decorated for matches?</t>
  </si>
  <si>
    <t>Decorative or altered sticks are not allowed.</t>
  </si>
  <si>
    <t>Are warm-ups compulsory before matches?</t>
  </si>
  <si>
    <t>Players must perform warm-ups for safety.</t>
  </si>
  <si>
    <t>Can a match be restarted after injury stoppage?</t>
  </si>
  <si>
    <t>Matches resume after injury stoppages under referee control.</t>
  </si>
  <si>
    <t>Which part of the lathi is safest for blocking?</t>
  </si>
  <si>
    <t>A) Ends, B) Middle, C) Upper part, D) None</t>
  </si>
  <si>
    <t>B) Middle</t>
  </si>
  <si>
    <t>The middle section of the lathi is most stable for blocking.</t>
  </si>
  <si>
    <t>Can two players strike one opponent at the same time?</t>
  </si>
  <si>
    <t>Team strikes are allowed if coordinated legally.</t>
  </si>
  <si>
    <t>What happens if a player fakes injury?</t>
  </si>
  <si>
    <t>A) Warning, B) Disqualification, C) Replay, D) Ignore</t>
  </si>
  <si>
    <t>Faking injury is considered cheating and punished.</t>
  </si>
  <si>
    <t>Can a knocked-out player protest the decision?</t>
  </si>
  <si>
    <t>Knockout decisions are final and cannot be protested.</t>
  </si>
  <si>
    <t>What must captains do before the match begins?</t>
  </si>
  <si>
    <t>A) Shake hands, B) Toss coin, C) Salute referee, D) All of the above</t>
  </si>
  <si>
    <t>Captains perform all pre-match formalities before play.</t>
  </si>
  <si>
    <t>What type of boats are commonly used in Nouka Baich races?</t>
  </si>
  <si>
    <t>A) Speedboats, B) Dinghies, C) Long narrow boats, D) Kayaks</t>
  </si>
  <si>
    <t>C) Long narrow boats</t>
  </si>
  <si>
    <t>Nouka Baich uses traditional long, narrow boats that can hold multiple rowers for competitive racing.</t>
  </si>
  <si>
    <t>What is the primary role of the lead rower in Nouka Baich?</t>
  </si>
  <si>
    <t>A) Pacing, B) Steering, C) Drumming, D) Shouting commands</t>
  </si>
  <si>
    <t>D) Shouting commands</t>
  </si>
  <si>
    <t>The lead rower coordinates the rhythm and speed by shouting commands to synchronize the team.</t>
  </si>
  <si>
    <t>What is the main rule regarding the number of rowers in Nouka Baich?</t>
  </si>
  <si>
    <t>A) Unlimited, B) Fixed per team, C) Varies by boat size, D) Decided by referees</t>
  </si>
  <si>
    <t>C) Varies by boat size</t>
  </si>
  <si>
    <t>The number of rowers typically depends on the size of the boat and the competition rules.</t>
  </si>
  <si>
    <t>Which item is often used by rowers to keep pace in Nouka Baich?</t>
  </si>
  <si>
    <t>A) Whistle, B) Drum, C) Bell, D) Flute</t>
  </si>
  <si>
    <t>B) Drum</t>
  </si>
  <si>
    <t>Drums are frequently used to maintain rhythm and pace for rowers in Nouka Baich races.</t>
  </si>
  <si>
    <t>Nouka Baich races are primarily held on which type of water body?</t>
  </si>
  <si>
    <t>A) Ocean, B) River, C) Pond, D) Canal</t>
  </si>
  <si>
    <t>B) River</t>
  </si>
  <si>
    <t>Nouka Baich races are traditionally held on rivers, utilizing Bangladesh's extensive river networks.</t>
  </si>
  <si>
    <t>In Nouka Baich, who is responsible for steering the boat?</t>
  </si>
  <si>
    <t>A) All rowers, B) Lead rower, C) Rear rower, D) A separate steerer</t>
  </si>
  <si>
    <t>C) Rear rower</t>
  </si>
  <si>
    <t>The rower at the rear of the boat usually manages the steering in Nouka Baich races.</t>
  </si>
  <si>
    <t>What action results in disqualification during a Nouka Baich race?</t>
  </si>
  <si>
    <t>A) Falling behind, B) Colliding with another boat, C) Shouting, D) Fast paddling</t>
  </si>
  <si>
    <t>B) Colliding with another boat</t>
  </si>
  <si>
    <t>Intentional collisions with other boats are grounds for disqualification in Nouka Baich.</t>
  </si>
  <si>
    <t>What is a common strategy used by rowers to increase speed in Nouka Baich?</t>
  </si>
  <si>
    <t>A) Paddling randomly, B) Alternating strokes, C) Leaning backward, D) Using oars</t>
  </si>
  <si>
    <t>B) Alternating strokes</t>
  </si>
  <si>
    <t>Rowers alternate strokes to maintain balance and maximize speed in Nouka Baich.</t>
  </si>
  <si>
    <t>Which traditional event does Nouka Baich often celebrate?</t>
  </si>
  <si>
    <t>A) Eid, B) New Year, C) Harvest festival, D) Victory Day</t>
  </si>
  <si>
    <t>C) Harvest festival</t>
  </si>
  <si>
    <t>Nouka Baich races are commonly organized during the harvest festival as part of cultural celebrations.</t>
  </si>
  <si>
    <t>How does the Nouka Baich race typically end?</t>
  </si>
  <si>
    <t>A) When time runs out, B) When all boats finish, C) When the first boat finishes, D) When the referee signals</t>
  </si>
  <si>
    <t>C) When the first boat finishes</t>
  </si>
  <si>
    <t>The race concludes once the first boat crosses the designated finish line.</t>
  </si>
  <si>
    <t>What is usually awarded to the winners of a Nouka Baich race?</t>
  </si>
  <si>
    <t>A) Medals, B) Cash prizes, C) Trophies, D) All of the above</t>
  </si>
  <si>
    <t>Winners often receive medals, trophies, or cash prizes to honor their achievement.</t>
  </si>
  <si>
    <t>Which factor can lead to a penalty in Nouka Baich?</t>
  </si>
  <si>
    <t>A) Overcrowding the boat, B) Missing a beat, C) Wearing uniform, D) Cheering loudly</t>
  </si>
  <si>
    <t>A) Overcrowding the boat</t>
  </si>
  <si>
    <t>Overcrowding beyond the boat's capacity can lead to penalties or disqualification.</t>
  </si>
  <si>
    <t>Which of the following is NOT a rule in Nouka Baich?</t>
  </si>
  <si>
    <t>A) No hitting other boats, B) No shouting, C) No overcrowding, D) No intentional collision</t>
  </si>
  <si>
    <t>B) No shouting</t>
  </si>
  <si>
    <t>Shouting for coordination is allowed, as long as it does not interfere with others.</t>
  </si>
  <si>
    <t>How do rowers in Nouka Baich maintain synchronization?</t>
  </si>
  <si>
    <t>A) Whistling, B) Using drums, C) Random rhythm, D) Holding hands</t>
  </si>
  <si>
    <t>B) Using drums</t>
  </si>
  <si>
    <t>Drums help rowers maintain a synchronized rhythm for efficient paddling.</t>
  </si>
  <si>
    <t>Who is usually responsible for maintaining the pace in a Nouka Baich boat?</t>
  </si>
  <si>
    <t>A) Rear rower, B) Captain, C) Middle rowers, D) Lead rower</t>
  </si>
  <si>
    <t>D) Lead rower</t>
  </si>
  <si>
    <t>The lead rower dictates the pace for other rowers to follow.</t>
  </si>
  <si>
    <t>What is the main purpose of Nouka Baich competitions?</t>
  </si>
  <si>
    <t>A) Transportation, B) Cultural celebration, C) Physical training, D) River mapping</t>
  </si>
  <si>
    <t>B) Cultural celebration</t>
  </si>
  <si>
    <t>Nouka Baich is a cultural celebration, highlighting traditional sports in Bangladesh.</t>
  </si>
  <si>
    <t>In Nouka Baich, rowers are usually prohibited from doing what?</t>
  </si>
  <si>
    <t>A) Cheering, B) Drumming, C) Disrupting other boats, D) Wearing uniforms</t>
  </si>
  <si>
    <t>C) Disrupting other boats</t>
  </si>
  <si>
    <t>Interfering with other boats is not allowed to ensure fair competition.</t>
  </si>
  <si>
    <t>How is the winner of a Nouka Baich race determined?</t>
  </si>
  <si>
    <t>A) By lap count, B) By crossing the finish line first, C) By speed record, D) By cheer volume</t>
  </si>
  <si>
    <t>B) By crossing the finish line first</t>
  </si>
  <si>
    <t>The first boat to cross the finish line is declared the winner.</t>
  </si>
  <si>
    <t>What happens if a boat capsizes during Nouka Baich?</t>
  </si>
  <si>
    <t>A) Disqualification, B) Penalty, C) Allowed to restart, D) Auto-win for others</t>
  </si>
  <si>
    <t>A capsized boat is typically disqualified as it cannot continue the race.</t>
  </si>
  <si>
    <t>What is the role of spectators in Nouka Baich?</t>
  </si>
  <si>
    <t>A) Cheer silently, B) Row the boats, C) Offer encouragement, D) Judge the race</t>
  </si>
  <si>
    <t>C) Offer encouragement</t>
  </si>
  <si>
    <t>Spectators enthusiastically cheer and encourage teams throughout the race.</t>
  </si>
  <si>
    <t>In a Nouka Baich race, what do rowers do if a paddle breaks?</t>
  </si>
  <si>
    <t>A) Disqualified, B) Continue with one less paddle, C) Stop the race, D) Get a replacement</t>
  </si>
  <si>
    <t>B) Continue with one less paddle</t>
  </si>
  <si>
    <t>If a paddle breaks, rowers continue the race unless the boat becomes unmanageable.</t>
  </si>
  <si>
    <t>What is generally the minimum number of rowers in a Nouka Baich boat?</t>
  </si>
  <si>
    <t>A) 2, B) 4, C) 5, D) 10</t>
  </si>
  <si>
    <t>B) 4</t>
  </si>
  <si>
    <t>Most boats have at least four rowers to ensure adequate speed and coordination.</t>
  </si>
  <si>
    <t>Nouka Baich boats are traditionally made of which material?</t>
  </si>
  <si>
    <t>A) Metal, B) Bamboo, C) Wood, D) Plastic</t>
  </si>
  <si>
    <t>C) Wood</t>
  </si>
  <si>
    <t>Wood is the traditional material used for making Nouka Baich boats.</t>
  </si>
  <si>
    <t>Rowers in Nouka Baich primarily rely on which skill?</t>
  </si>
  <si>
    <t>A) Individual speed, B) Synchronization, C) Arm strength only, D) Footwork</t>
  </si>
  <si>
    <t>B) Synchronization</t>
  </si>
  <si>
    <t>Synchronization is key in Nouka Baich, allowing rowers to paddle efficiently.</t>
  </si>
  <si>
    <t>How is lane interference penalized in Nouka Baich?</t>
  </si>
  <si>
    <t>A) Warning, B) Immediate disqualification, C) Time penalty, D) Restart</t>
  </si>
  <si>
    <t>C) Time penalty</t>
  </si>
  <si>
    <t>Interfering with another lane may result in a time penalty for the offending boat.</t>
  </si>
  <si>
    <t>How do rowers start in Nouka Baich?</t>
  </si>
  <si>
    <t>A) By referee signal, B) By whistle, C) By drum beat, D) By paddle tap</t>
  </si>
  <si>
    <t>A) By referee signal</t>
  </si>
  <si>
    <t>The race begins when the referee gives the official starting signal.</t>
  </si>
  <si>
    <t>What happens if two boats cross the finish line simultaneously in Nouka Baich?</t>
  </si>
  <si>
    <t>A) Referee decision, B) Joint winners, C) Time review, D) Replay</t>
  </si>
  <si>
    <t>C) Time review</t>
  </si>
  <si>
    <t>If two boats finish at the same time, a time review helps determine the winner.</t>
  </si>
  <si>
    <t>What skill besides rowing is essential for Nouka Baich rowers?</t>
  </si>
  <si>
    <t>A) Steering, B) Swimming, C) Running, D) Weightlifting</t>
  </si>
  <si>
    <t>B) Swimming</t>
  </si>
  <si>
    <t>Swimming skills are important for safety in case of accidents on the river.</t>
  </si>
  <si>
    <t>What is the typical length of a Nouka Baich racecourse?</t>
  </si>
  <si>
    <t>A) 200 meters, B) 500 meters, C) 1000 meters, D) 1500 meters</t>
  </si>
  <si>
    <t>C) 1000 meters</t>
  </si>
  <si>
    <t>Nouka Baich races are often held over a distance of approximately 1000 meters.</t>
  </si>
  <si>
    <t>Which side of the boat should rowers sit on in Nouka Baich?</t>
  </si>
  <si>
    <t>A) Alternating sides, B) Left side only, C) Right side only, D) Rear only</t>
  </si>
  <si>
    <t>A) Alternating sides</t>
  </si>
  <si>
    <t>Rowers sit on alternating sides to balance the boat and maintain stability.</t>
  </si>
  <si>
    <t>Who signals the start of a Nouka Baich race?</t>
  </si>
  <si>
    <t>A) The captain, B) The lead rower, C) The referee, D) The drum player</t>
  </si>
  <si>
    <t>C) The referee</t>
  </si>
  <si>
    <t>A referee signals the official start of the race for all boats to begin paddling.</t>
  </si>
  <si>
    <t>What happens if a Nouka Baich boat crosses into another's lane?</t>
  </si>
  <si>
    <t>A) The boat is penalized, B) The race restarts, C) Boats switch lanes, D) No penalty</t>
  </si>
  <si>
    <t>A) The boat is penalized</t>
  </si>
  <si>
    <t>Crossing lanes can lead to a penalty as it may interfere with other competitors.</t>
  </si>
  <si>
    <t>Which feature of the boat is most crucial for winning in Nouka Baich?</t>
  </si>
  <si>
    <t>A) Boat color, B) Speed, C) Stability, D) Width</t>
  </si>
  <si>
    <t>Speed is the primary focus, as the first boat to finish wins the race.</t>
  </si>
  <si>
    <t>What is the ideal water condition for Nouka Baich races?</t>
  </si>
  <si>
    <t>A) High waves, B) Calm water, C) Turbulent water, D) Flowing stream</t>
  </si>
  <si>
    <t>B) Calm water</t>
  </si>
  <si>
    <t>Calm water is preferred as it allows for smoother rowing and fairer competition.</t>
  </si>
  <si>
    <t>In Nouka Baich, what's the penalty for using an extra rower?</t>
  </si>
  <si>
    <t>A) No penalty, B) 10-second penalty, C) Disqualification, D) Boat restart</t>
  </si>
  <si>
    <t>Using more rowers than allowed results in disqualification to ensure fairness.</t>
  </si>
  <si>
    <t>What determines the number of rowers in a Nouka Baich boat?</t>
  </si>
  <si>
    <t>A) Boat length, B) Water depth, C) Event rules, D) Team choice</t>
  </si>
  <si>
    <t>A) Boat length</t>
  </si>
  <si>
    <t>The number of rowers depends on the boat's length, which varies across events.</t>
  </si>
  <si>
    <t>How is the winner determined in Nouka Baich?</t>
  </si>
  <si>
    <t>A) Fastest rower, B) Loudest team, C) First to finish, D) Longest paddle</t>
  </si>
  <si>
    <t>C) First to finish</t>
  </si>
  <si>
    <t>The boat that crosses the finish line first is declared the winner.</t>
  </si>
  <si>
    <t>What should rowers avoid doing to prevent disqualification?</t>
  </si>
  <si>
    <t>A) Shouting, B) Rocking the boat, C) Rowing slowly, D) Encouraging team</t>
  </si>
  <si>
    <t>B) Rocking the boat</t>
  </si>
  <si>
    <t>Rocking the boat disrupts stability and may lead to disqualification if intentional.</t>
  </si>
  <si>
    <t>Nouka Baich is traditionally held during which season in Bangladesh?</t>
  </si>
  <si>
    <t>A) Winter, B) Summer, C) Monsoon, D) Autumn</t>
  </si>
  <si>
    <t>C) Monsoon</t>
  </si>
  <si>
    <t>Nouka Baich is usually held during the monsoon season when rivers are full.</t>
  </si>
  <si>
    <t>What is the role of the drummer in Nouka Baich?</t>
  </si>
  <si>
    <t>A) Directs the boat, B) Keeps rhythm, C) Commands rowers, D) Starts the race</t>
  </si>
  <si>
    <t>B) Keeps rhythm</t>
  </si>
  <si>
    <t>The drummer maintains a rhythmic beat to help synchronize the rowers' strokes.</t>
  </si>
  <si>
    <t>In Nouka Baich, rowers should primarily focus on which aspect?</t>
  </si>
  <si>
    <t>A) Individual speed, B) Coordination, C) Boat color, D) Rowing backward</t>
  </si>
  <si>
    <t>B) Coordination</t>
  </si>
  <si>
    <t>Rowers must be well-coordinated to maintain rhythm and ensure maximum speed.</t>
  </si>
  <si>
    <t>Which factor does NOT affect Nouka Baich performance?</t>
  </si>
  <si>
    <t>A) Boat weight, B) River current, C) Rowers' height, D) Teamwork</t>
  </si>
  <si>
    <t>C) Rowers' height</t>
  </si>
  <si>
    <t>While teamwork and water conditions are crucial, rowers' height has no effect.</t>
  </si>
  <si>
    <t>How often should rowers paddle to maintain speed in Nouka Baich?</t>
  </si>
  <si>
    <t>A) Continuously, B) Every few seconds, C) At random, D) Only at turns</t>
  </si>
  <si>
    <t>A) Continuously</t>
  </si>
  <si>
    <t>Rowers must paddle continuously to maintain momentum and speed in the race.</t>
  </si>
  <si>
    <t>What role does the coxswain play in Nouka Baich?</t>
  </si>
  <si>
    <t>A) Keeps rhythm, B) Controls direction, C) Sets team pace, D) Rowing with team</t>
  </si>
  <si>
    <t>B) Controls direction</t>
  </si>
  <si>
    <t>The coxswain is responsible for steering and guiding the boat's direction.</t>
  </si>
  <si>
    <t>How should rowers respond if their boat is falling behind?</t>
  </si>
  <si>
    <t>A) Slow down, B) Paddle harder, C) Switch paddles, D) Change direction</t>
  </si>
  <si>
    <t>B) Paddle harder</t>
  </si>
  <si>
    <t>Increasing their paddling speed may help them catch up in the race.</t>
  </si>
  <si>
    <t>Nouka Baich races typically take place in which type of environment?</t>
  </si>
  <si>
    <t>A) Still lake, B) Indoor pool, C) Open river, D) City canals</t>
  </si>
  <si>
    <t>C) Open river</t>
  </si>
  <si>
    <t>Nouka Baich races are traditionally held on open rivers, reflecting local geography.</t>
  </si>
  <si>
    <t>What should rowers avoid doing to keep the boat balanced?</t>
  </si>
  <si>
    <t>A) Leaning in sync, B) Sitting alternately, C) Randomly switching sides, D) Maintaining rhythm</t>
  </si>
  <si>
    <t>C) Randomly switching sides</t>
  </si>
  <si>
    <t>Switching sides randomly disrupts balance and may slow the boat.</t>
  </si>
  <si>
    <t>In Nouka Baich, what happens if a boat is unable to finish?</t>
  </si>
  <si>
    <t>A) Restart allowed, B) Disqualified, C) Time penalty, D) Placed last</t>
  </si>
  <si>
    <t>Boats unable to complete the course are disqualified from the race.</t>
  </si>
  <si>
    <t>What is one key requirement for Nouka Baich teams?</t>
  </si>
  <si>
    <t>A) Uniforms, B) Unique paddles, C) Boat color, D) Equal skill level</t>
  </si>
  <si>
    <t>D) Equal skill level</t>
  </si>
  <si>
    <t>Teams often require rowers with similar skill levels for fair competition.</t>
  </si>
  <si>
    <t>In Nouka Baich, what is the benefit of narrow boats?</t>
  </si>
  <si>
    <t>A) Stability, B) Faster speed, C) Easier steering, D) Larger capacity</t>
  </si>
  <si>
    <t>B) Faster speed</t>
  </si>
  <si>
    <t>Narrow boats create less water resistance, allowing for greater speed.</t>
  </si>
  <si>
    <t>What is the penalty for disrupting another team's rhythm?</t>
  </si>
  <si>
    <t>A) Restart race, B) Disqualification, C) Warning, D) Boat replacement</t>
  </si>
  <si>
    <t>Intentional interference with another team's rhythm results in disqualification.</t>
  </si>
  <si>
    <t>How do rowers protect against blisters in Nouka Baich?</t>
  </si>
  <si>
    <t>A) Wearing gloves, B) Using padding, C) Applying oil, D) Gripping lightly</t>
  </si>
  <si>
    <t>A) Wearing gloves</t>
  </si>
  <si>
    <t>Many rowers wear gloves to prevent blisters from constant paddling.</t>
  </si>
  <si>
    <t>What's the main objective in a Nouka Baich race?</t>
  </si>
  <si>
    <t>A) Paddle calmly, B) Reach destination, C) Beat other teams, D) Avoid tipping</t>
  </si>
  <si>
    <t>C) Beat other teams</t>
  </si>
  <si>
    <t>The main goal is to beat other teams by reaching the finish line first.</t>
  </si>
  <si>
    <t>What equipment is essential for Nouka Baich rowers?</t>
  </si>
  <si>
    <t>A) Life jacket, B) Paddles, C) Anchor, D) Helmet</t>
  </si>
  <si>
    <t>B) Paddles</t>
  </si>
  <si>
    <t>Paddles are crucial as they allow rowers to propel and steer the boat.</t>
  </si>
  <si>
    <t>Rowers in Nouka Baich should avoid what during the race?</t>
  </si>
  <si>
    <t>A) Paddling fast, B) Slowing down, C) Yelling, D) Changing seats</t>
  </si>
  <si>
    <t>D) Changing seats</t>
  </si>
  <si>
    <t>Changing seats during the race can cause imbalance and reduce speed.</t>
  </si>
  <si>
    <t>What quality is most valued in Nouka Baich rowers?</t>
  </si>
  <si>
    <t>A) Individual speed, B) Height, C) Teamwork, D) Boat color</t>
  </si>
  <si>
    <t>C) Teamwork</t>
  </si>
  <si>
    <t>Teamwork is essential, as synchronized paddling enhances boat speed.</t>
  </si>
  <si>
    <t>Nouka Baich races usually feature how many competing boats?</t>
  </si>
  <si>
    <t>A) 2-5, B) 5-10, C) 10-15, D) 15-20</t>
  </si>
  <si>
    <t>B) 5-10</t>
  </si>
  <si>
    <t>Nouka Baich often has multiple boats competing to increase excitement.</t>
  </si>
  <si>
    <t>What should rowers do to ensure a straight course?</t>
  </si>
  <si>
    <t>A) Paddle evenly, B) Change lanes, C) Sit still, D) Switch sides</t>
  </si>
  <si>
    <t>A) Paddle evenly</t>
  </si>
  <si>
    <t>Rowers must paddle evenly to keep the boat moving straight toward the finish.</t>
  </si>
  <si>
    <t>What is the maximum number of rowers typically allowed in a Nouka Baich boat?</t>
  </si>
  <si>
    <t>A) 10, B) 20, C) 25, D) 30</t>
  </si>
  <si>
    <t>D) 30</t>
  </si>
  <si>
    <t>Larger boats in Nouka Baich can hold up to 30 rowers for better speed and power.</t>
  </si>
  <si>
    <t>Which role is essential for setting the paddling pace in Nouka Baich?</t>
  </si>
  <si>
    <t>A) Captain, B) Lead Rower, C) Drummer, D) Coxswain</t>
  </si>
  <si>
    <t>C) Drummer</t>
  </si>
  <si>
    <t>The drummer sets the rhythm, helping rowers synchronize their strokes.</t>
  </si>
  <si>
    <t>What must all boats do before the race begins in Nouka Baich?</t>
  </si>
  <si>
    <t>A) Line up at the start, B) Circle the river, C) Row backward, D) Anchor midstream</t>
  </si>
  <si>
    <t>A) Line up at the start</t>
  </si>
  <si>
    <t>Boats must line up properly at the starting point to ensure a fair race.</t>
  </si>
  <si>
    <t>Which official monitors rule compliance in Nouka Baich?</t>
  </si>
  <si>
    <t>A) Team captain, B) Referee, C) Drummer, D) Spectators</t>
  </si>
  <si>
    <t>The referee ensures all teams follow the rules and penalizes violations.</t>
  </si>
  <si>
    <t>What is prohibited once the Nouka Baich race has started?</t>
  </si>
  <si>
    <t>A) Stopping, B) Switching rowers, C) Changing boats, D) All of the above</t>
  </si>
  <si>
    <t>Switching rowers or boats mid-race is against the rules.</t>
  </si>
  <si>
    <t>How is false starting penalized in Nouka Baich?</t>
  </si>
  <si>
    <t>A) Warning, B) Restart, C) Disqualification, D) Extra distance</t>
  </si>
  <si>
    <t>Any boat starting before the referee’s signal faces disqualification.</t>
  </si>
  <si>
    <t>What is the primary safety rule for Nouka Baich rowers?</t>
  </si>
  <si>
    <t>A) Must swim, B) Wear bright clothes, C) Avoid collisions, D) Use helmets</t>
  </si>
  <si>
    <t>C) Avoid collisions</t>
  </si>
  <si>
    <t>Avoiding collisions is both a safety and fairness requirement.</t>
  </si>
  <si>
    <t>Which part of the boat must cross the finish line first to win?</t>
  </si>
  <si>
    <t>A) Front, B) Rear, C) Middle, D) Any part</t>
  </si>
  <si>
    <t>A) Front</t>
  </si>
  <si>
    <t>The front (bow) of the boat crossing first determines the winner.</t>
  </si>
  <si>
    <t>What should rowers avoid to prevent a false stroke?</t>
  </si>
  <si>
    <t>A) Listening to drum, B) Watching other teams, C) Following rhythm, D) Shouting</t>
  </si>
  <si>
    <t>B) Watching other teams</t>
  </si>
  <si>
    <t>Rowers must focus on their own drummer’s rhythm, not others.</t>
  </si>
  <si>
    <t>How is fairness maintained in Nouka Baich?</t>
  </si>
  <si>
    <t>A) Equal lane width, B) Boat inspections, C) Referee monitoring, D) All of the above</t>
  </si>
  <si>
    <t>Fairness is maintained with lanes, inspections, and referee oversight.</t>
  </si>
  <si>
    <t>What is done if a team refuses to follow referee instructions?</t>
  </si>
  <si>
    <t>A) Ignored, B) Penalized, C) Restarted, D) Rewarded</t>
  </si>
  <si>
    <t>B) Penalized</t>
  </si>
  <si>
    <t>Disobedience to referee instructions leads to penalties.</t>
  </si>
  <si>
    <t>What is NOT allowed during the race for rowers?</t>
  </si>
  <si>
    <t>A) Singing, B) Standing up, C) Chanting, D) Wearing colors</t>
  </si>
  <si>
    <t>B) Standing up</t>
  </si>
  <si>
    <t>Standing while rowing is dangerous and against the rules.</t>
  </si>
  <si>
    <t>What ensures fair competition in Nouka Baich?</t>
  </si>
  <si>
    <t>A) Equal boats, B) Equal rowers, C) Equal water lanes, D) Equal uniforms</t>
  </si>
  <si>
    <t>C) Equal water lanes</t>
  </si>
  <si>
    <t>Boats are assigned lanes to prevent unfair interference.</t>
  </si>
  <si>
    <t>What happens if a boat deliberately blocks another?</t>
  </si>
  <si>
    <t>A) Restart, B) Warning, C) Disqualification, D) No penalty</t>
  </si>
  <si>
    <t>Blocking another boat intentionally is forbidden and results in disqualification.</t>
  </si>
  <si>
    <t>What should rowers do if another boat collides accidentally?</t>
  </si>
  <si>
    <t>A) Stop racing, B) File complaint after race, C) Collide back, D) Quit</t>
  </si>
  <si>
    <t>B) File complaint after race</t>
  </si>
  <si>
    <t>Teams may report accidental collisions after the race for review.</t>
  </si>
  <si>
    <t>Which rule applies to paddles in Nouka Baich?</t>
  </si>
  <si>
    <t>A) Same size, B) Same color, C) One per rower, D) Wooden only</t>
  </si>
  <si>
    <t>C) One per rower</t>
  </si>
  <si>
    <t>Each rower is allowed only one paddle during the race.</t>
  </si>
  <si>
    <t>What must teams do before the competition begins?</t>
  </si>
  <si>
    <t>A) Boat inspection, B) Warm-up laps, C) Change uniforms, D) Select spectators</t>
  </si>
  <si>
    <t>A) Boat inspection</t>
  </si>
  <si>
    <t>Boats are inspected to ensure they meet the official size and safety rules.</t>
  </si>
  <si>
    <t>Which action is considered cheating in Nouka Baich?</t>
  </si>
  <si>
    <t>A) Singing loudly, B) Using hidden motors, C) Wearing matching uniforms, D) Paddling faster</t>
  </si>
  <si>
    <t>B) Using hidden motors</t>
  </si>
  <si>
    <t>Adding engines or hidden motors is strictly against the rules.</t>
  </si>
  <si>
    <t>What determines starting position in Nouka Baich?</t>
  </si>
  <si>
    <t>A) Random draw, B) Team choice, C) Referee decision, D) Boat size</t>
  </si>
  <si>
    <t>A) Random draw</t>
  </si>
  <si>
    <t>Starting lanes are usually chosen randomly to ensure fairness.</t>
  </si>
  <si>
    <t>What must teams do if their boat is damaged during the race?</t>
  </si>
  <si>
    <t>A) Repair mid-race, B) Continue if possible, C) Switch boats, D) Request restart</t>
  </si>
  <si>
    <t>B) Continue if possible</t>
  </si>
  <si>
    <t>Teams must finish with the same boat; switching is not allowed.</t>
  </si>
  <si>
    <t>What is the main rule regarding uniforms in Nouka Baich?</t>
  </si>
  <si>
    <t>A) Same color for each team, B) White only, C) Red only, D) No uniforms</t>
  </si>
  <si>
    <t>A) Same color for each team</t>
  </si>
  <si>
    <t>Teams wear uniforms of the same color for easy identification.</t>
  </si>
  <si>
    <t>Which signal is used for an emergency stop in Nouka Baich?</t>
  </si>
  <si>
    <t>A) Drumbeat, B) Referee’s whistle, C) Spectator shouting, D) Boat horn</t>
  </si>
  <si>
    <t>A long whistle by the referee signals an emergency stop.</t>
  </si>
  <si>
    <t>How are ties officially handled in Nouka Baich?</t>
  </si>
  <si>
    <t>A) Shared trophy, B) Time review, C) Referee decision, D) Replay race</t>
  </si>
  <si>
    <t>B) Time review</t>
  </si>
  <si>
    <t>Judges use timing tools to confirm the exact winner.</t>
  </si>
  <si>
    <t>What rule applies to the drummer’s role in Nouka Baich?</t>
  </si>
  <si>
    <t>A) Must row also, B) Can’t row, C) Must steer, D) Can switch roles</t>
  </si>
  <si>
    <t>B) Can’t row</t>
  </si>
  <si>
    <t>The drummer is not allowed to row; they only maintain rhythm.</t>
  </si>
  <si>
    <t>What is the maximum penalty for repeated rule violations?</t>
  </si>
  <si>
    <t>A) Warning, B) Time loss, C) Ejection, D) Restart</t>
  </si>
  <si>
    <t>C) Ejection</t>
  </si>
  <si>
    <t>Teams that repeatedly break rules may be ejected from the competition.</t>
  </si>
  <si>
    <t>Who decides the final winner in controversial situations?</t>
  </si>
  <si>
    <t>A) Team captains, B) Spectators, C) Referee panel, D) Drummer</t>
  </si>
  <si>
    <t>C) Referee panel</t>
  </si>
  <si>
    <t>The referee panel’s decision is final in disputes.</t>
  </si>
  <si>
    <t>Which part of the race must be strictly followed?</t>
  </si>
  <si>
    <t>A) Start, B) Middle, C) Turns, D) Entire course</t>
  </si>
  <si>
    <t>D) Entire course</t>
  </si>
  <si>
    <t>Boats must follow the entire course; shortcuts are not allowed.</t>
  </si>
  <si>
    <t>What happens if a team rows outside its designated lane?</t>
  </si>
  <si>
    <t>A) Warning, B) Restart, C) Disqualification, D) Allowed if unintentional</t>
  </si>
  <si>
    <t>Lane violations usually result in disqualification.</t>
  </si>
  <si>
    <t>What should rowers NOT do when the referee signals start?</t>
  </si>
  <si>
    <t>A) Paddle, B) Shout, C) Delay intentionally, D) Row in sync</t>
  </si>
  <si>
    <t>C) Delay intentionally</t>
  </si>
  <si>
    <t>Intentionally delaying the start is a violation.</t>
  </si>
  <si>
    <t>What happens if a rower jumps off during the race?</t>
  </si>
  <si>
    <t>A) Restart, B) Continue without them, C) Replace mid-race, D) Auto-win</t>
  </si>
  <si>
    <t>B) Continue without them</t>
  </si>
  <si>
    <t>Teams must continue without that rower, replacements aren’t allowed.</t>
  </si>
  <si>
    <t>What happens if boats tie even after time review?</t>
  </si>
  <si>
    <t>A) Replay, B) Shared win, C) Both lose, D) Referee toss coin</t>
  </si>
  <si>
    <t>A) Replay</t>
  </si>
  <si>
    <t>A replay may be conducted if timing can’t separate boats.</t>
  </si>
  <si>
    <t>Which rule applies to cheering in Nouka Baich?</t>
  </si>
  <si>
    <t>A) Allowed, B) Banned, C) Allowed only by drummers, D) Penalized</t>
  </si>
  <si>
    <t>A) Allowed</t>
  </si>
  <si>
    <t>Teams and spectators may cheer, but it should not disturb others.</t>
  </si>
  <si>
    <t>Who ensures rowers’ safety during Nouka Baich?</t>
  </si>
  <si>
    <t>A) Spectators, B) Organizers, C) Other teams, D) Drummers</t>
  </si>
  <si>
    <t>B) Organizers</t>
  </si>
  <si>
    <t>Organizers enforce safety protocols and have rescue teams ready.</t>
  </si>
  <si>
    <t>What happens if a boat starts paddling before signal?</t>
  </si>
  <si>
    <t>A) Restart, B) Warning, C) Disqualification, D) Free start</t>
  </si>
  <si>
    <t>Early starts give unfair advantage and lead to disqualification.</t>
  </si>
  <si>
    <t>What happens if the drummer fails to keep rhythm?</t>
  </si>
  <si>
    <t>A) Penalty, B) Replace mid-race, C) Team struggles, D) Disqualification</t>
  </si>
  <si>
    <t>C) Team struggles</t>
  </si>
  <si>
    <t>Poor rhythm hurts coordination but isn’t a disqualification.</t>
  </si>
  <si>
    <t>What must teams avoid when overtaking others?</t>
  </si>
  <si>
    <t>A) Colliding, B) Shouting, C) Moving fast, D) Drumming</t>
  </si>
  <si>
    <t>A) Colliding</t>
  </si>
  <si>
    <t>Overtaking must be clean without touching other boats.</t>
  </si>
  <si>
    <t>What signals the end of the Nouka Baich race?</t>
  </si>
  <si>
    <t>A) Drum stop, B) Referee whistle, C) Boat crossing finish, D) Cheering</t>
  </si>
  <si>
    <t>C) Boat crossing finish</t>
  </si>
  <si>
    <t>The race ends when the first boat crosses the finish line.</t>
  </si>
  <si>
    <t>What happens if a team uses an unauthorized substitute?</t>
  </si>
  <si>
    <t>A) Warning, B) Disqualification, C) Restart, D) Penalty</t>
  </si>
  <si>
    <t>Unauthorized substitutes are not permitted in official races.</t>
  </si>
  <si>
    <t>Which rule governs boat size in Nouka Baich?</t>
  </si>
  <si>
    <t>A) No limit, B) Standardized, C) Fixed for all, D) Flexible</t>
  </si>
  <si>
    <t>B) Standardized</t>
  </si>
  <si>
    <t>Events usually standardize boat size to ensure fairness.</t>
  </si>
  <si>
    <t>What should rowers do if weather becomes unsafe?</t>
  </si>
  <si>
    <t>A) Stop, B) Continue, C) Ignore, D) Speed up</t>
  </si>
  <si>
    <t>A) Stop</t>
  </si>
  <si>
    <t>Safety rules require boats to stop if weather turns unsafe.</t>
  </si>
  <si>
    <t>Who is authorized to call off a race?</t>
  </si>
  <si>
    <t>A) Spectators, B) Referee, C) Drummers, D) Boat captains</t>
  </si>
  <si>
    <t>Only the referee can call off a race officially.</t>
  </si>
  <si>
    <t>What must rowers maintain throughout the race?</t>
  </si>
  <si>
    <t>A) Rhythm, B) Silence, C) Boat decorations, D) Posture only</t>
  </si>
  <si>
    <t>A) Rhythm</t>
  </si>
  <si>
    <t>Continuous rhythm ensures speed and balance.</t>
  </si>
  <si>
    <t>What should rowers avoid doing at the finish line?</t>
  </si>
  <si>
    <t>A) Slowing down, B) Standing, C) Colliding, D) Celebrating early</t>
  </si>
  <si>
    <t>C) Colliding</t>
  </si>
  <si>
    <t>Boats must avoid contact at the finish to ensure fair results.</t>
  </si>
  <si>
    <t>What happens if a team rows outside the race boundary?</t>
  </si>
  <si>
    <t>A) No effect, B) Warning, C) Penalty, D) Disqualification</t>
  </si>
  <si>
    <t>D) Disqualification</t>
  </si>
  <si>
    <t>Leaving the race boundary is not allowed and results in disqualification.</t>
  </si>
  <si>
    <t>Which part of the referee’s role is most important?</t>
  </si>
  <si>
    <t>A) Cheer teams, B) Keep score, C) Enforce rules, D) Row</t>
  </si>
  <si>
    <t>C) Enforce rules</t>
  </si>
  <si>
    <t>Referees enforce rules and ensure fair racing.</t>
  </si>
  <si>
    <t>How must rowers sit in the boat?</t>
  </si>
  <si>
    <t>A) Facing forward, B) Facing backward, C) Standing, D) Cross-legged</t>
  </si>
  <si>
    <t>A) Facing forward</t>
  </si>
  <si>
    <t>Rowers sit facing forward to row efficiently and maintain rhythm.</t>
  </si>
  <si>
    <t>What must teams do immediately after a false start?</t>
  </si>
  <si>
    <t>A) Continue racing, B) Return to start line, C) Stop paddling, D) Change lanes</t>
  </si>
  <si>
    <t>B) Return to start line</t>
  </si>
  <si>
    <t>False starts require boats to return and restart.</t>
  </si>
  <si>
    <t>What is prohibited for team supporters during the race?</t>
  </si>
  <si>
    <t>A) Waving flags, B) Jumping in river, C) Cheering, D) Singing</t>
  </si>
  <si>
    <t>B) Jumping in river</t>
  </si>
  <si>
    <t>Entering the river during the race is strictly prohibited for safety.</t>
  </si>
  <si>
    <t>How is lane violation checked in Nouka Baich?</t>
  </si>
  <si>
    <t>A) Spectators, B) Referees, C) Drummers, D) Team captains</t>
  </si>
  <si>
    <t>B) Referees</t>
  </si>
  <si>
    <t>Referees monitor lanes to ensure fair play.</t>
  </si>
  <si>
    <t>What must rowers avoid doing with paddles?</t>
  </si>
  <si>
    <t>A) Dropping them, B) Hitting other boats, C) Rowing in sync, D) Holding tightly</t>
  </si>
  <si>
    <t>B) Hitting other boats</t>
  </si>
  <si>
    <t>Using paddles to hit opponents’ boats is forbidden.</t>
  </si>
  <si>
    <t>What must every team follow before race entry?</t>
  </si>
  <si>
    <t>A) Registration rules, B) Spectator approval, C) Random entry, D) Self-selection</t>
  </si>
  <si>
    <t>A) Registration rules</t>
  </si>
  <si>
    <t>Teams must register officially to enter the race.</t>
  </si>
  <si>
    <t>What must boats do at the start signal?</t>
  </si>
  <si>
    <t>A) Move together, B) Paddle randomly, C) Wait 10 seconds, D) Drift</t>
  </si>
  <si>
    <t>A) Move together</t>
  </si>
  <si>
    <t>All boats must start simultaneously after the referee’s signal.</t>
  </si>
  <si>
    <t>What is the rule if a paddle is lost during race?</t>
  </si>
  <si>
    <t>A) Replace instantly, B) Continue without it, C) Ask referee, D) Stop race</t>
  </si>
  <si>
    <t>B) Continue without it</t>
  </si>
  <si>
    <t>Teams must continue without replacement paddles.</t>
  </si>
  <si>
    <t>What happens if a team rows backward intentionally?</t>
  </si>
  <si>
    <t>A) Disqualified, B) Allowed, C) Ignored, D) Restarted</t>
  </si>
  <si>
    <t>A) Disqualified</t>
  </si>
  <si>
    <t>Intentionally rowing backward disrupts the competition.</t>
  </si>
  <si>
    <t>What must rowers avoid doing when overtaking?</t>
  </si>
  <si>
    <t>A) Paddling faster, B) Splashing water deliberately, C) Keeping rhythm, D) Staying in lane</t>
  </si>
  <si>
    <t>B) Splashing water deliberately</t>
  </si>
  <si>
    <t>Deliberately splashing water on opponents is not allowed.</t>
  </si>
  <si>
    <t>Which role must remain consistent throughout the race?</t>
  </si>
  <si>
    <t>A) Drummer, B) Referee, C) Captain, D) Spectators</t>
  </si>
  <si>
    <t>A) Drummer</t>
  </si>
  <si>
    <t>The drummer cannot be replaced mid-race.</t>
  </si>
  <si>
    <t>What is the rule about team size in Nouka Baich?</t>
  </si>
  <si>
    <t>A) Must match boat size, B) Must be 20 always, C) Unlimited, D) At least 50</t>
  </si>
  <si>
    <t>A) Must match boat size</t>
  </si>
  <si>
    <t>Team size depends on the size of the boat.</t>
  </si>
  <si>
    <t>What must be avoided at turns in the river racecourse?</t>
  </si>
  <si>
    <t>A) Collisions, B) Rowing, C) Steering, D) Rhythm</t>
  </si>
  <si>
    <t>A) Collisions</t>
  </si>
  <si>
    <t>Teams must avoid collisions while navigating turns.</t>
  </si>
  <si>
    <t>What happens if two boats tie perfectly?</t>
  </si>
  <si>
    <t>A) Replay race, B) Both lose, C) Toss a coin, D) Award one</t>
  </si>
  <si>
    <t>A) Replay race</t>
  </si>
  <si>
    <t>Ties are settled by replaying the race if needed.</t>
  </si>
  <si>
    <t>What is the rule about the race distance?</t>
  </si>
  <si>
    <t>A) Must be fixed, B) Random, C) Varies with water, D) Team decides</t>
  </si>
  <si>
    <t>A) Must be fixed</t>
  </si>
  <si>
    <t>Race distances are fixed by the organizing committee.</t>
  </si>
  <si>
    <t>What happens if a team ignores emergency stop?</t>
  </si>
  <si>
    <t>A) No penalty, B) Extra prize, C) Disqualification, D) Warning</t>
  </si>
  <si>
    <t>Ignoring an emergency stop is a major violation.</t>
  </si>
  <si>
    <t>Which rule ensures equal chances for all teams?</t>
  </si>
  <si>
    <t>A) Same boat decorations, B) Equal lane width, C) Same uniforms, D) Equal cheering</t>
  </si>
  <si>
    <t>B) Equal lane width</t>
  </si>
  <si>
    <t>Equal lane width ensures all boats face the same challenge.</t>
  </si>
  <si>
    <t>What should be avoided at the start line?</t>
  </si>
  <si>
    <t>A) Overtaking early, B) Aligning boats, C) Waiting for signal, D) Sitting quietly</t>
  </si>
  <si>
    <t>A) Overtaking early</t>
  </si>
  <si>
    <t>Boats must not advance before the signal.</t>
  </si>
  <si>
    <t>What happens if a team refuses inspection?</t>
  </si>
  <si>
    <t>A) Allowed, B) Penalized, C) Disqualified, D) Ignored</t>
  </si>
  <si>
    <t>C) Disqualified</t>
  </si>
  <si>
    <t>Refusing inspection disqualifies the team immediately.</t>
  </si>
  <si>
    <t>What must rowers do when the drumbeat changes?</t>
  </si>
  <si>
    <t>A) Ignore it, B) Adjust strokes, C) Stop rowing, D) Switch sides</t>
  </si>
  <si>
    <t>B) Adjust strokes</t>
  </si>
  <si>
    <t>Rowers adjust strokes based on drumbeat rhythm.</t>
  </si>
  <si>
    <t>What happens if spectators interfere with boats?</t>
  </si>
  <si>
    <t>A) No effect, B) Warning, C) Restart, D) Penalty for team</t>
  </si>
  <si>
    <t>D) Penalty for team</t>
  </si>
  <si>
    <t>Teams may be penalized if their supporters interfere.</t>
  </si>
  <si>
    <t>What is the rule about uniforms in official races?</t>
  </si>
  <si>
    <t>A) Mandatory, B) Optional, C) Only white, D) Not allowed</t>
  </si>
  <si>
    <t>A) Mandatory</t>
  </si>
  <si>
    <t>Uniforms help referees and spectators identify teams.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</si>
</sst>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horizontal="left" readingOrder="0" shrinkToFit="0" vertical="bottom"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boli khela-style">
      <tableStyleElement dxfId="1" type="headerRow"/>
      <tableStyleElement dxfId="2" type="firstRowStripe"/>
      <tableStyleElement dxfId="3" type="secondRowStripe"/>
      <tableStyleElement dxfId="4" size="0" type="wholeTable"/>
    </tableStyle>
    <tableStyle count="4" pivot="0" name="boli khela-style 2">
      <tableStyleElement dxfId="1" type="headerRow"/>
      <tableStyleElement dxfId="2" type="firstRowStripe"/>
      <tableStyleElement dxfId="3" type="secondRowStripe"/>
      <tableStyleElement dxfId="4" size="0" type="wholeTable"/>
    </tableStyle>
    <tableStyle count="4" pivot="0" name="dariabandha-style">
      <tableStyleElement dxfId="1" type="headerRow"/>
      <tableStyleElement dxfId="2" type="firstRowStripe"/>
      <tableStyleElement dxfId="3" type="secondRowStripe"/>
      <tableStyleElement dxfId="4" size="0" type="wholeTable"/>
    </tableStyle>
    <tableStyle count="4" pivot="0" name="dariabandha-style 2">
      <tableStyleElement dxfId="1" type="headerRow"/>
      <tableStyleElement dxfId="2" type="firstRowStripe"/>
      <tableStyleElement dxfId="3" type="secondRowStripe"/>
      <tableStyleElement dxfId="4" size="0" type="wholeTable"/>
    </tableStyle>
    <tableStyle count="4" pivot="0" name="golla chut-style">
      <tableStyleElement dxfId="1" type="headerRow"/>
      <tableStyleElement dxfId="2" type="firstRowStripe"/>
      <tableStyleElement dxfId="3" type="secondRowStripe"/>
      <tableStyleElement dxfId="4" size="0" type="wholeTable"/>
    </tableStyle>
    <tableStyle count="4" pivot="0" name="golla chut-style 2">
      <tableStyleElement dxfId="1" type="headerRow"/>
      <tableStyleElement dxfId="2" type="firstRowStripe"/>
      <tableStyleElement dxfId="3" type="secondRowStripe"/>
      <tableStyleElement dxfId="4" size="0" type="wholeTable"/>
    </tableStyle>
    <tableStyle count="4" pivot="0" name="ha du du-style">
      <tableStyleElement dxfId="1" type="headerRow"/>
      <tableStyleElement dxfId="2" type="firstRowStripe"/>
      <tableStyleElement dxfId="3" type="secondRowStripe"/>
      <tableStyleElement dxfId="4" size="0" type="wholeTable"/>
    </tableStyle>
    <tableStyle count="4" pivot="0" name="ha du du-style 2">
      <tableStyleElement dxfId="1" type="headerRow"/>
      <tableStyleElement dxfId="2" type="firstRowStripe"/>
      <tableStyleElement dxfId="3" type="secondRowStripe"/>
      <tableStyleElement dxfId="4" size="0" type="wholeTable"/>
    </tableStyle>
    <tableStyle count="4" pivot="0" name="lathi khela-style">
      <tableStyleElement dxfId="1" type="headerRow"/>
      <tableStyleElement dxfId="2" type="firstRowStripe"/>
      <tableStyleElement dxfId="3" type="secondRowStripe"/>
      <tableStyleElement dxfId="4" size="0" type="wholeTable"/>
    </tableStyle>
    <tableStyle count="4" pivot="0" name="lathi khela-style 2">
      <tableStyleElement dxfId="1" type="headerRow"/>
      <tableStyleElement dxfId="2" type="firstRowStripe"/>
      <tableStyleElement dxfId="3" type="secondRowStripe"/>
      <tableStyleElement dxfId="4" size="0" type="wholeTable"/>
    </tableStyle>
    <tableStyle count="4" pivot="0" name="nouka baich-style">
      <tableStyleElement dxfId="1" type="headerRow"/>
      <tableStyleElement dxfId="2" type="firstRowStripe"/>
      <tableStyleElement dxfId="3" type="secondRowStripe"/>
      <tableStyleElement dxfId="4" size="0" type="wholeTable"/>
    </tableStyle>
    <tableStyle count="4" pivot="0" name="nouka baich-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6" displayName="Table2" name="Table2" id="1">
  <tableColumns count="5">
    <tableColumn name="Question No." id="1"/>
    <tableColumn name="Question" id="2"/>
    <tableColumn name="Options" id="3"/>
    <tableColumn name="Answer" id="4"/>
    <tableColumn name="Description" id="5"/>
  </tableColumns>
  <tableStyleInfo name="boli khela-style" showColumnStripes="0" showFirstColumn="1" showLastColumn="1" showRowStripes="1"/>
</table>
</file>

<file path=xl/tables/table2.xml><?xml version="1.0" encoding="utf-8"?>
<table xmlns="http://schemas.openxmlformats.org/spreadsheetml/2006/main" ref="I1:M126" displayName="Table1" name="Table1" id="2">
  <tableColumns count="5">
    <tableColumn name="প্রশ্ন নং." id="1"/>
    <tableColumn name="প্রশ্ন" id="2"/>
    <tableColumn name="অপশন" id="3"/>
    <tableColumn name="উত্তর" id="4"/>
    <tableColumn name="বর্ণনা" id="5"/>
  </tableColumns>
  <tableStyleInfo name="boli khela-style 2" showColumnStripes="0" showFirstColumn="1" showLastColumn="1" showRowStripes="1"/>
</table>
</file>

<file path=xl/tables/table3.xml><?xml version="1.0" encoding="utf-8"?>
<table xmlns="http://schemas.openxmlformats.org/spreadsheetml/2006/main" ref="A1:E126" displayName="Table3" name="Table3" id="3">
  <tableColumns count="5">
    <tableColumn name="Question No." id="1"/>
    <tableColumn name="Question" id="2"/>
    <tableColumn name="Options" id="3"/>
    <tableColumn name="Answer" id="4"/>
    <tableColumn name="Description" id="5"/>
  </tableColumns>
  <tableStyleInfo name="dariabandha-style" showColumnStripes="0" showFirstColumn="1" showLastColumn="1" showRowStripes="1"/>
</table>
</file>

<file path=xl/tables/table4.xml><?xml version="1.0" encoding="utf-8"?>
<table xmlns="http://schemas.openxmlformats.org/spreadsheetml/2006/main" ref="J1:N126" displayName="Table4" name="Table4" id="4">
  <tableColumns count="5">
    <tableColumn name="প্রশ্ন নং." id="1"/>
    <tableColumn name="প্রশ্ন" id="2"/>
    <tableColumn name="অপশন" id="3"/>
    <tableColumn name="উত্তর" id="4"/>
    <tableColumn name="বর্ণনা" id="5"/>
  </tableColumns>
  <tableStyleInfo name="dariabandha-style 2" showColumnStripes="0" showFirstColumn="1" showLastColumn="1" showRowStripes="1"/>
</table>
</file>

<file path=xl/tables/table5.xml><?xml version="1.0" encoding="utf-8"?>
<table xmlns="http://schemas.openxmlformats.org/spreadsheetml/2006/main" ref="A1:E126" displayName="Table6" name="Table6" id="5">
  <tableColumns count="5">
    <tableColumn name="Question No." id="1"/>
    <tableColumn name="Question" id="2"/>
    <tableColumn name="Options" id="3"/>
    <tableColumn name="Answer" id="4"/>
    <tableColumn name="Description" id="5"/>
  </tableColumns>
  <tableStyleInfo name="golla chut-style" showColumnStripes="0" showFirstColumn="1" showLastColumn="1" showRowStripes="1"/>
</table>
</file>

<file path=xl/tables/table6.xml><?xml version="1.0" encoding="utf-8"?>
<table xmlns="http://schemas.openxmlformats.org/spreadsheetml/2006/main" ref="I1:M126" displayName="Table5" name="Table5" id="6">
  <tableColumns count="5">
    <tableColumn name="প্রশ্ন নং." id="1"/>
    <tableColumn name="প্রশ্ন" id="2"/>
    <tableColumn name="অপশন" id="3"/>
    <tableColumn name="উত্তর" id="4"/>
    <tableColumn name="বর্ণনা" id="5"/>
  </tableColumns>
  <tableStyleInfo name="golla chut-style 2" showColumnStripes="0" showFirstColumn="1" showLastColumn="1" showRowStripes="1"/>
</table>
</file>

<file path=xl/tables/table7.xml><?xml version="1.0" encoding="utf-8"?>
<table xmlns="http://schemas.openxmlformats.org/spreadsheetml/2006/main" ref="A1:E126" displayName="Table8" name="Table8" id="7">
  <tableColumns count="5">
    <tableColumn name="Question No." id="1"/>
    <tableColumn name="Question" id="2"/>
    <tableColumn name="Options" id="3"/>
    <tableColumn name="Answer" id="4"/>
    <tableColumn name="Description" id="5"/>
  </tableColumns>
  <tableStyleInfo name="ha du du-style" showColumnStripes="0" showFirstColumn="1" showLastColumn="1" showRowStripes="1"/>
</table>
</file>

<file path=xl/tables/table8.xml><?xml version="1.0" encoding="utf-8"?>
<table xmlns="http://schemas.openxmlformats.org/spreadsheetml/2006/main" ref="H1:L126" displayName="Table7" name="Table7" id="8">
  <tableColumns count="5">
    <tableColumn name="প্রশ্ন নং." id="1"/>
    <tableColumn name="প্রশ্ন" id="2"/>
    <tableColumn name="অপশন" id="3"/>
    <tableColumn name="উত্তর" id="4"/>
    <tableColumn name="বর্ণনা" id="5"/>
  </tableColumns>
  <tableStyleInfo name="ha du du-style 2" showColumnStripes="0" showFirstColumn="1" showLastColumn="1" showRowStripes="1"/>
</table>
</file>

<file path=xl/tables/table9.xml><?xml version="1.0" encoding="utf-8"?>
<table xmlns="http://schemas.openxmlformats.org/spreadsheetml/2006/main" ref="A1:E126" displayName="Table10" name="Table10" id="9">
  <tableColumns count="5">
    <tableColumn name="Question No." id="1"/>
    <tableColumn name="Question" id="2"/>
    <tableColumn name="Options" id="3"/>
    <tableColumn name="Answer" id="4"/>
    <tableColumn name="Description" id="5"/>
  </tableColumns>
  <tableStyleInfo name="lathi khela-style" showColumnStripes="0" showFirstColumn="1" showLastColumn="1" showRowStripes="1"/>
</table>
</file>

<file path=xl/tables/table10.xml><?xml version="1.0" encoding="utf-8"?>
<table xmlns="http://schemas.openxmlformats.org/spreadsheetml/2006/main" ref="I1:M126" displayName="Table9" name="Table9" id="10">
  <tableColumns count="5">
    <tableColumn name="প্রশ্ন নং." id="1"/>
    <tableColumn name="প্রশ্ন" id="2"/>
    <tableColumn name="অপশন" id="3"/>
    <tableColumn name="উত্তর" id="4"/>
    <tableColumn name="বর্ণনা" id="5"/>
  </tableColumns>
  <tableStyleInfo name="lathi khela-style 2" showColumnStripes="0" showFirstColumn="1" showLastColumn="1" showRowStripes="1"/>
</table>
</file>

<file path=xl/tables/table11.xml><?xml version="1.0" encoding="utf-8"?>
<table xmlns="http://schemas.openxmlformats.org/spreadsheetml/2006/main" ref="A1:E126" displayName="Table12" name="Table12" id="11">
  <tableColumns count="5">
    <tableColumn name="Question No." id="1"/>
    <tableColumn name="Question" id="2"/>
    <tableColumn name="Options" id="3"/>
    <tableColumn name="Answer" id="4"/>
    <tableColumn name="Description" id="5"/>
  </tableColumns>
  <tableStyleInfo name="nouka baich-style" showColumnStripes="0" showFirstColumn="1" showLastColumn="1" showRowStripes="1"/>
</table>
</file>

<file path=xl/tables/table12.xml><?xml version="1.0" encoding="utf-8"?>
<table xmlns="http://schemas.openxmlformats.org/spreadsheetml/2006/main" ref="J1:N126" displayName="Table11" name="Table11" id="12">
  <tableColumns count="5">
    <tableColumn name="প্রশ্ন নং." id="1"/>
    <tableColumn name="প্রশ্ন" id="2"/>
    <tableColumn name="অপশন" id="3"/>
    <tableColumn name="উত্তর" id="4"/>
    <tableColumn name="বর্ণনা" id="5"/>
  </tableColumns>
  <tableStyleInfo name="nouka baich-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7.88"/>
    <col customWidth="1" min="5" max="5" width="37.63"/>
    <col customWidth="1" min="10" max="11" width="37.63"/>
    <col customWidth="1" min="12" max="12" width="24.75"/>
    <col customWidth="1" min="13" max="13" width="37.63"/>
  </cols>
  <sheetData>
    <row r="1">
      <c r="A1" s="1" t="s">
        <v>0</v>
      </c>
      <c r="B1" s="1" t="s">
        <v>1</v>
      </c>
      <c r="C1" s="1" t="s">
        <v>2</v>
      </c>
      <c r="D1" s="1" t="s">
        <v>3</v>
      </c>
      <c r="E1" s="1" t="s">
        <v>4</v>
      </c>
      <c r="I1" s="2" t="s">
        <v>5</v>
      </c>
      <c r="J1" s="2" t="s">
        <v>6</v>
      </c>
      <c r="K1" s="2" t="s">
        <v>7</v>
      </c>
      <c r="L1" s="2" t="s">
        <v>8</v>
      </c>
      <c r="M1" s="2" t="s">
        <v>9</v>
      </c>
    </row>
    <row r="2">
      <c r="A2" s="3">
        <v>1.0</v>
      </c>
      <c r="B2" s="3" t="s">
        <v>10</v>
      </c>
      <c r="C2" s="3" t="s">
        <v>11</v>
      </c>
      <c r="D2" s="3" t="s">
        <v>12</v>
      </c>
      <c r="E2" s="3" t="s">
        <v>13</v>
      </c>
      <c r="I2" s="4" t="str">
        <f>IFERROR(__xludf.DUMMYFUNCTION("GOOGLETRANSLATE(A2, ""en"", ""bn"")"),"১")</f>
        <v>১</v>
      </c>
      <c r="J2" s="4" t="str">
        <f>IFERROR(__xludf.DUMMYFUNCTION("GOOGLETRANSLATE(B2, ""en"", ""bn"")"),"বলি খেলায় খেলার মূল লক্ষ্য কী?")</f>
        <v>বলি খেলায় খেলার মূল লক্ষ্য কী?</v>
      </c>
      <c r="K2" s="4" t="str">
        <f>IFERROR(__xludf.DUMMYFUNCTION("GOOGLETRANSLATE(C2, ""en"", ""bn"")"),"ক) গোল করা, খ) লক্ষ্যবস্তুতে আঘাত করা, গ) বলটি দীর্ঘ সময় ধরে ধরে রাখা, ঘ) অন্য দলকে গোল করা থেকে বিরত রাখা")</f>
        <v>ক) গোল করা, খ) লক্ষ্যবস্তুতে আঘাত করা, গ) বলটি দীর্ঘ সময় ধরে ধরে রাখা, ঘ) অন্য দলকে গোল করা থেকে বিরত রাখা</v>
      </c>
      <c r="L2" s="4" t="str">
        <f>IFERROR(__xludf.DUMMYFUNCTION("GOOGLETRANSLATE(D2, ""en"", ""bn"")"),"খ) লক্ষ্যবস্তু ধ্বংস করা")</f>
        <v>খ) লক্ষ্যবস্তু ধ্বংস করা</v>
      </c>
      <c r="M2" s="4" t="str">
        <f>IFERROR(__xludf.DUMMYFUNCTION("GOOGLETRANSLATE(E2, ""en"", ""bn"")"),"মূল লক্ষ্য হলো লক্ষ্যবস্তুতে ভারী পাথর ছুঁড়ে তা ভেঙে ফেলা।")</f>
        <v>মূল লক্ষ্য হলো লক্ষ্যবস্তুতে ভারী পাথর ছুঁড়ে তা ভেঙে ফেলা।</v>
      </c>
    </row>
    <row r="3">
      <c r="A3" s="3">
        <v>2.0</v>
      </c>
      <c r="B3" s="3" t="s">
        <v>14</v>
      </c>
      <c r="C3" s="3" t="s">
        <v>15</v>
      </c>
      <c r="D3" s="3" t="s">
        <v>16</v>
      </c>
      <c r="E3" s="3" t="s">
        <v>17</v>
      </c>
      <c r="I3" s="4" t="str">
        <f>IFERROR(__xludf.DUMMYFUNCTION("GOOGLETRANSLATE(A3, ""en"", ""bn"")"),"২")</f>
        <v>২</v>
      </c>
      <c r="J3" s="4" t="str">
        <f>IFERROR(__xludf.DUMMYFUNCTION("GOOGLETRANSLATE(B3, ""en"", ""bn"")"),"বলি খেলায় ব্যবহৃত পাথরের ওজন কত?")</f>
        <v>বলি খেলায় ব্যবহৃত পাথরের ওজন কত?</v>
      </c>
      <c r="K3" s="4" t="str">
        <f>IFERROR(__xludf.DUMMYFUNCTION("GOOGLETRANSLATE(C3, ""en"", ""bn"")"),"A) 2-3 কেজি, B) 3-4 কেজি, C) 4-5 কেজি, D) 5-6 কেজি")</f>
        <v>A) 2-3 কেজি, B) 3-4 কেজি, C) 4-5 কেজি, D) 5-6 কেজি</v>
      </c>
      <c r="L3" s="4" t="str">
        <f>IFERROR(__xludf.DUMMYFUNCTION("GOOGLETRANSLATE(D3, ""en"", ""bn"")"),"গ) ৪-৫ কেজি")</f>
        <v>গ) ৪-৫ কেজি</v>
      </c>
      <c r="M3" s="4" t="str">
        <f>IFERROR(__xludf.DUMMYFUNCTION("GOOGLETRANSLATE(E3, ""en"", ""bn"")"),"বলি খেলায় ব্যবহৃত পাথরের ওজন ৪-৫ কেজির মধ্যে।")</f>
        <v>বলি খেলায় ব্যবহৃত পাথরের ওজন ৪-৫ কেজির মধ্যে।</v>
      </c>
    </row>
    <row r="4">
      <c r="A4" s="3">
        <v>3.0</v>
      </c>
      <c r="B4" s="3" t="s">
        <v>18</v>
      </c>
      <c r="C4" s="3" t="s">
        <v>19</v>
      </c>
      <c r="D4" s="3" t="s">
        <v>20</v>
      </c>
      <c r="E4" s="3" t="s">
        <v>21</v>
      </c>
      <c r="I4" s="4" t="str">
        <f>IFERROR(__xludf.DUMMYFUNCTION("GOOGLETRANSLATE(A4, ""en"", ""bn"")"),"৩")</f>
        <v>৩</v>
      </c>
      <c r="J4" s="4" t="str">
        <f>IFERROR(__xludf.DUMMYFUNCTION("GOOGLETRANSLATE(B4, ""en"", ""bn"")"),"বলি খেলা খেলার সাধারণ সময়কাল কত?")</f>
        <v>বলি খেলা খেলার সাধারণ সময়কাল কত?</v>
      </c>
      <c r="K4" s="4" t="str">
        <f>IFERROR(__xludf.DUMMYFUNCTION("GOOGLETRANSLATE(C4, ""en"", ""bn"")"),"ক) ১০-২০ মিনিট, খ) ৩০-৪০ মিনিট, গ) ১-২ ঘন্টা, ঘ) ২-৩ ঘন্টা")</f>
        <v>ক) ১০-২০ মিনিট, খ) ৩০-৪০ মিনিট, গ) ১-২ ঘন্টা, ঘ) ২-৩ ঘন্টা</v>
      </c>
      <c r="L4" s="4" t="str">
        <f>IFERROR(__xludf.DUMMYFUNCTION("GOOGLETRANSLATE(D4, ""en"", ""bn"")"),"খ) ৩০-৪০ মিনিট")</f>
        <v>খ) ৩০-৪০ মিনিট</v>
      </c>
      <c r="M4" s="4" t="str">
        <f>IFERROR(__xludf.DUMMYFUNCTION("GOOGLETRANSLATE(E4, ""en"", ""bn"")"),"ম্যাচগুলি সাধারণত প্রায় 30-40 মিনিট স্থায়ী হয়।")</f>
        <v>ম্যাচগুলি সাধারণত প্রায় 30-40 মিনিট স্থায়ী হয়।</v>
      </c>
    </row>
    <row r="5">
      <c r="A5" s="3">
        <v>4.0</v>
      </c>
      <c r="B5" s="3" t="s">
        <v>22</v>
      </c>
      <c r="C5" s="3" t="s">
        <v>23</v>
      </c>
      <c r="D5" s="3" t="s">
        <v>24</v>
      </c>
      <c r="E5" s="3" t="s">
        <v>25</v>
      </c>
      <c r="I5" s="4" t="str">
        <f>IFERROR(__xludf.DUMMYFUNCTION("GOOGLETRANSLATE(A5, ""en"", ""bn"")"),"৪")</f>
        <v>৪</v>
      </c>
      <c r="J5" s="4" t="str">
        <f>IFERROR(__xludf.DUMMYFUNCTION("GOOGLETRANSLATE(B5, ""en"", ""bn"")"),"বলি খেলায়, একটি খেলায় কয়টি দল অংশগ্রহণ করে?")</f>
        <v>বলি খেলায়, একটি খেলায় কয়টি দল অংশগ্রহণ করে?</v>
      </c>
      <c r="K5" s="4" t="str">
        <f>IFERROR(__xludf.DUMMYFUNCTION("GOOGLETRANSLATE(C5, ""en"", ""bn"")"),"ক) ১, খ) ২, গ) ৩, ঘ) ৪")</f>
        <v>ক) ১, খ) ২, গ) ৩, ঘ) ৪</v>
      </c>
      <c r="L5" s="4" t="str">
        <f>IFERROR(__xludf.DUMMYFUNCTION("GOOGLETRANSLATE(D5, ""en"", ""bn"")"),"খ) ২")</f>
        <v>খ) ২</v>
      </c>
      <c r="M5" s="4" t="str">
        <f>IFERROR(__xludf.DUMMYFUNCTION("GOOGLETRANSLATE(E5, ""en"", ""bn"")"),"একটি ম্যাচে দুটি দল একে অপরের বিরুদ্ধে প্রতিদ্বন্দ্বিতা করে।")</f>
        <v>একটি ম্যাচে দুটি দল একে অপরের বিরুদ্ধে প্রতিদ্বন্দ্বিতা করে।</v>
      </c>
    </row>
    <row r="6">
      <c r="A6" s="3">
        <v>5.0</v>
      </c>
      <c r="B6" s="3" t="s">
        <v>26</v>
      </c>
      <c r="C6" s="3" t="s">
        <v>27</v>
      </c>
      <c r="D6" s="3" t="s">
        <v>28</v>
      </c>
      <c r="E6" s="3" t="s">
        <v>29</v>
      </c>
      <c r="I6" s="4" t="str">
        <f>IFERROR(__xludf.DUMMYFUNCTION("GOOGLETRANSLATE(A6, ""en"", ""bn"")"),"৫")</f>
        <v>৫</v>
      </c>
      <c r="J6" s="4" t="str">
        <f>IFERROR(__xludf.DUMMYFUNCTION("GOOGLETRANSLATE(B6, ""en"", ""bn"")"),"বলি খেলায় ব্যবহৃত পাথরের নাম কী?")</f>
        <v>বলি খেলায় ব্যবহৃত পাথরের নাম কী?</v>
      </c>
      <c r="K6" s="4" t="str">
        <f>IFERROR(__xludf.DUMMYFUNCTION("GOOGLETRANSLATE(C6, ""en"", ""bn"")"),"ক) বলি, খ) খিল, গ) গোলা, ঘ) পট")</f>
        <v>ক) বলি, খ) খিল, গ) গোলা, ঘ) পট</v>
      </c>
      <c r="L6" s="4" t="str">
        <f>IFERROR(__xludf.DUMMYFUNCTION("GOOGLETRANSLATE(D6, ""en"", ""bn"")"),"ক) বলি")</f>
        <v>ক) বলি</v>
      </c>
      <c r="M6" s="4" t="str">
        <f>IFERROR(__xludf.DUMMYFUNCTION("GOOGLETRANSLATE(E6, ""en"", ""bn"")"),"খেলায় ব্যবহৃত পাথরটিকে 'বলি' বলা হয়।")</f>
        <v>খেলায় ব্যবহৃত পাথরটিকে 'বলি' বলা হয়।</v>
      </c>
    </row>
    <row r="7">
      <c r="A7" s="3">
        <v>6.0</v>
      </c>
      <c r="B7" s="3" t="s">
        <v>30</v>
      </c>
      <c r="C7" s="3" t="s">
        <v>31</v>
      </c>
      <c r="D7" s="3" t="s">
        <v>32</v>
      </c>
      <c r="E7" s="3" t="s">
        <v>33</v>
      </c>
      <c r="I7" s="4" t="str">
        <f>IFERROR(__xludf.DUMMYFUNCTION("GOOGLETRANSLATE(A7, ""en"", ""bn"")"),"৬")</f>
        <v>৬</v>
      </c>
      <c r="J7" s="4" t="str">
        <f>IFERROR(__xludf.DUMMYFUNCTION("GOOGLETRANSLATE(B7, ""en"", ""bn"")"),"বলি খেলায় পাথর নিক্ষেপের জন্য প্রয়োজনীয় দূরত্ব কত?")</f>
        <v>বলি খেলায় পাথর নিক্ষেপের জন্য প্রয়োজনীয় দূরত্ব কত?</v>
      </c>
      <c r="K7" s="4" t="str">
        <f>IFERROR(__xludf.DUMMYFUNCTION("GOOGLETRANSLATE(C7, ""en"", ""bn"")"),"ক) ১০ মিটার, খ) ২০ মিটার, গ) ৩০ মিটার, ঘ) ৪০ মিটার")</f>
        <v>ক) ১০ মিটার, খ) ২০ মিটার, গ) ৩০ মিটার, ঘ) ৪০ মিটার</v>
      </c>
      <c r="L7" s="4" t="str">
        <f>IFERROR(__xludf.DUMMYFUNCTION("GOOGLETRANSLATE(D7, ""en"", ""bn"")"),"খ) ২০ মিটার")</f>
        <v>খ) ২০ মিটার</v>
      </c>
      <c r="M7" s="4" t="str">
        <f>IFERROR(__xludf.DUMMYFUNCTION("GOOGLETRANSLATE(E7, ""en"", ""bn"")"),"লক্ষ্যবস্তুতে আঘাত করার জন্য পাথরটি ২০ মিটার দূরত্বে নিক্ষেপ করতে হবে।")</f>
        <v>লক্ষ্যবস্তুতে আঘাত করার জন্য পাথরটি ২০ মিটার দূরত্বে নিক্ষেপ করতে হবে।</v>
      </c>
    </row>
    <row r="8">
      <c r="A8" s="3">
        <v>7.0</v>
      </c>
      <c r="B8" s="3" t="s">
        <v>34</v>
      </c>
      <c r="C8" s="3" t="s">
        <v>35</v>
      </c>
      <c r="D8" s="3" t="s">
        <v>36</v>
      </c>
      <c r="E8" s="3" t="s">
        <v>37</v>
      </c>
      <c r="I8" s="4" t="str">
        <f>IFERROR(__xludf.DUMMYFUNCTION("GOOGLETRANSLATE(A8, ""en"", ""bn"")"),"৭")</f>
        <v>৭</v>
      </c>
      <c r="J8" s="4" t="str">
        <f>IFERROR(__xludf.DUMMYFUNCTION("GOOGLETRANSLATE(B8, ""en"", ""bn"")"),"বলি খেলায় লক্ষ্যবস্তুর আকার কত?")</f>
        <v>বলি খেলায় লক্ষ্যবস্তুর আকার কত?</v>
      </c>
      <c r="K8" s="4" t="str">
        <f>IFERROR(__xludf.DUMMYFUNCTION("GOOGLETRANSLATE(C8, ""en"", ""bn"")"),"ক) ১ মিটার ব্যাস, খ) ২ মিটার ব্যাস, গ) ৩ মিটার ব্যাস, ঘ) ৪ মিটার ব্যাস")</f>
        <v>ক) ১ মিটার ব্যাস, খ) ২ মিটার ব্যাস, গ) ৩ মিটার ব্যাস, ঘ) ৪ মিটার ব্যাস</v>
      </c>
      <c r="L8" s="4" t="str">
        <f>IFERROR(__xludf.DUMMYFUNCTION("GOOGLETRANSLATE(D8, ""en"", ""bn"")"),"খ) ব্যাস ২ মিটার")</f>
        <v>খ) ব্যাস ২ মিটার</v>
      </c>
      <c r="M8" s="4" t="str">
        <f>IFERROR(__xludf.DUMMYFUNCTION("GOOGLETRANSLATE(E8, ""en"", ""bn"")"),"লক্ষ্যবস্তুর ব্যাস ২ মিটার।")</f>
        <v>লক্ষ্যবস্তুর ব্যাস ২ মিটার।</v>
      </c>
    </row>
    <row r="9">
      <c r="A9" s="3">
        <v>8.0</v>
      </c>
      <c r="B9" s="3" t="s">
        <v>38</v>
      </c>
      <c r="C9" s="3" t="s">
        <v>39</v>
      </c>
      <c r="D9" s="3" t="s">
        <v>40</v>
      </c>
      <c r="E9" s="3" t="s">
        <v>41</v>
      </c>
      <c r="I9" s="4" t="str">
        <f>IFERROR(__xludf.DUMMYFUNCTION("GOOGLETRANSLATE(A9, ""en"", ""bn"")"),"৮")</f>
        <v>৮</v>
      </c>
      <c r="J9" s="4" t="str">
        <f>IFERROR(__xludf.DUMMYFUNCTION("GOOGLETRANSLATE(B9, ""en"", ""bn"")"),"বলি খেলায় যদি পাথরটি লক্ষ্যবস্তুতে আঘাত করে তাহলে কী হবে?")</f>
        <v>বলি খেলায় যদি পাথরটি লক্ষ্যবস্তুতে আঘাত করে তাহলে কী হবে?</v>
      </c>
      <c r="K9" s="4" t="str">
        <f>IFERROR(__xludf.DUMMYFUNCTION("GOOGLETRANSLATE(C9, ""en"", ""bn"")"),"ক) খেলা শেষ, খ) দলটি একটি পয়েন্ট অর্জন করে, গ) দলটি অযোগ্য ঘোষণা করা হয়, ঘ) খেলাটি কোনও পরিবর্তন ছাড়াই চলতে থাকে")</f>
        <v>ক) খেলা শেষ, খ) দলটি একটি পয়েন্ট অর্জন করে, গ) দলটি অযোগ্য ঘোষণা করা হয়, ঘ) খেলাটি কোনও পরিবর্তন ছাড়াই চলতে থাকে</v>
      </c>
      <c r="L9" s="4" t="str">
        <f>IFERROR(__xludf.DUMMYFUNCTION("GOOGLETRANSLATE(D9, ""en"", ""bn"")"),"খ) দলটি একটি পয়েন্ট অর্জন করে")</f>
        <v>খ) দলটি একটি পয়েন্ট অর্জন করে</v>
      </c>
      <c r="M9" s="4" t="str">
        <f>IFERROR(__xludf.DUMMYFUNCTION("GOOGLETRANSLATE(E9, ""en"", ""bn"")"),"লক্ষ্যবস্তুতে আঘাত করলে দল একটি পয়েন্ট পাবে।")</f>
        <v>লক্ষ্যবস্তুতে আঘাত করলে দল একটি পয়েন্ট পাবে।</v>
      </c>
    </row>
    <row r="10">
      <c r="A10" s="3">
        <v>9.0</v>
      </c>
      <c r="B10" s="3" t="s">
        <v>42</v>
      </c>
      <c r="C10" s="3" t="s">
        <v>43</v>
      </c>
      <c r="D10" s="3" t="s">
        <v>44</v>
      </c>
      <c r="E10" s="3" t="s">
        <v>45</v>
      </c>
      <c r="I10" s="4" t="str">
        <f>IFERROR(__xludf.DUMMYFUNCTION("GOOGLETRANSLATE(A10, ""en"", ""bn"")"),"৯")</f>
        <v>৯</v>
      </c>
      <c r="J10" s="4" t="str">
        <f>IFERROR(__xludf.DUMMYFUNCTION("GOOGLETRANSLATE(B10, ""en"", ""bn"")"),"বলি খেলায়, বিজয়ী দল কীভাবে নির্ধারিত হয়?")</f>
        <v>বলি খেলায়, বিজয়ী দল কীভাবে নির্ধারিত হয়?</v>
      </c>
      <c r="K10" s="4" t="str">
        <f>IFERROR(__xludf.DUMMYFUNCTION("GOOGLETRANSLATE(C10, ""en"", ""bn"")"),"ক) সর্বোচ্চ সংখ্যক পয়েন্টের ভিত্তিতে, খ) দ্রুততম নিক্ষেপের ভিত্তিতে, গ) সর্বাধিক সংখ্যক সফল নিক্ষেপের ভিত্তিতে, ঘ) দীর্ঘতম দূরত্বের নিক্ষেপের ভিত্তিতে")</f>
        <v>ক) সর্বোচ্চ সংখ্যক পয়েন্টের ভিত্তিতে, খ) দ্রুততম নিক্ষেপের ভিত্তিতে, গ) সর্বাধিক সংখ্যক সফল নিক্ষেপের ভিত্তিতে, ঘ) দীর্ঘতম দূরত্বের নিক্ষেপের ভিত্তিতে</v>
      </c>
      <c r="L10" s="4" t="str">
        <f>IFERROR(__xludf.DUMMYFUNCTION("GOOGLETRANSLATE(D10, ""en"", ""bn"")"),"ক) সর্বোচ্চ পয়েন্ট সংখ্যা অনুসারে")</f>
        <v>ক) সর্বোচ্চ পয়েন্ট সংখ্যা অনুসারে</v>
      </c>
      <c r="M10" s="4" t="str">
        <f>IFERROR(__xludf.DUMMYFUNCTION("GOOGLETRANSLATE(E10, ""en"", ""bn"")"),"সর্বোচ্চ স্কোরকারী দল ম্যাচটি জিতে।")</f>
        <v>সর্বোচ্চ স্কোরকারী দল ম্যাচটি জিতে।</v>
      </c>
    </row>
    <row r="11">
      <c r="A11" s="3">
        <v>10.0</v>
      </c>
      <c r="B11" s="3" t="s">
        <v>46</v>
      </c>
      <c r="C11" s="3" t="s">
        <v>47</v>
      </c>
      <c r="D11" s="3" t="s">
        <v>48</v>
      </c>
      <c r="E11" s="3" t="s">
        <v>49</v>
      </c>
      <c r="I11" s="4" t="str">
        <f>IFERROR(__xludf.DUMMYFUNCTION("GOOGLETRANSLATE(A11, ""en"", ""bn"")"),"১০")</f>
        <v>১০</v>
      </c>
      <c r="J11" s="4" t="str">
        <f>IFERROR(__xludf.DUMMYFUNCTION("GOOGLETRANSLATE(B11, ""en"", ""bn"")"),"বলি খেলা বছরের ঐতিহ্যবাহী সময় কোনটি?")</f>
        <v>বলি খেলা বছরের ঐতিহ্যবাহী সময় কোনটি?</v>
      </c>
      <c r="K11" s="4" t="str">
        <f>IFERROR(__xludf.DUMMYFUNCTION("GOOGLETRANSLATE(C11, ""en"", ""bn"")"),"ক) শীতকাল, খ) বসন্তকাল, গ) গ্রীষ্মকাল, ঘ) শরৎকাল")</f>
        <v>ক) শীতকাল, খ) বসন্তকাল, গ) গ্রীষ্মকাল, ঘ) শরৎকাল</v>
      </c>
      <c r="L11" s="4" t="str">
        <f>IFERROR(__xludf.DUMMYFUNCTION("GOOGLETRANSLATE(D11, ""en"", ""bn"")"),"খ) বসন্তকাল")</f>
        <v>খ) বসন্তকাল</v>
      </c>
      <c r="M11" s="4" t="str">
        <f>IFERROR(__xludf.DUMMYFUNCTION("GOOGLETRANSLATE(E11, ""en"", ""bn"")"),"বাংলাদেশে ঐতিহ্যবাহীভাবে বসন্তকালে বলি খেলা খেলা হয়।")</f>
        <v>বাংলাদেশে ঐতিহ্যবাহীভাবে বসন্তকালে বলি খেলা খেলা হয়।</v>
      </c>
    </row>
    <row r="12">
      <c r="A12" s="3">
        <v>11.0</v>
      </c>
      <c r="B12" s="3" t="s">
        <v>50</v>
      </c>
      <c r="C12" s="3" t="s">
        <v>51</v>
      </c>
      <c r="D12" s="3" t="s">
        <v>52</v>
      </c>
      <c r="E12" s="3" t="s">
        <v>53</v>
      </c>
      <c r="I12" s="4" t="str">
        <f>IFERROR(__xludf.DUMMYFUNCTION("GOOGLETRANSLATE(A12, ""en"", ""bn"")"),"১১")</f>
        <v>১১</v>
      </c>
      <c r="J12" s="4" t="str">
        <f>IFERROR(__xludf.DUMMYFUNCTION("GOOGLETRANSLATE(B12, ""en"", ""bn"")"),"বলি খেলা খেলার সময় সাধারণ ভিড় কেমন হয়?")</f>
        <v>বলি খেলা খেলার সময় সাধারণ ভিড় কেমন হয়?</v>
      </c>
      <c r="K12" s="4" t="str">
        <f>IFERROR(__xludf.DUMMYFUNCTION("GOOGLETRANSLATE(C12, ""en"", ""bn"")"),"ক) ছোট দল, খ) পরিবার এবং বন্ধুবান্ধব, গ) উৎসবমুখর জনতা, ঘ) দর্শকহীন")</f>
        <v>ক) ছোট দল, খ) পরিবার এবং বন্ধুবান্ধব, গ) উৎসবমুখর জনতা, ঘ) দর্শকহীন</v>
      </c>
      <c r="L12" s="4" t="str">
        <f>IFERROR(__xludf.DUMMYFUNCTION("GOOGLETRANSLATE(D12, ""en"", ""bn"")"),"গ) উৎসবমুখর জনতা")</f>
        <v>গ) উৎসবমুখর জনতা</v>
      </c>
      <c r="M12" s="4" t="str">
        <f>IFERROR(__xludf.DUMMYFUNCTION("GOOGLETRANSLATE(E12, ""en"", ""bn"")"),"বলি খেলা সাধারণত প্রচুর জনসমাগম এবং উৎসবমুখর সমাবেশের মাধ্যমে উদযাপিত হয়।")</f>
        <v>বলি খেলা সাধারণত প্রচুর জনসমাগম এবং উৎসবমুখর সমাবেশের মাধ্যমে উদযাপিত হয়।</v>
      </c>
    </row>
    <row r="13">
      <c r="A13" s="3">
        <v>12.0</v>
      </c>
      <c r="B13" s="3" t="s">
        <v>54</v>
      </c>
      <c r="C13" s="3" t="s">
        <v>55</v>
      </c>
      <c r="D13" s="3" t="s">
        <v>56</v>
      </c>
      <c r="E13" s="3" t="s">
        <v>57</v>
      </c>
      <c r="I13" s="4" t="str">
        <f>IFERROR(__xludf.DUMMYFUNCTION("GOOGLETRANSLATE(A13, ""en"", ""bn"")"),"১২")</f>
        <v>১২</v>
      </c>
      <c r="J13" s="4" t="str">
        <f>IFERROR(__xludf.DUMMYFUNCTION("GOOGLETRANSLATE(B13, ""en"", ""bn"")"),"বলি খেলায় খেলোয়াড়রা তাদের লক্ষ্যবস্তু চিহ্নিত করতে কী ব্যবহার করে?")</f>
        <v>বলি খেলায় খেলোয়াড়রা তাদের লক্ষ্যবস্তু চিহ্নিত করতে কী ব্যবহার করে?</v>
      </c>
      <c r="K13" s="4" t="str">
        <f>IFERROR(__xludf.DUMMYFUNCTION("GOOGLETRANSLATE(C13, ""en"", ""bn"")"),"ক) একটি পতাকা, খ) চক, গ) একটি আঁকা বৃত্ত, ঘ) একটি পাথর")</f>
        <v>ক) একটি পতাকা, খ) চক, গ) একটি আঁকা বৃত্ত, ঘ) একটি পাথর</v>
      </c>
      <c r="L13" s="4" t="str">
        <f>IFERROR(__xludf.DUMMYFUNCTION("GOOGLETRANSLATE(D13, ""en"", ""bn"")"),"গ) একটি আঁকা বৃত্ত")</f>
        <v>গ) একটি আঁকা বৃত্ত</v>
      </c>
      <c r="M13" s="4" t="str">
        <f>IFERROR(__xludf.DUMMYFUNCTION("GOOGLETRANSLATE(E13, ""en"", ""bn"")"),"স্পষ্টতার জন্য লক্ষ্যবস্তুটি একটি আঁকা বৃত্ত দিয়ে চিহ্নিত করা হয়েছে।")</f>
        <v>স্পষ্টতার জন্য লক্ষ্যবস্তুটি একটি আঁকা বৃত্ত দিয়ে চিহ্নিত করা হয়েছে।</v>
      </c>
    </row>
    <row r="14">
      <c r="A14" s="3">
        <v>13.0</v>
      </c>
      <c r="B14" s="3" t="s">
        <v>58</v>
      </c>
      <c r="C14" s="3" t="s">
        <v>59</v>
      </c>
      <c r="D14" s="3" t="s">
        <v>60</v>
      </c>
      <c r="E14" s="3" t="s">
        <v>61</v>
      </c>
      <c r="I14" s="4" t="str">
        <f>IFERROR(__xludf.DUMMYFUNCTION("GOOGLETRANSLATE(A14, ""en"", ""bn"")"),"১৩")</f>
        <v>১৩</v>
      </c>
      <c r="J14" s="4" t="str">
        <f>IFERROR(__xludf.DUMMYFUNCTION("GOOGLETRANSLATE(B14, ""en"", ""bn"")"),"বলি খেলায় প্রতিটি দলে কতজন খেলোয়াড় থাকে?")</f>
        <v>বলি খেলায় প্রতিটি দলে কতজন খেলোয়াড় থাকে?</v>
      </c>
      <c r="K14" s="4" t="str">
        <f>IFERROR(__xludf.DUMMYFUNCTION("GOOGLETRANSLATE(C14, ""en"", ""bn"")"),"ক) ২-৩ জন খেলোয়াড়, খ) ৪-৫ জন খেলোয়াড়, গ) ৬-৭ জন খেলোয়াড়, ঘ) ১০-১২ জন খেলোয়াড়")</f>
        <v>ক) ২-৩ জন খেলোয়াড়, খ) ৪-৫ জন খেলোয়াড়, গ) ৬-৭ জন খেলোয়াড়, ঘ) ১০-১২ জন খেলোয়াড়</v>
      </c>
      <c r="L14" s="4" t="str">
        <f>IFERROR(__xludf.DUMMYFUNCTION("GOOGLETRANSLATE(D14, ""en"", ""bn"")"),"খ) ৪-৫ জন খেলোয়াড়")</f>
        <v>খ) ৪-৫ জন খেলোয়াড়</v>
      </c>
      <c r="M14" s="4" t="str">
        <f>IFERROR(__xludf.DUMMYFUNCTION("GOOGLETRANSLATE(E14, ""en"", ""bn"")"),"প্রতিটি দলে ৪-৫ জন খেলোয়াড় থাকে, যারা বলি খেলায় অংশগ্রহণ করে।")</f>
        <v>প্রতিটি দলে ৪-৫ জন খেলোয়াড় থাকে, যারা বলি খেলায় অংশগ্রহণ করে।</v>
      </c>
    </row>
    <row r="15">
      <c r="A15" s="3">
        <v>14.0</v>
      </c>
      <c r="B15" s="3" t="s">
        <v>62</v>
      </c>
      <c r="C15" s="3" t="s">
        <v>63</v>
      </c>
      <c r="D15" s="3" t="s">
        <v>64</v>
      </c>
      <c r="E15" s="3" t="s">
        <v>65</v>
      </c>
      <c r="I15" s="4" t="str">
        <f>IFERROR(__xludf.DUMMYFUNCTION("GOOGLETRANSLATE(A15, ""en"", ""bn"")"),"১৪")</f>
        <v>১৪</v>
      </c>
      <c r="J15" s="4" t="str">
        <f>IFERROR(__xludf.DUMMYFUNCTION("GOOGLETRANSLATE(B15, ""en"", ""bn"")"),"বলি খেলায় পাথর ছুঁড়ে মারা খেলোয়াড়ের ভূমিকা কী?")</f>
        <v>বলি খেলায় পাথর ছুঁড়ে মারা খেলোয়াড়ের ভূমিকা কী?</v>
      </c>
      <c r="K15" s="4" t="str">
        <f>IFERROR(__xludf.DUMMYFUNCTION("GOOGLETRANSLATE(C15, ""en"", ""bn"")"),"ক) ডিফেন্ডার, খ) আক্রমণকারী, গ) গোলরক্ষক, ঘ) কোন নির্দিষ্ট ভূমিকা নেই")</f>
        <v>ক) ডিফেন্ডার, খ) আক্রমণকারী, গ) গোলরক্ষক, ঘ) কোন নির্দিষ্ট ভূমিকা নেই</v>
      </c>
      <c r="L15" s="4" t="str">
        <f>IFERROR(__xludf.DUMMYFUNCTION("GOOGLETRANSLATE(D15, ""en"", ""bn"")"),"খ) আক্রমণকারী")</f>
        <v>খ) আক্রমণকারী</v>
      </c>
      <c r="M15" s="4" t="str">
        <f>IFERROR(__xludf.DUMMYFUNCTION("GOOGLETRANSLATE(E15, ""en"", ""bn"")"),"যে খেলোয়াড় পাথর ছুঁড়ে মারে সে আক্রমণকারী, লক্ষ্যবস্তুকে ছিটকে ফেলার লক্ষ্যে।")</f>
        <v>যে খেলোয়াড় পাথর ছুঁড়ে মারে সে আক্রমণকারী, লক্ষ্যবস্তুকে ছিটকে ফেলার লক্ষ্যে।</v>
      </c>
    </row>
    <row r="16">
      <c r="A16" s="3">
        <v>15.0</v>
      </c>
      <c r="B16" s="3" t="s">
        <v>66</v>
      </c>
      <c r="C16" s="3" t="s">
        <v>67</v>
      </c>
      <c r="D16" s="3" t="s">
        <v>68</v>
      </c>
      <c r="E16" s="3" t="s">
        <v>69</v>
      </c>
      <c r="I16" s="4" t="str">
        <f>IFERROR(__xludf.DUMMYFUNCTION("GOOGLETRANSLATE(A16, ""en"", ""bn"")"),"১৫")</f>
        <v>১৫</v>
      </c>
      <c r="J16" s="4" t="str">
        <f>IFERROR(__xludf.DUMMYFUNCTION("GOOGLETRANSLATE(B16, ""en"", ""bn"")"),"বলি খেলায় যদি পাথরটি সঠিকভাবে নিক্ষেপ না করা হয় তাহলে কী হবে?")</f>
        <v>বলি খেলায় যদি পাথরটি সঠিকভাবে নিক্ষেপ না করা হয় তাহলে কী হবে?</v>
      </c>
      <c r="K16" s="4" t="str">
        <f>IFERROR(__xludf.DUMMYFUNCTION("GOOGLETRANSLATE(C16, ""en"", ""bn"")"),"ক) থ্রোটিকে ফাউল হিসেবে বিবেচনা করা হয়, খ) দল একটি পয়েন্ট হারায়, গ) থ্রোটি পুনরাবৃত্তি হয়, ঘ) খেলা শেষ হয়")</f>
        <v>ক) থ্রোটিকে ফাউল হিসেবে বিবেচনা করা হয়, খ) দল একটি পয়েন্ট হারায়, গ) থ্রোটি পুনরাবৃত্তি হয়, ঘ) খেলা শেষ হয়</v>
      </c>
      <c r="L16" s="4" t="str">
        <f>IFERROR(__xludf.DUMMYFUNCTION("GOOGLETRANSLATE(D16, ""en"", ""bn"")"),"গ) নিক্ষেপটি পুনরাবৃত্তি হয়")</f>
        <v>গ) নিক্ষেপটি পুনরাবৃত্তি হয়</v>
      </c>
      <c r="M16" s="4" t="str">
        <f>IFERROR(__xludf.DUMMYFUNCTION("GOOGLETRANSLATE(E16, ""en"", ""bn"")"),"অনুপযুক্ত থ্রোগুলি জরিমানা ছাড়াই পুনরাবৃত্তি করার অনুমতি রয়েছে।")</f>
        <v>অনুপযুক্ত থ্রোগুলি জরিমানা ছাড়াই পুনরাবৃত্তি করার অনুমতি রয়েছে।</v>
      </c>
    </row>
    <row r="17">
      <c r="A17" s="3">
        <v>16.0</v>
      </c>
      <c r="B17" s="3" t="s">
        <v>70</v>
      </c>
      <c r="C17" s="3" t="s">
        <v>71</v>
      </c>
      <c r="D17" s="3" t="s">
        <v>72</v>
      </c>
      <c r="E17" s="3" t="s">
        <v>73</v>
      </c>
      <c r="I17" s="4" t="str">
        <f>IFERROR(__xludf.DUMMYFUNCTION("GOOGLETRANSLATE(A17, ""en"", ""bn"")"),"১৬")</f>
        <v>১৬</v>
      </c>
      <c r="J17" s="4" t="str">
        <f>IFERROR(__xludf.DUMMYFUNCTION("GOOGLETRANSLATE(B17, ""en"", ""bn"")"),"বলি খেলায়, প্রতিটি দল পাথর ছুঁড়ে মারার জন্য কতবার চেষ্টা করে?")</f>
        <v>বলি খেলায়, প্রতিটি দল পাথর ছুঁড়ে মারার জন্য কতবার চেষ্টা করে?</v>
      </c>
      <c r="K17" s="4" t="str">
        <f>IFERROR(__xludf.DUMMYFUNCTION("GOOGLETRANSLATE(C17, ""en"", ""bn"")"),"ক) প্রতি খেলোয়াড়ের জন্য একটি প্রচেষ্টা, খ) প্রতি খেলোয়াড়ের জন্য দুটি প্রচেষ্টা, গ) প্রতি রাউন্ডে একটি প্রচেষ্টা, ঘ) সীমাহীন প্রচেষ্টা")</f>
        <v>ক) প্রতি খেলোয়াড়ের জন্য একটি প্রচেষ্টা, খ) প্রতি খেলোয়াড়ের জন্য দুটি প্রচেষ্টা, গ) প্রতি রাউন্ডে একটি প্রচেষ্টা, ঘ) সীমাহীন প্রচেষ্টা</v>
      </c>
      <c r="L17" s="4" t="str">
        <f>IFERROR(__xludf.DUMMYFUNCTION("GOOGLETRANSLATE(D17, ""en"", ""bn"")"),"ক) প্রতি খেলোয়াড়ের জন্য একটি প্রচেষ্টা")</f>
        <v>ক) প্রতি খেলোয়াড়ের জন্য একটি প্রচেষ্টা</v>
      </c>
      <c r="M17" s="4" t="str">
        <f>IFERROR(__xludf.DUMMYFUNCTION("GOOGLETRANSLATE(E17, ""en"", ""bn"")"),"প্রতিটি খেলোয়াড় একটি রাউন্ডের সময় পাথর নিক্ষেপের জন্য একবার চেষ্টা করতে পারে।")</f>
        <v>প্রতিটি খেলোয়াড় একটি রাউন্ডের সময় পাথর নিক্ষেপের জন্য একবার চেষ্টা করতে পারে।</v>
      </c>
    </row>
    <row r="18">
      <c r="A18" s="3">
        <v>17.0</v>
      </c>
      <c r="B18" s="3" t="s">
        <v>74</v>
      </c>
      <c r="C18" s="3" t="s">
        <v>75</v>
      </c>
      <c r="D18" s="3" t="s">
        <v>76</v>
      </c>
      <c r="E18" s="3" t="s">
        <v>77</v>
      </c>
      <c r="I18" s="4" t="str">
        <f>IFERROR(__xludf.DUMMYFUNCTION("GOOGLETRANSLATE(A18, ""en"", ""bn"")"),"১৭")</f>
        <v>১৭</v>
      </c>
      <c r="J18" s="4" t="str">
        <f>IFERROR(__xludf.DUMMYFUNCTION("GOOGLETRANSLATE(B18, ""en"", ""bn"")"),"বলি খেলা শুরুর জন্য কে দায়ী?")</f>
        <v>বলি খেলা শুরুর জন্য কে দায়ী?</v>
      </c>
      <c r="K18" s="4" t="str">
        <f>IFERROR(__xludf.DUMMYFUNCTION("GOOGLETRANSLATE(C18, ""en"", ""bn"")"),"ক) রেফারি, খ) দলের অধিনায়ক, গ) দর্শক, ঘ) একজন স্থানীয় প্রবীণ")</f>
        <v>ক) রেফারি, খ) দলের অধিনায়ক, গ) দর্শক, ঘ) একজন স্থানীয় প্রবীণ</v>
      </c>
      <c r="L18" s="4" t="str">
        <f>IFERROR(__xludf.DUMMYFUNCTION("GOOGLETRANSLATE(D18, ""en"", ""bn"")"),"ক) রেফারি")</f>
        <v>ক) রেফারি</v>
      </c>
      <c r="M18" s="4" t="str">
        <f>IFERROR(__xludf.DUMMYFUNCTION("GOOGLETRANSLATE(E18, ""en"", ""bn"")"),"খেলাটি রেফারি দ্বারা শুরু করা হয়, যিনি নিয়ম এবং সময় তত্ত্বাবধান করেন।")</f>
        <v>খেলাটি রেফারি দ্বারা শুরু করা হয়, যিনি নিয়ম এবং সময় তত্ত্বাবধান করেন।</v>
      </c>
    </row>
    <row r="19">
      <c r="A19" s="3">
        <v>18.0</v>
      </c>
      <c r="B19" s="3" t="s">
        <v>78</v>
      </c>
      <c r="C19" s="3" t="s">
        <v>79</v>
      </c>
      <c r="D19" s="3" t="s">
        <v>80</v>
      </c>
      <c r="E19" s="3" t="s">
        <v>81</v>
      </c>
      <c r="I19" s="4" t="str">
        <f>IFERROR(__xludf.DUMMYFUNCTION("GOOGLETRANSLATE(A19, ""en"", ""bn"")"),"১৮")</f>
        <v>১৮</v>
      </c>
      <c r="J19" s="4" t="str">
        <f>IFERROR(__xludf.DUMMYFUNCTION("GOOGLETRANSLATE(B19, ""en"", ""bn"")"),"বলি খেলায় যদি পাথরটি লক্ষ্যভ্রষ্ট হয়ে যায় তাহলে কী হবে?")</f>
        <v>বলি খেলায় যদি পাথরটি লক্ষ্যভ্রষ্ট হয়ে যায় তাহলে কী হবে?</v>
      </c>
      <c r="K19" s="4" t="str">
        <f>IFERROR(__xludf.DUMMYFUNCTION("GOOGLETRANSLATE(C19, ""en"", ""bn"")"),"ক) অন্য দলটি ছুঁড়ে মারার সুযোগ পায়, খ) রাউন্ড চলতে থাকে, গ) দলটি একটি পয়েন্ট হারায়, ঘ) পাথরটি পুনরায় সেট করা হয়")</f>
        <v>ক) অন্য দলটি ছুঁড়ে মারার সুযোগ পায়, খ) রাউন্ড চলতে থাকে, গ) দলটি একটি পয়েন্ট হারায়, ঘ) পাথরটি পুনরায় সেট করা হয়</v>
      </c>
      <c r="L19" s="4" t="str">
        <f>IFERROR(__xludf.DUMMYFUNCTION("GOOGLETRANSLATE(D19, ""en"", ""bn"")"),"খ) রাউন্ডটি চলতে থাকে")</f>
        <v>খ) রাউন্ডটি চলতে থাকে</v>
      </c>
      <c r="M19" s="4" t="str">
        <f>IFERROR(__xludf.DUMMYFUNCTION("GOOGLETRANSLATE(E19, ""en"", ""bn"")"),"যদি পাথরটি লক্ষ্যভ্রষ্ট হয়, তাহলে সমস্ত খেলোয়াড় নিক্ষেপ না করা পর্যন্ত রাউন্ডটি চলতে থাকে।")</f>
        <v>যদি পাথরটি লক্ষ্যভ্রষ্ট হয়, তাহলে সমস্ত খেলোয়াড় নিক্ষেপ না করা পর্যন্ত রাউন্ডটি চলতে থাকে।</v>
      </c>
    </row>
    <row r="20">
      <c r="A20" s="3">
        <v>19.0</v>
      </c>
      <c r="B20" s="3" t="s">
        <v>82</v>
      </c>
      <c r="C20" s="3" t="s">
        <v>83</v>
      </c>
      <c r="D20" s="3" t="s">
        <v>84</v>
      </c>
      <c r="E20" s="3" t="s">
        <v>85</v>
      </c>
      <c r="I20" s="4" t="str">
        <f>IFERROR(__xludf.DUMMYFUNCTION("GOOGLETRANSLATE(A20, ""en"", ""bn"")"),"১৯")</f>
        <v>১৯</v>
      </c>
      <c r="J20" s="4" t="str">
        <f>IFERROR(__xludf.DUMMYFUNCTION("GOOGLETRANSLATE(B20, ""en"", ""bn"")"),"বলি খেলায়, নিক্ষেপের সময় নিচের কোনটি নিষিদ্ধ?")</f>
        <v>বলি খেলায়, নিক্ষেপের সময় নিচের কোনটি নিষিদ্ধ?</v>
      </c>
      <c r="K20" s="4" t="str">
        <f>IFERROR(__xludf.DUMMYFUNCTION("GOOGLETRANSLATE(C20, ""en"", ""bn"")"),"ক) আন্ডারআর্ম থ্রো, খ) ওভারহেড থ্রো, গ) সাইডআর্ম থ্রো, ঘ) দুই হাত দিয়ে টস করা")</f>
        <v>ক) আন্ডারআর্ম থ্রো, খ) ওভারহেড থ্রো, গ) সাইডআর্ম থ্রো, ঘ) দুই হাত দিয়ে টস করা</v>
      </c>
      <c r="L20" s="4" t="str">
        <f>IFERROR(__xludf.DUMMYFUNCTION("GOOGLETRANSLATE(D20, ""en"", ""bn"")"),"ঘ) দুই হাত দিয়ে ছুঁড়ে মারা")</f>
        <v>ঘ) দুই হাত দিয়ে ছুঁড়ে মারা</v>
      </c>
      <c r="M20" s="4" t="str">
        <f>IFERROR(__xludf.DUMMYFUNCTION("GOOGLETRANSLATE(E20, ""en"", ""bn"")"),"খেলোয়াড়দের উভয় হাতে পাথর ছুঁড়ে মারার অনুমতি নেই।")</f>
        <v>খেলোয়াড়দের উভয় হাতে পাথর ছুঁড়ে মারার অনুমতি নেই।</v>
      </c>
    </row>
    <row r="21">
      <c r="A21" s="3">
        <v>20.0</v>
      </c>
      <c r="B21" s="3" t="s">
        <v>86</v>
      </c>
      <c r="C21" s="3" t="s">
        <v>87</v>
      </c>
      <c r="D21" s="3" t="s">
        <v>88</v>
      </c>
      <c r="E21" s="3" t="s">
        <v>89</v>
      </c>
      <c r="I21" s="4" t="str">
        <f>IFERROR(__xludf.DUMMYFUNCTION("GOOGLETRANSLATE(A21, ""en"", ""bn"")"),"২০")</f>
        <v>২০</v>
      </c>
      <c r="J21" s="4" t="str">
        <f>IFERROR(__xludf.DUMMYFUNCTION("GOOGLETRANSLATE(B21, ""en"", ""bn"")"),"বলি খেলায় সাধারণত কীভাবে পাথর নিক্ষেপ করা হয়?")</f>
        <v>বলি খেলায় সাধারণত কীভাবে পাথর নিক্ষেপ করা হয়?</v>
      </c>
      <c r="K21" s="4" t="str">
        <f>IFERROR(__xludf.DUMMYFUNCTION("GOOGLETRANSLATE(C21, ""en"", ""bn"")"),"ক) এক হাতে, খ) উভয় হাতে, গ) গড়িয়ে, ঘ) লাথি মেরে")</f>
        <v>ক) এক হাতে, খ) উভয় হাতে, গ) গড়িয়ে, ঘ) লাথি মেরে</v>
      </c>
      <c r="L21" s="4" t="str">
        <f>IFERROR(__xludf.DUMMYFUNCTION("GOOGLETRANSLATE(D21, ""en"", ""bn"")"),"ক) এক হাতে")</f>
        <v>ক) এক হাতে</v>
      </c>
      <c r="M21" s="4" t="str">
        <f>IFERROR(__xludf.DUMMYFUNCTION("GOOGLETRANSLATE(E21, ""en"", ""bn"")"),"খেলোয়াড়দের একক হাতে পাথর ছুঁড়তে হবে বলে আশা করা হচ্ছে।")</f>
        <v>খেলোয়াড়দের একক হাতে পাথর ছুঁড়তে হবে বলে আশা করা হচ্ছে।</v>
      </c>
    </row>
    <row r="22">
      <c r="A22" s="3">
        <v>21.0</v>
      </c>
      <c r="B22" s="3" t="s">
        <v>90</v>
      </c>
      <c r="C22" s="3" t="s">
        <v>91</v>
      </c>
      <c r="D22" s="3" t="s">
        <v>92</v>
      </c>
      <c r="E22" s="3" t="s">
        <v>93</v>
      </c>
      <c r="I22" s="4" t="str">
        <f>IFERROR(__xludf.DUMMYFUNCTION("GOOGLETRANSLATE(A22, ""en"", ""bn"")"),"২১")</f>
        <v>২১</v>
      </c>
      <c r="J22" s="4" t="str">
        <f>IFERROR(__xludf.DUMMYFUNCTION("GOOGLETRANSLATE(B22, ""en"", ""bn"")"),"বলি খেলা সাধারণত কোথায় খেলা হয়?")</f>
        <v>বলি খেলা সাধারণত কোথায় খেলা হয়?</v>
      </c>
      <c r="K22" s="4" t="str">
        <f>IFERROR(__xludf.DUMMYFUNCTION("GOOGLETRANSLATE(C22, ""en"", ""bn"")"),"ক) মাঠে, খ) স্টেডিয়ামে, গ) মন্দিরের উঠোনে, ঘ) সমুদ্র সৈকতে")</f>
        <v>ক) মাঠে, খ) স্টেডিয়ামে, গ) মন্দিরের উঠোনে, ঘ) সমুদ্র সৈকতে</v>
      </c>
      <c r="L22" s="4" t="str">
        <f>IFERROR(__xludf.DUMMYFUNCTION("GOOGLETRANSLATE(D22, ""en"", ""bn"")"),"ক) মাঠে")</f>
        <v>ক) মাঠে</v>
      </c>
      <c r="M22" s="4" t="str">
        <f>IFERROR(__xludf.DUMMYFUNCTION("GOOGLETRANSLATE(E22, ""en"", ""bn"")"),"বলি খেলা খোলা মাঠে খেলা হয়, প্রায়শই গ্রামের উৎসবের সময়।")</f>
        <v>বলি খেলা খোলা মাঠে খেলা হয়, প্রায়শই গ্রামের উৎসবের সময়।</v>
      </c>
    </row>
    <row r="23">
      <c r="A23" s="3">
        <v>22.0</v>
      </c>
      <c r="B23" s="3" t="s">
        <v>94</v>
      </c>
      <c r="C23" s="3" t="s">
        <v>95</v>
      </c>
      <c r="D23" s="3" t="s">
        <v>96</v>
      </c>
      <c r="E23" s="3" t="s">
        <v>97</v>
      </c>
      <c r="I23" s="4" t="str">
        <f>IFERROR(__xludf.DUMMYFUNCTION("GOOGLETRANSLATE(A23, ""en"", ""bn"")"),"২২")</f>
        <v>২২</v>
      </c>
      <c r="J23" s="4" t="str">
        <f>IFERROR(__xludf.DUMMYFUNCTION("GOOGLETRANSLATE(B23, ""en"", ""bn"")"),"বলি খেলায় ইচ্ছাকৃতভাবে পাথরের ক্ষতি করার শাস্তি কী?")</f>
        <v>বলি খেলায় ইচ্ছাকৃতভাবে পাথরের ক্ষতি করার শাস্তি কী?</v>
      </c>
      <c r="K23" s="4" t="str">
        <f>IFERROR(__xludf.DUMMYFUNCTION("GOOGLETRANSLATE(C23, ""en"", ""bn"")"),"ক) অযোগ্যতা, খ) পয়েন্ট কর্তন, গ) সতর্কতা, ঘ) কোন জরিমানা নেই")</f>
        <v>ক) অযোগ্যতা, খ) পয়েন্ট কর্তন, গ) সতর্কতা, ঘ) কোন জরিমানা নেই</v>
      </c>
      <c r="L23" s="4" t="str">
        <f>IFERROR(__xludf.DUMMYFUNCTION("GOOGLETRANSLATE(D23, ""en"", ""bn"")"),"ক) অযোগ্যতা")</f>
        <v>ক) অযোগ্যতা</v>
      </c>
      <c r="M23" s="4" t="str">
        <f>IFERROR(__xludf.DUMMYFUNCTION("GOOGLETRANSLATE(E23, ""en"", ""bn"")"),"ইচ্ছাকৃতভাবে পাথরের ক্ষতি করলে অযোগ্যতা হতে পারে।")</f>
        <v>ইচ্ছাকৃতভাবে পাথরের ক্ষতি করলে অযোগ্যতা হতে পারে।</v>
      </c>
    </row>
    <row r="24">
      <c r="A24" s="3">
        <v>23.0</v>
      </c>
      <c r="B24" s="3" t="s">
        <v>98</v>
      </c>
      <c r="C24" s="3" t="s">
        <v>99</v>
      </c>
      <c r="D24" s="3" t="s">
        <v>100</v>
      </c>
      <c r="E24" s="3" t="s">
        <v>101</v>
      </c>
      <c r="I24" s="4" t="str">
        <f>IFERROR(__xludf.DUMMYFUNCTION("GOOGLETRANSLATE(A24, ""en"", ""bn"")"),"২৩")</f>
        <v>২৩</v>
      </c>
      <c r="J24" s="4" t="str">
        <f>IFERROR(__xludf.DUMMYFUNCTION("GOOGLETRANSLATE(B24, ""en"", ""bn"")"),"বলি খেলায় বিরতির পর খেলাটি কীভাবে পুনরায় শুরু হয়?")</f>
        <v>বলি খেলায় বিরতির পর খেলাটি কীভাবে পুনরায় শুরু হয়?</v>
      </c>
      <c r="K24" s="4" t="str">
        <f>IFERROR(__xludf.DUMMYFUNCTION("GOOGLETRANSLATE(C24, ""en"", ""bn"")"),"ক) ফ্রি থ্রো দিয়ে, খ) রেফারির সংকেতে, গ) শেষ পয়েন্টধারী দলটি পুনরায় শুরু করে, ঘ) উভয় দল একই সাথে পুনরায় সেট করে")</f>
        <v>ক) ফ্রি থ্রো দিয়ে, খ) রেফারির সংকেতে, গ) শেষ পয়েন্টধারী দলটি পুনরায় শুরু করে, ঘ) উভয় দল একই সাথে পুনরায় সেট করে</v>
      </c>
      <c r="L24" s="4" t="str">
        <f>IFERROR(__xludf.DUMMYFUNCTION("GOOGLETRANSLATE(D24, ""en"", ""bn"")"),"খ) রেফারির সংকেতে")</f>
        <v>খ) রেফারির সংকেতে</v>
      </c>
      <c r="M24" s="4" t="str">
        <f>IFERROR(__xludf.DUMMYFUNCTION("GOOGLETRANSLATE(E24, ""en"", ""bn"")"),"বিরতির পর রেফারির সংকেতে খেলা আবার শুরু হয়।")</f>
        <v>বিরতির পর রেফারির সংকেতে খেলা আবার শুরু হয়।</v>
      </c>
    </row>
    <row r="25">
      <c r="A25" s="3">
        <v>24.0</v>
      </c>
      <c r="B25" s="3" t="s">
        <v>102</v>
      </c>
      <c r="C25" s="3" t="s">
        <v>103</v>
      </c>
      <c r="D25" s="3" t="s">
        <v>104</v>
      </c>
      <c r="E25" s="3" t="s">
        <v>105</v>
      </c>
      <c r="I25" s="4" t="str">
        <f>IFERROR(__xludf.DUMMYFUNCTION("GOOGLETRANSLATE(A25, ""en"", ""bn"")"),"২৪")</f>
        <v>২৪</v>
      </c>
      <c r="J25" s="4" t="str">
        <f>IFERROR(__xludf.DUMMYFUNCTION("GOOGLETRANSLATE(B25, ""en"", ""bn"")"),"বলি খেলায় নিচের কোন কৌশলটি একটি সাধারণ কৌশল?")</f>
        <v>বলি খেলায় নিচের কোন কৌশলটি একটি সাধারণ কৌশল?</v>
      </c>
      <c r="K25" s="4" t="str">
        <f>IFERROR(__xludf.DUMMYFUNCTION("GOOGLETRANSLATE(C25, ""en"", ""bn"")"),"ক) যত দ্রুত সম্ভব পাথর নিক্ষেপ করা, খ) নির্ভুলতার সাথে পাথর নিক্ষেপ করা, গ) প্রতিপক্ষ দলের মনোযোগ বিক্ষিপ্ত করা, ঘ) লক্ষ্যবস্তু রক্ষা করা")</f>
        <v>ক) যত দ্রুত সম্ভব পাথর নিক্ষেপ করা, খ) নির্ভুলতার সাথে পাথর নিক্ষেপ করা, গ) প্রতিপক্ষ দলের মনোযোগ বিক্ষিপ্ত করা, ঘ) লক্ষ্যবস্তু রক্ষা করা</v>
      </c>
      <c r="L25" s="4" t="str">
        <f>IFERROR(__xludf.DUMMYFUNCTION("GOOGLETRANSLATE(D25, ""en"", ""bn"")"),"খ) নির্ভুলতার সাথে পাথর নিক্ষেপ করা")</f>
        <v>খ) নির্ভুলতার সাথে পাথর নিক্ষেপ করা</v>
      </c>
      <c r="M25" s="4" t="str">
        <f>IFERROR(__xludf.DUMMYFUNCTION("GOOGLETRANSLATE(E25, ""en"", ""bn"")"),"লক্ষ্যবস্তুকে আঘাত করার জন্য পাথর নিক্ষেপের ক্ষেত্রে নির্ভুলতা অত্যন্ত গুরুত্বপূর্ণ।")</f>
        <v>লক্ষ্যবস্তুকে আঘাত করার জন্য পাথর নিক্ষেপের ক্ষেত্রে নির্ভুলতা অত্যন্ত গুরুত্বপূর্ণ।</v>
      </c>
    </row>
    <row r="26">
      <c r="A26" s="3">
        <v>25.0</v>
      </c>
      <c r="B26" s="3" t="s">
        <v>106</v>
      </c>
      <c r="C26" s="3" t="s">
        <v>107</v>
      </c>
      <c r="D26" s="3" t="s">
        <v>108</v>
      </c>
      <c r="E26" s="3" t="s">
        <v>109</v>
      </c>
      <c r="I26" s="4" t="str">
        <f>IFERROR(__xludf.DUMMYFUNCTION("GOOGLETRANSLATE(A26, ""en"", ""bn"")"),"২৫")</f>
        <v>২৫</v>
      </c>
      <c r="J26" s="4" t="str">
        <f>IFERROR(__xludf.DUMMYFUNCTION("GOOGLETRANSLATE(B26, ""en"", ""bn"")"),"বলি খেলায় ডিফেন্ডিং দলের ভূমিকা কী?")</f>
        <v>বলি খেলায় ডিফেন্ডিং দলের ভূমিকা কী?</v>
      </c>
      <c r="K26" s="4" t="str">
        <f>IFERROR(__xludf.DUMMYFUNCTION("GOOGLETRANSLATE(C26, ""en"", ""bn"")"),"ক) পাথর ধরার জন্য, খ) লক্ষ্যবস্তু রক্ষার জন্য, গ) আক্রমণকারীদের মনোযোগ বিক্ষিপ্ত করার জন্য, ঘ) পাথর নিক্ষেপ করার জন্য")</f>
        <v>ক) পাথর ধরার জন্য, খ) লক্ষ্যবস্তু রক্ষার জন্য, গ) আক্রমণকারীদের মনোযোগ বিক্ষিপ্ত করার জন্য, ঘ) পাথর নিক্ষেপ করার জন্য</v>
      </c>
      <c r="L26" s="4" t="str">
        <f>IFERROR(__xludf.DUMMYFUNCTION("GOOGLETRANSLATE(D26, ""en"", ""bn"")"),"খ) লক্ষ্য রক্ষার জন্য")</f>
        <v>খ) লক্ষ্য রক্ষার জন্য</v>
      </c>
      <c r="M26" s="4" t="str">
        <f>IFERROR(__xludf.DUMMYFUNCTION("GOOGLETRANSLATE(E26, ""en"", ""bn"")"),"রক্ষণভাগের দলের প্রধান কাজ হলো পাথরের আঘাত থেকে লক্ষ্যবস্তুকে রক্ষা করা।")</f>
        <v>রক্ষণভাগের দলের প্রধান কাজ হলো পাথরের আঘাত থেকে লক্ষ্যবস্তুকে রক্ষা করা।</v>
      </c>
    </row>
    <row r="27">
      <c r="A27" s="3">
        <v>26.0</v>
      </c>
      <c r="B27" s="3" t="s">
        <v>110</v>
      </c>
      <c r="C27" s="3" t="s">
        <v>111</v>
      </c>
      <c r="D27" s="3" t="s">
        <v>112</v>
      </c>
      <c r="E27" s="3" t="s">
        <v>113</v>
      </c>
      <c r="I27" s="4" t="str">
        <f>IFERROR(__xludf.DUMMYFUNCTION("GOOGLETRANSLATE(A27, ""en"", ""bn"")"),"২৬")</f>
        <v>২৬</v>
      </c>
      <c r="J27" s="4" t="str">
        <f>IFERROR(__xludf.DUMMYFUNCTION("GOOGLETRANSLATE(B27, ""en"", ""bn"")"),"বলি খেলায়, খেলোয়াড়দের প্রশিক্ষণ দেওয়ার সবচেয়ে সাধারণ উপায় কী?")</f>
        <v>বলি খেলায়, খেলোয়াড়দের প্রশিক্ষণ দেওয়ার সবচেয়ে সাধারণ উপায় কী?</v>
      </c>
      <c r="K27" s="4" t="str">
        <f>IFERROR(__xludf.DUMMYFUNCTION("GOOGLETRANSLATE(C27, ""en"", ""bn"")"),"ক) লক্ষ্যবস্তুতে থ্রো অনুশীলন করে, খ) অন্যান্য দলের বিরুদ্ধে খেলে, গ) ভিডিও দেখে, ঘ) দৌড়ের ড্রিল করে")</f>
        <v>ক) লক্ষ্যবস্তুতে থ্রো অনুশীলন করে, খ) অন্যান্য দলের বিরুদ্ধে খেলে, গ) ভিডিও দেখে, ঘ) দৌড়ের ড্রিল করে</v>
      </c>
      <c r="L27" s="4" t="str">
        <f>IFERROR(__xludf.DUMMYFUNCTION("GOOGLETRANSLATE(D27, ""en"", ""bn"")"),"ক) লক্ষ্যবস্তুতে নিক্ষেপ অনুশীলন করে")</f>
        <v>ক) লক্ষ্যবস্তুতে নিক্ষেপ অনুশীলন করে</v>
      </c>
      <c r="M27" s="4" t="str">
        <f>IFERROR(__xludf.DUMMYFUNCTION("GOOGLETRANSLATE(E27, ""en"", ""bn"")"),"খেলোয়াড়রা সাধারণত সঠিকতা উন্নত করার জন্য লক্ষ্যবস্তুতে পাথর নিক্ষেপ করে অনুশীলন করে।")</f>
        <v>খেলোয়াড়রা সাধারণত সঠিকতা উন্নত করার জন্য লক্ষ্যবস্তুতে পাথর নিক্ষেপ করে অনুশীলন করে।</v>
      </c>
    </row>
    <row r="28">
      <c r="A28" s="3">
        <v>27.0</v>
      </c>
      <c r="B28" s="3" t="s">
        <v>114</v>
      </c>
      <c r="C28" s="3" t="s">
        <v>115</v>
      </c>
      <c r="D28" s="3" t="s">
        <v>116</v>
      </c>
      <c r="E28" s="3" t="s">
        <v>117</v>
      </c>
      <c r="I28" s="4" t="str">
        <f>IFERROR(__xludf.DUMMYFUNCTION("GOOGLETRANSLATE(A28, ""en"", ""bn"")"),"২৭")</f>
        <v>২৭</v>
      </c>
      <c r="J28" s="4" t="str">
        <f>IFERROR(__xludf.DUMMYFUNCTION("GOOGLETRANSLATE(B28, ""en"", ""bn"")"),"বাংলাদেশের কোন অঞ্চলটি বলি খেলার জন্য সবচেয়ে বেশি পরিচিত?")</f>
        <v>বাংলাদেশের কোন অঞ্চলটি বলি খেলার জন্য সবচেয়ে বেশি পরিচিত?</v>
      </c>
      <c r="K28" s="4" t="str">
        <f>IFERROR(__xludf.DUMMYFUNCTION("GOOGLETRANSLATE(C28, ""en"", ""bn"")"),"A) ঢাকা, B) চট্টগ্রাম, C) সিলেট, D) খুলনা")</f>
        <v>A) ঢাকা, B) চট্টগ্রাম, C) সিলেট, D) খুলনা</v>
      </c>
      <c r="L28" s="4" t="str">
        <f>IFERROR(__xludf.DUMMYFUNCTION("GOOGLETRANSLATE(D28, ""en"", ""bn"")"),"খ) চট্টগ্রাম")</f>
        <v>খ) চট্টগ্রাম</v>
      </c>
      <c r="M28" s="4" t="str">
        <f>IFERROR(__xludf.DUMMYFUNCTION("GOOGLETRANSLATE(E28, ""en"", ""bn"")"),"বলি খেলা চট্টগ্রাম অঞ্চলে বিশেষভাবে জনপ্রিয়।")</f>
        <v>বলি খেলা চট্টগ্রাম অঞ্চলে বিশেষভাবে জনপ্রিয়।</v>
      </c>
    </row>
    <row r="29">
      <c r="A29" s="3">
        <v>28.0</v>
      </c>
      <c r="B29" s="3" t="s">
        <v>118</v>
      </c>
      <c r="C29" s="3" t="s">
        <v>119</v>
      </c>
      <c r="D29" s="3" t="s">
        <v>120</v>
      </c>
      <c r="E29" s="3" t="s">
        <v>121</v>
      </c>
      <c r="I29" s="4" t="str">
        <f>IFERROR(__xludf.DUMMYFUNCTION("GOOGLETRANSLATE(A29, ""en"", ""bn"")"),"২৮")</f>
        <v>২৮</v>
      </c>
      <c r="J29" s="4" t="str">
        <f>IFERROR(__xludf.DUMMYFUNCTION("GOOGLETRANSLATE(B29, ""en"", ""bn"")"),"বলি খেলাকে অন্যান্য ঐতিহ্যবাহী খেলা থেকে আলাদা করার প্রধান বৈশিষ্ট্য কী?")</f>
        <v>বলি খেলাকে অন্যান্য ঐতিহ্যবাহী খেলা থেকে আলাদা করার প্রধান বৈশিষ্ট্য কী?</v>
      </c>
      <c r="K29" s="4" t="str">
        <f>IFERROR(__xludf.DUMMYFUNCTION("GOOGLETRANSLATE(C29, ""en"", ""bn"")"),"ক) বলের আকার, খ) পাথরের ওজন, গ) লক্ষ্যবস্তুর ধরণ, ঘ) খেলোয়াড়ের সংখ্যা")</f>
        <v>ক) বলের আকার, খ) পাথরের ওজন, গ) লক্ষ্যবস্তুর ধরণ, ঘ) খেলোয়াড়ের সংখ্যা</v>
      </c>
      <c r="L29" s="4" t="str">
        <f>IFERROR(__xludf.DUMMYFUNCTION("GOOGLETRANSLATE(D29, ""en"", ""bn"")"),"খ) পাথরের ওজন")</f>
        <v>খ) পাথরের ওজন</v>
      </c>
      <c r="M29" s="4" t="str">
        <f>IFERROR(__xludf.DUMMYFUNCTION("GOOGLETRANSLATE(E29, ""en"", ""bn"")"),"বলি খেলায় ভারী পাথর ব্যবহার করা হয়, যা সাধারণত ৪-৫ কেজি ওজনের হয়।")</f>
        <v>বলি খেলায় ভারী পাথর ব্যবহার করা হয়, যা সাধারণত ৪-৫ কেজি ওজনের হয়।</v>
      </c>
    </row>
    <row r="30">
      <c r="A30" s="3">
        <v>29.0</v>
      </c>
      <c r="B30" s="3" t="s">
        <v>122</v>
      </c>
      <c r="C30" s="3" t="s">
        <v>123</v>
      </c>
      <c r="D30" s="3" t="s">
        <v>124</v>
      </c>
      <c r="E30" s="3" t="s">
        <v>125</v>
      </c>
      <c r="I30" s="4" t="str">
        <f>IFERROR(__xludf.DUMMYFUNCTION("GOOGLETRANSLATE(A30, ""en"", ""bn"")"),"২৯")</f>
        <v>২৯</v>
      </c>
      <c r="J30" s="4" t="str">
        <f>IFERROR(__xludf.DUMMYFUNCTION("GOOGLETRANSLATE(B30, ""en"", ""bn"")"),"বলি খেলায় সাধারণত কয়টি রাউন্ড খেলা হয়?")</f>
        <v>বলি খেলায় সাধারণত কয়টি রাউন্ড খেলা হয়?</v>
      </c>
      <c r="K30" s="4" t="str">
        <f>IFERROR(__xludf.DUMMYFUNCTION("GOOGLETRANSLATE(C30, ""en"", ""bn"")"),"ক) ১ রাউন্ড, খ) ২ রাউন্ড, গ) ৩ রাউন্ড, ঘ) ৫ রাউন্ড")</f>
        <v>ক) ১ রাউন্ড, খ) ২ রাউন্ড, গ) ৩ রাউন্ড, ঘ) ৫ রাউন্ড</v>
      </c>
      <c r="L30" s="4" t="str">
        <f>IFERROR(__xludf.DUMMYFUNCTION("GOOGLETRANSLATE(D30, ""en"", ""bn"")"),"খ) ২ রাউন্ড")</f>
        <v>খ) ২ রাউন্ড</v>
      </c>
      <c r="M30" s="4" t="str">
        <f>IFERROR(__xludf.DUMMYFUNCTION("GOOGLETRANSLATE(E30, ""en"", ""bn"")"),"একটি বলি খেলা সাধারণত দুটি রাউন্ড নিয়ে গঠিত হয়, প্রতিটি দলের জন্য একটি করে।")</f>
        <v>একটি বলি খেলা সাধারণত দুটি রাউন্ড নিয়ে গঠিত হয়, প্রতিটি দলের জন্য একটি করে।</v>
      </c>
    </row>
    <row r="31">
      <c r="A31" s="3">
        <v>30.0</v>
      </c>
      <c r="B31" s="3" t="s">
        <v>126</v>
      </c>
      <c r="C31" s="3" t="s">
        <v>127</v>
      </c>
      <c r="D31" s="3" t="s">
        <v>128</v>
      </c>
      <c r="E31" s="3" t="s">
        <v>129</v>
      </c>
      <c r="I31" s="4" t="str">
        <f>IFERROR(__xludf.DUMMYFUNCTION("GOOGLETRANSLATE(A31, ""en"", ""bn"")"),"৩০")</f>
        <v>৩০</v>
      </c>
      <c r="J31" s="4" t="str">
        <f>IFERROR(__xludf.DUMMYFUNCTION("GOOGLETRANSLATE(B31, ""en"", ""bn"")"),"বলি খেলায় যদি কোনও দল একাধিকবার লক্ষ্যবস্তুতে আঘাত করে তাহলে কী হবে?")</f>
        <v>বলি খেলায় যদি কোনও দল একাধিকবার লক্ষ্যবস্তুতে আঘাত করে তাহলে কী হবে?</v>
      </c>
      <c r="K31" s="4" t="str">
        <f>IFERROR(__xludf.DUMMYFUNCTION("GOOGLETRANSLATE(C31, ""en"", ""bn"")"),"ক) দলটি তাৎক্ষণিকভাবে জিতবে, খ) দলটি অতিরিক্ত পয়েন্ট অর্জন করবে, গ) রাউন্ড শেষ হবে, ঘ) খেলাটি পুনরায় সেট করা হবে")</f>
        <v>ক) দলটি তাৎক্ষণিকভাবে জিতবে, খ) দলটি অতিরিক্ত পয়েন্ট অর্জন করবে, গ) রাউন্ড শেষ হবে, ঘ) খেলাটি পুনরায় সেট করা হবে</v>
      </c>
      <c r="L31" s="4" t="str">
        <f>IFERROR(__xludf.DUMMYFUNCTION("GOOGLETRANSLATE(D31, ""en"", ""bn"")"),"খ) দলটি অতিরিক্ত পয়েন্ট অর্জন করে")</f>
        <v>খ) দলটি অতিরিক্ত পয়েন্ট অর্জন করে</v>
      </c>
      <c r="M31" s="4" t="str">
        <f>IFERROR(__xludf.DUMMYFUNCTION("GOOGLETRANSLATE(E31, ""en"", ""bn"")"),"লক্ষ্যবস্তুর প্রতিটি সফল নকডাউন দলকে অতিরিক্ত পয়েন্ট অর্জন করে।")</f>
        <v>লক্ষ্যবস্তুর প্রতিটি সফল নকডাউন দলকে অতিরিক্ত পয়েন্ট অর্জন করে।</v>
      </c>
    </row>
    <row r="32">
      <c r="A32" s="3">
        <v>31.0</v>
      </c>
      <c r="B32" s="3" t="s">
        <v>130</v>
      </c>
      <c r="C32" s="3" t="s">
        <v>131</v>
      </c>
      <c r="D32" s="3" t="s">
        <v>76</v>
      </c>
      <c r="E32" s="3" t="s">
        <v>132</v>
      </c>
      <c r="I32" s="4" t="str">
        <f>IFERROR(__xludf.DUMMYFUNCTION("GOOGLETRANSLATE(A32, ""en"", ""bn"")"),"৩১")</f>
        <v>৩১</v>
      </c>
      <c r="J32" s="4" t="str">
        <f>IFERROR(__xludf.DUMMYFUNCTION("GOOGLETRANSLATE(B32, ""en"", ""bn"")"),"বলি খেলা খেলার বিজয়ী কে নির্ধারণ করে?")</f>
        <v>বলি খেলা খেলার বিজয়ী কে নির্ধারণ করে?</v>
      </c>
      <c r="K32" s="4" t="str">
        <f>IFERROR(__xludf.DUMMYFUNCTION("GOOGLETRANSLATE(C32, ""en"", ""bn"")"),"ক) রেফারি, খ) দলের অধিনায়ক, গ) জনতা, ঘ) সংগঠক")</f>
        <v>ক) রেফারি, খ) দলের অধিনায়ক, গ) জনতা, ঘ) সংগঠক</v>
      </c>
      <c r="L32" s="4" t="str">
        <f>IFERROR(__xludf.DUMMYFUNCTION("GOOGLETRANSLATE(D32, ""en"", ""bn"")"),"ক) রেফারি")</f>
        <v>ক) রেফারি</v>
      </c>
      <c r="M32" s="4" t="str">
        <f>IFERROR(__xludf.DUMMYFUNCTION("GOOGLETRANSLATE(E32, ""en"", ""bn"")"),"রেফারি পুরো খেলায় প্রাপ্ত পয়েন্টের ভিত্তিতে বিজয়ী নির্ধারণ করেন।")</f>
        <v>রেফারি পুরো খেলায় প্রাপ্ত পয়েন্টের ভিত্তিতে বিজয়ী নির্ধারণ করেন।</v>
      </c>
    </row>
    <row r="33">
      <c r="A33" s="3">
        <v>32.0</v>
      </c>
      <c r="B33" s="3" t="s">
        <v>133</v>
      </c>
      <c r="C33" s="3" t="s">
        <v>134</v>
      </c>
      <c r="D33" s="3" t="s">
        <v>135</v>
      </c>
      <c r="E33" s="3" t="s">
        <v>136</v>
      </c>
      <c r="I33" s="4" t="str">
        <f>IFERROR(__xludf.DUMMYFUNCTION("GOOGLETRANSLATE(A33, ""en"", ""bn"")"),"৩২")</f>
        <v>৩২</v>
      </c>
      <c r="J33" s="4" t="str">
        <f>IFERROR(__xludf.DUMMYFUNCTION("GOOGLETRANSLATE(B33, ""en"", ""bn"")"),"বলি খেলা ম্যাচে একটি দল সর্বোচ্চ কত পয়েন্ট করতে পারে?")</f>
        <v>বলি খেলা ম্যাচে একটি দল সর্বোচ্চ কত পয়েন্ট করতে পারে?</v>
      </c>
      <c r="K33" s="4" t="str">
        <f>IFERROR(__xludf.DUMMYFUNCTION("GOOGLETRANSLATE(C33, ""en"", ""bn"")"),"ক) ৫ পয়েন্ট, খ) ১০ পয়েন্ট, গ) ১৫ পয়েন্ট, ঘ) কোন সীমা নেই")</f>
        <v>ক) ৫ পয়েন্ট, খ) ১০ পয়েন্ট, গ) ১৫ পয়েন্ট, ঘ) কোন সীমা নেই</v>
      </c>
      <c r="L33" s="4" t="str">
        <f>IFERROR(__xludf.DUMMYFUNCTION("GOOGLETRANSLATE(D33, ""en"", ""bn"")"),"ঘ) কোন সীমা নেই")</f>
        <v>ঘ) কোন সীমা নেই</v>
      </c>
      <c r="M33" s="4" t="str">
        <f>IFERROR(__xludf.DUMMYFUNCTION("GOOGLETRANSLATE(E33, ""en"", ""bn"")"),"সর্বোচ্চ কোন নির্দিষ্ট সীমা নেই; দলগুলি যত পয়েন্ট লক্ষ্যবস্তুতে আঘাত করবে তত পয়েন্ট অর্জন করতে পারবে।")</f>
        <v>সর্বোচ্চ কোন নির্দিষ্ট সীমা নেই; দলগুলি যত পয়েন্ট লক্ষ্যবস্তুতে আঘাত করবে তত পয়েন্ট অর্জন করতে পারবে।</v>
      </c>
    </row>
    <row r="34">
      <c r="A34" s="3">
        <v>33.0</v>
      </c>
      <c r="B34" s="3" t="s">
        <v>137</v>
      </c>
      <c r="C34" s="3" t="s">
        <v>138</v>
      </c>
      <c r="D34" s="3" t="s">
        <v>139</v>
      </c>
      <c r="E34" s="3" t="s">
        <v>140</v>
      </c>
      <c r="I34" s="4" t="str">
        <f>IFERROR(__xludf.DUMMYFUNCTION("GOOGLETRANSLATE(A34, ""en"", ""bn"")"),"৩৩")</f>
        <v>৩৩</v>
      </c>
      <c r="J34" s="4" t="str">
        <f>IFERROR(__xludf.DUMMYFUNCTION("GOOGLETRANSLATE(B34, ""en"", ""bn"")"),"বলি খেলায় পাথর কীভাবে নিক্ষেপ করা হয়?")</f>
        <v>বলি খেলায় পাথর কীভাবে নিক্ষেপ করা হয়?</v>
      </c>
      <c r="K34" s="4" t="str">
        <f>IFERROR(__xludf.DUMMYFUNCTION("GOOGLETRANSLATE(C34, ""en"", ""bn"")"),"ক) গড়িয়ে, খ) উভয় হাত দিয়ে ছুঁড়ে, গ) এক হাত দিয়ে ছুঁড়ে, ঘ) লাথি মেরে")</f>
        <v>ক) গড়িয়ে, খ) উভয় হাত দিয়ে ছুঁড়ে, গ) এক হাত দিয়ে ছুঁড়ে, ঘ) লাথি মেরে</v>
      </c>
      <c r="L34" s="4" t="str">
        <f>IFERROR(__xludf.DUMMYFUNCTION("GOOGLETRANSLATE(D34, ""en"", ""bn"")"),"গ) এক হাতে নিক্ষেপ করে")</f>
        <v>গ) এক হাতে নিক্ষেপ করে</v>
      </c>
      <c r="M34" s="4" t="str">
        <f>IFERROR(__xludf.DUMMYFUNCTION("GOOGLETRANSLATE(E34, ""en"", ""bn"")"),"পাথরটি এক হাতে নিয়ন্ত্রিত পদ্ধতিতে নিক্ষেপ করা হয়।")</f>
        <v>পাথরটি এক হাতে নিয়ন্ত্রিত পদ্ধতিতে নিক্ষেপ করা হয়।</v>
      </c>
    </row>
    <row r="35">
      <c r="A35" s="3">
        <v>34.0</v>
      </c>
      <c r="B35" s="3" t="s">
        <v>141</v>
      </c>
      <c r="C35" s="3" t="s">
        <v>142</v>
      </c>
      <c r="D35" s="3" t="s">
        <v>143</v>
      </c>
      <c r="E35" s="3" t="s">
        <v>144</v>
      </c>
      <c r="I35" s="4" t="str">
        <f>IFERROR(__xludf.DUMMYFUNCTION("GOOGLETRANSLATE(A35, ""en"", ""bn"")"),"৩৪")</f>
        <v>৩৪</v>
      </c>
      <c r="J35" s="4" t="str">
        <f>IFERROR(__xludf.DUMMYFUNCTION("GOOGLETRANSLATE(B35, ""en"", ""bn"")"),"বলি খেলায় খেলোয়াড়দের জন্য প্রধানত কী কী দক্ষতা প্রয়োজন?")</f>
        <v>বলি খেলায় খেলোয়াড়দের জন্য প্রধানত কী কী দক্ষতা প্রয়োজন?</v>
      </c>
      <c r="K35" s="4" t="str">
        <f>IFERROR(__xludf.DUMMYFUNCTION("GOOGLETRANSLATE(C35, ""en"", ""bn"")"),"ক) গতি, খ) নির্ভুলতা, গ) শক্তি, ঘ) তত্পরতা")</f>
        <v>ক) গতি, খ) নির্ভুলতা, গ) শক্তি, ঘ) তত্পরতা</v>
      </c>
      <c r="L35" s="4" t="str">
        <f>IFERROR(__xludf.DUMMYFUNCTION("GOOGLETRANSLATE(D35, ""en"", ""bn"")"),"খ) নির্ভুলতা")</f>
        <v>খ) নির্ভুলতা</v>
      </c>
      <c r="M35" s="4" t="str">
        <f>IFERROR(__xludf.DUMMYFUNCTION("GOOGLETRANSLATE(E35, ""en"", ""bn"")"),"নির্ভুলতা গুরুত্বপূর্ণ, কারণ লক্ষ্য হল পাথর দিয়ে লক্ষ্যবস্তুকে আঘাত করা।")</f>
        <v>নির্ভুলতা গুরুত্বপূর্ণ, কারণ লক্ষ্য হল পাথর দিয়ে লক্ষ্যবস্তুকে আঘাত করা।</v>
      </c>
    </row>
    <row r="36">
      <c r="A36" s="3">
        <v>35.0</v>
      </c>
      <c r="B36" s="3" t="s">
        <v>145</v>
      </c>
      <c r="C36" s="3" t="s">
        <v>146</v>
      </c>
      <c r="D36" s="3" t="s">
        <v>147</v>
      </c>
      <c r="E36" s="3" t="s">
        <v>148</v>
      </c>
      <c r="I36" s="4" t="str">
        <f>IFERROR(__xludf.DUMMYFUNCTION("GOOGLETRANSLATE(A36, ""en"", ""bn"")"),"৩৫")</f>
        <v>৩৫</v>
      </c>
      <c r="J36" s="4" t="str">
        <f>IFERROR(__xludf.DUMMYFUNCTION("GOOGLETRANSLATE(B36, ""en"", ""bn"")"),"বলি খেলায় সীমানা চিহ্নিত করতে সাধারণত কী ব্যবহার করা হয়?")</f>
        <v>বলি খেলায় সীমানা চিহ্নিত করতে সাধারণত কী ব্যবহার করা হয়?</v>
      </c>
      <c r="K36" s="4" t="str">
        <f>IFERROR(__xludf.DUMMYFUNCTION("GOOGLETRANSLATE(C36, ""en"", ""bn"")"),"ক) পতাকা, খ) খড়ির রেখা, গ) পাথর, ঘ) দড়ি")</f>
        <v>ক) পতাকা, খ) খড়ির রেখা, গ) পাথর, ঘ) দড়ি</v>
      </c>
      <c r="L36" s="4" t="str">
        <f>IFERROR(__xludf.DUMMYFUNCTION("GOOGLETRANSLATE(D36, ""en"", ""bn"")"),"খ) চক লাইন")</f>
        <v>খ) চক লাইন</v>
      </c>
      <c r="M36" s="4" t="str">
        <f>IFERROR(__xludf.DUMMYFUNCTION("GOOGLETRANSLATE(E36, ""en"", ""bn"")"),"খেলার মাঠের সীমানা চিহ্নিত করতে চক লাইন ব্যবহার করা হয়।")</f>
        <v>খেলার মাঠের সীমানা চিহ্নিত করতে চক লাইন ব্যবহার করা হয়।</v>
      </c>
    </row>
    <row r="37">
      <c r="A37" s="3">
        <v>36.0</v>
      </c>
      <c r="B37" s="3" t="s">
        <v>149</v>
      </c>
      <c r="C37" s="3" t="s">
        <v>150</v>
      </c>
      <c r="D37" s="3" t="s">
        <v>151</v>
      </c>
      <c r="E37" s="3" t="s">
        <v>152</v>
      </c>
      <c r="I37" s="4" t="str">
        <f>IFERROR(__xludf.DUMMYFUNCTION("GOOGLETRANSLATE(A37, ""en"", ""bn"")"),"৩৬")</f>
        <v>৩৬</v>
      </c>
      <c r="J37" s="4" t="str">
        <f>IFERROR(__xludf.DUMMYFUNCTION("GOOGLETRANSLATE(B37, ""en"", ""bn"")"),"বলি খেলায় পয়েন্ট কীভাবে পাওয়া যায়?")</f>
        <v>বলি খেলায় পয়েন্ট কীভাবে পাওয়া যায়?</v>
      </c>
      <c r="K37" s="4" t="str">
        <f>IFERROR(__xludf.DUMMYFUNCTION("GOOGLETRANSLATE(C37, ""en"", ""bn"")"),"ক) সবচেয়ে দূরে পাথর ছুঁড়ে, খ) লক্ষ্যবস্তুতে আঘাত করে, গ) পাথর ধরে, ঘ) প্রতিপক্ষের পাথরে আঘাত করে")</f>
        <v>ক) সবচেয়ে দূরে পাথর ছুঁড়ে, খ) লক্ষ্যবস্তুতে আঘাত করে, গ) পাথর ধরে, ঘ) প্রতিপক্ষের পাথরে আঘাত করে</v>
      </c>
      <c r="L37" s="4" t="str">
        <f>IFERROR(__xludf.DUMMYFUNCTION("GOOGLETRANSLATE(D37, ""en"", ""bn"")"),"খ) লক্ষ্যবস্তুকে আঘাত করে")</f>
        <v>খ) লক্ষ্যবস্তুকে আঘাত করে</v>
      </c>
      <c r="M37" s="4" t="str">
        <f>IFERROR(__xludf.DUMMYFUNCTION("GOOGLETRANSLATE(E37, ""en"", ""bn"")"),"পাথর দিয়ে লক্ষ্যবস্তু সফলভাবে ধ্বংস করলে একটি পয়েন্ট অর্জিত হয়।")</f>
        <v>পাথর দিয়ে লক্ষ্যবস্তু সফলভাবে ধ্বংস করলে একটি পয়েন্ট অর্জিত হয়।</v>
      </c>
    </row>
    <row r="38">
      <c r="A38" s="3">
        <v>37.0</v>
      </c>
      <c r="B38" s="3" t="s">
        <v>153</v>
      </c>
      <c r="C38" s="3" t="s">
        <v>154</v>
      </c>
      <c r="D38" s="3" t="s">
        <v>155</v>
      </c>
      <c r="E38" s="3" t="s">
        <v>156</v>
      </c>
      <c r="I38" s="4" t="str">
        <f>IFERROR(__xludf.DUMMYFUNCTION("GOOGLETRANSLATE(A38, ""en"", ""bn"")"),"৩৭")</f>
        <v>৩৭</v>
      </c>
      <c r="J38" s="4" t="str">
        <f>IFERROR(__xludf.DUMMYFUNCTION("GOOGLETRANSLATE(B38, ""en"", ""bn"")"),"থ্রো করার সময় যদি কোনও খেলোয়াড় ভুলবশত সীমানার বাইরে পা ফেলে দেয় তবে কী হবে?")</f>
        <v>থ্রো করার সময় যদি কোনও খেলোয়াড় ভুলবশত সীমানার বাইরে পা ফেলে দেয় তবে কী হবে?</v>
      </c>
      <c r="K38" s="4" t="str">
        <f>IFERROR(__xludf.DUMMYFUNCTION("GOOGLETRANSLATE(C38, ""en"", ""bn"")"),"ক) দলটি পেনাল্টি পায়, খ) থ্রো অবৈধ, গ) খেলোয়াড় অযোগ্য ঘোষণা করা হয়, ঘ) রাউন্ডটি চলতে থাকে")</f>
        <v>ক) দলটি পেনাল্টি পায়, খ) থ্রো অবৈধ, গ) খেলোয়াড় অযোগ্য ঘোষণা করা হয়, ঘ) রাউন্ডটি চলতে থাকে</v>
      </c>
      <c r="L38" s="4" t="str">
        <f>IFERROR(__xludf.DUMMYFUNCTION("GOOGLETRANSLATE(D38, ""en"", ""bn"")"),"খ) নিক্ষেপটি অবৈধ")</f>
        <v>খ) নিক্ষেপটি অবৈধ</v>
      </c>
      <c r="M38" s="4" t="str">
        <f>IFERROR(__xludf.DUMMYFUNCTION("GOOGLETRANSLATE(E38, ""en"", ""bn"")"),"যদি কোনও খেলোয়াড় সীমানার বাইরে পা রাখে, তাহলে থ্রোটি অবৈধ বলে বিবেচিত হবে এবং পুনরাবৃত্তি করতে হবে।")</f>
        <v>যদি কোনও খেলোয়াড় সীমানার বাইরে পা রাখে, তাহলে থ্রোটি অবৈধ বলে বিবেচিত হবে এবং পুনরাবৃত্তি করতে হবে।</v>
      </c>
    </row>
    <row r="39">
      <c r="A39" s="3">
        <v>38.0</v>
      </c>
      <c r="B39" s="3" t="s">
        <v>157</v>
      </c>
      <c r="C39" s="3" t="s">
        <v>158</v>
      </c>
      <c r="D39" s="3" t="s">
        <v>159</v>
      </c>
      <c r="E39" s="3" t="s">
        <v>160</v>
      </c>
      <c r="I39" s="4" t="str">
        <f>IFERROR(__xludf.DUMMYFUNCTION("GOOGLETRANSLATE(A39, ""en"", ""bn"")"),"৩৮")</f>
        <v>৩৮</v>
      </c>
      <c r="J39" s="4" t="str">
        <f>IFERROR(__xludf.DUMMYFUNCTION("GOOGLETRANSLATE(B39, ""en"", ""bn"")"),"বলি খেলা খেলার জন্য কোন ধরণের পৃষ্ঠ আদর্শ?")</f>
        <v>বলি খেলা খেলার জন্য কোন ধরণের পৃষ্ঠ আদর্শ?</v>
      </c>
      <c r="K39" s="4" t="str">
        <f>IFERROR(__xludf.DUMMYFUNCTION("GOOGLETRANSLATE(C39, ""en"", ""bn"")"),"ক) ঘাসের মাঠ, খ) বালুকাময় ভূপৃষ্ঠ, গ) কংক্রিটের উঠান, ঘ) মাটির রাস্তা")</f>
        <v>ক) ঘাসের মাঠ, খ) বালুকাময় ভূপৃষ্ঠ, গ) কংক্রিটের উঠান, ঘ) মাটির রাস্তা</v>
      </c>
      <c r="L39" s="4" t="str">
        <f>IFERROR(__xludf.DUMMYFUNCTION("GOOGLETRANSLATE(D39, ""en"", ""bn"")"),"ক) ঘাসের মাঠ")</f>
        <v>ক) ঘাসের মাঠ</v>
      </c>
      <c r="M39" s="4" t="str">
        <f>IFERROR(__xludf.DUMMYFUNCTION("GOOGLETRANSLATE(E39, ""en"", ""bn"")"),"বলি খেলার জন্য নরম ঘাসের মাঠ আদর্শ, যা পাথরের নিয়ন্ত্রণ ভালো করে এবং কম ক্ষতি করে।")</f>
        <v>বলি খেলার জন্য নরম ঘাসের মাঠ আদর্শ, যা পাথরের নিয়ন্ত্রণ ভালো করে এবং কম ক্ষতি করে।</v>
      </c>
    </row>
    <row r="40">
      <c r="A40" s="3">
        <v>39.0</v>
      </c>
      <c r="B40" s="3" t="s">
        <v>161</v>
      </c>
      <c r="C40" s="3" t="s">
        <v>162</v>
      </c>
      <c r="D40" s="3" t="s">
        <v>163</v>
      </c>
      <c r="E40" s="3" t="s">
        <v>164</v>
      </c>
      <c r="I40" s="4" t="str">
        <f>IFERROR(__xludf.DUMMYFUNCTION("GOOGLETRANSLATE(A40, ""en"", ""bn"")"),"৩৯")</f>
        <v>৩৯</v>
      </c>
      <c r="J40" s="4" t="str">
        <f>IFERROR(__xludf.DUMMYFUNCTION("GOOGLETRANSLATE(B40, ""en"", ""bn"")"),"বলি খেলা খেলার সাথে প্রায়শই কোন ঐতিহ্যবাহী অনুষ্ঠানটি অনুষ্ঠিত হয়?")</f>
        <v>বলি খেলা খেলার সাথে প্রায়শই কোন ঐতিহ্যবাহী অনুষ্ঠানটি অনুষ্ঠিত হয়?</v>
      </c>
      <c r="K40" s="4" t="str">
        <f>IFERROR(__xludf.DUMMYFUNCTION("GOOGLETRANSLATE(C40, ""en"", ""bn"")"),"ক) একটি উৎসব, খ) একটি কুচকাওয়াজ, গ) একটি কনসার্ট, ঘ) একটি ধর্মীয় অনুষ্ঠান")</f>
        <v>ক) একটি উৎসব, খ) একটি কুচকাওয়াজ, গ) একটি কনসার্ট, ঘ) একটি ধর্মীয় অনুষ্ঠান</v>
      </c>
      <c r="L40" s="4" t="str">
        <f>IFERROR(__xludf.DUMMYFUNCTION("GOOGLETRANSLATE(D40, ""en"", ""bn"")"),"ক) একটি উৎসব")</f>
        <v>ক) একটি উৎসব</v>
      </c>
      <c r="M40" s="4" t="str">
        <f>IFERROR(__xludf.DUMMYFUNCTION("GOOGLETRANSLATE(E40, ""en"", ""bn"")"),"স্থানীয় উৎসবগুলিতে, বিশেষ করে গ্রামীণ এলাকায়, বলি খেলা সাধারণত খেলা হয়।")</f>
        <v>স্থানীয় উৎসবগুলিতে, বিশেষ করে গ্রামীণ এলাকায়, বলি খেলা সাধারণত খেলা হয়।</v>
      </c>
    </row>
    <row r="41">
      <c r="A41" s="3">
        <v>40.0</v>
      </c>
      <c r="B41" s="3" t="s">
        <v>165</v>
      </c>
      <c r="C41" s="3" t="s">
        <v>166</v>
      </c>
      <c r="D41" s="3" t="s">
        <v>167</v>
      </c>
      <c r="E41" s="3" t="s">
        <v>168</v>
      </c>
      <c r="I41" s="4" t="str">
        <f>IFERROR(__xludf.DUMMYFUNCTION("GOOGLETRANSLATE(A41, ""en"", ""bn"")"),"৪০")</f>
        <v>৪০</v>
      </c>
      <c r="J41" s="4" t="str">
        <f>IFERROR(__xludf.DUMMYFUNCTION("GOOGLETRANSLATE(B41, ""en"", ""bn"")"),"বলি খেলায় সাধারণত পাথর কীভাবে নিক্ষেপ করা হয়?")</f>
        <v>বলি খেলায় সাধারণত পাথর কীভাবে নিক্ষেপ করা হয়?</v>
      </c>
      <c r="K41" s="4" t="str">
        <f>IFERROR(__xludf.DUMMYFUNCTION("GOOGLETRANSLATE(C41, ""en"", ""bn"")"),"ক) হাতের নিচে, খ) হাতের উপরে, গ) হাতের পাশে, ঘ) কাঁধের উপরে")</f>
        <v>ক) হাতের নিচে, খ) হাতের উপরে, গ) হাতের পাশে, ঘ) কাঁধের উপরে</v>
      </c>
      <c r="L41" s="4" t="str">
        <f>IFERROR(__xludf.DUMMYFUNCTION("GOOGLETRANSLATE(D41, ""en"", ""bn"")"),"খ) ওভারহ্যান্ড")</f>
        <v>খ) ওভারহ্যান্ড</v>
      </c>
      <c r="M41" s="4" t="str">
        <f>IFERROR(__xludf.DUMMYFUNCTION("GOOGLETRANSLATE(E41, ""en"", ""bn"")"),"খেলোয়াড়রা সাধারণত নির্ভুলতা এবং বল বৃদ্ধির জন্য পাথরটি হাতের উপর দিয়ে ছুঁড়ে মারে।")</f>
        <v>খেলোয়াড়রা সাধারণত নির্ভুলতা এবং বল বৃদ্ধির জন্য পাথরটি হাতের উপর দিয়ে ছুঁড়ে মারে।</v>
      </c>
    </row>
    <row r="42">
      <c r="A42" s="3">
        <v>41.0</v>
      </c>
      <c r="B42" s="3" t="s">
        <v>169</v>
      </c>
      <c r="C42" s="3" t="s">
        <v>170</v>
      </c>
      <c r="D42" s="3" t="s">
        <v>171</v>
      </c>
      <c r="E42" s="3" t="s">
        <v>172</v>
      </c>
      <c r="I42" s="4" t="str">
        <f>IFERROR(__xludf.DUMMYFUNCTION("GOOGLETRANSLATE(A42, ""en"", ""bn"")"),"৪১")</f>
        <v>৪১</v>
      </c>
      <c r="J42" s="4" t="str">
        <f>IFERROR(__xludf.DUMMYFUNCTION("GOOGLETRANSLATE(B42, ""en"", ""bn"")"),"বলি খেলা'র উৎপত্তি কোথায়?")</f>
        <v>বলি খেলা'র উৎপত্তি কোথায়?</v>
      </c>
      <c r="K42" s="4" t="str">
        <f>IFERROR(__xludf.DUMMYFUNCTION("GOOGLETRANSLATE(C42, ""en"", ""bn"")"),"ক) ভারত, খ) নেপাল, গ) বাংলাদেশ, ঘ) পাকিস্তান")</f>
        <v>ক) ভারত, খ) নেপাল, গ) বাংলাদেশ, ঘ) পাকিস্তান</v>
      </c>
      <c r="L42" s="4" t="str">
        <f>IFERROR(__xludf.DUMMYFUNCTION("GOOGLETRANSLATE(D42, ""en"", ""bn"")"),"গ) বাংলাদেশ")</f>
        <v>গ) বাংলাদেশ</v>
      </c>
      <c r="M42" s="4" t="str">
        <f>IFERROR(__xludf.DUMMYFUNCTION("GOOGLETRANSLATE(E42, ""en"", ""bn"")"),"বলি খেলা বাংলাদেশে উৎপত্তি, যেখানে এখনও উৎসবের সময় এটি বাজানো হয়।")</f>
        <v>বলি খেলা বাংলাদেশে উৎপত্তি, যেখানে এখনও উৎসবের সময় এটি বাজানো হয়।</v>
      </c>
    </row>
    <row r="43">
      <c r="A43" s="3">
        <v>42.0</v>
      </c>
      <c r="B43" s="3" t="s">
        <v>173</v>
      </c>
      <c r="C43" s="3" t="s">
        <v>174</v>
      </c>
      <c r="D43" s="3" t="s">
        <v>175</v>
      </c>
      <c r="E43" s="3" t="s">
        <v>176</v>
      </c>
      <c r="I43" s="4" t="str">
        <f>IFERROR(__xludf.DUMMYFUNCTION("GOOGLETRANSLATE(A43, ""en"", ""bn"")"),"৪২")</f>
        <v>৪২</v>
      </c>
      <c r="J43" s="4" t="str">
        <f>IFERROR(__xludf.DUMMYFUNCTION("GOOGLETRANSLATE(B43, ""en"", ""bn"")"),"বলি খেলায় একজন খেলোয়াড় কীভাবে পাথর ছুঁড়ে মারার প্রস্তুতি নেয়?")</f>
        <v>বলি খেলায় একজন খেলোয়াড় কীভাবে পাথর ছুঁড়ে মারার প্রস্তুতি নেয়?</v>
      </c>
      <c r="K43" s="4" t="str">
        <f>IFERROR(__xludf.DUMMYFUNCTION("GOOGLETRANSLATE(C43, ""en"", ""bn"")"),"ক) কয়েক পা পিছিয়ে গিয়ে, খ) লাফিয়ে, গ) ঘুরিয়ে, ঘ) হাঁটু গেড়ে বসে")</f>
        <v>ক) কয়েক পা পিছিয়ে গিয়ে, খ) লাফিয়ে, গ) ঘুরিয়ে, ঘ) হাঁটু গেড়ে বসে</v>
      </c>
      <c r="L43" s="4" t="str">
        <f>IFERROR(__xludf.DUMMYFUNCTION("GOOGLETRANSLATE(D43, ""en"", ""bn"")"),"ক) কয়েক ধাপ পিছিয়ে যাওয়ার মাধ্যমে")</f>
        <v>ক) কয়েক ধাপ পিছিয়ে যাওয়ার মাধ্যমে</v>
      </c>
      <c r="M43" s="4" t="str">
        <f>IFERROR(__xludf.DUMMYFUNCTION("GOOGLETRANSLATE(E43, ""en"", ""bn"")"),"খেলোয়াড়রা সাধারণত পাথর ছুঁড়ে মারার আগে গতি সংগ্রহের জন্য কয়েক ধাপ পিছিয়ে যায়।")</f>
        <v>খেলোয়াড়রা সাধারণত পাথর ছুঁড়ে মারার আগে গতি সংগ্রহের জন্য কয়েক ধাপ পিছিয়ে যায়।</v>
      </c>
    </row>
    <row r="44">
      <c r="A44" s="3">
        <v>43.0</v>
      </c>
      <c r="B44" s="3" t="s">
        <v>177</v>
      </c>
      <c r="C44" s="3" t="s">
        <v>178</v>
      </c>
      <c r="D44" s="3" t="s">
        <v>179</v>
      </c>
      <c r="E44" s="3" t="s">
        <v>180</v>
      </c>
      <c r="I44" s="4" t="str">
        <f>IFERROR(__xludf.DUMMYFUNCTION("GOOGLETRANSLATE(A44, ""en"", ""bn"")"),"৪৩")</f>
        <v>৪৩</v>
      </c>
      <c r="J44" s="4" t="str">
        <f>IFERROR(__xludf.DUMMYFUNCTION("GOOGLETRANSLATE(B44, ""en"", ""bn"")"),"সব রাউন্ডের পর যদি উভয় দলের স্কোর একই থাকে তাহলে কী হবে?")</f>
        <v>সব রাউন্ডের পর যদি উভয় দলের স্কোর একই থাকে তাহলে কী হবে?</v>
      </c>
      <c r="K44" s="4" t="str">
        <f>IFERROR(__xludf.DUMMYFUNCTION("GOOGLETRANSLATE(C44, ""en"", ""bn"")"),"ক) একটি টাইব্রেকার রাউন্ড খেলা হয়, খ) খেলাটি ড্র ঘোষণা করা হয়, গ) কম ফাউল করা দল জয়ী হয়, ঘ) উভয় দলই জয়ী হয়")</f>
        <v>ক) একটি টাইব্রেকার রাউন্ড খেলা হয়, খ) খেলাটি ড্র ঘোষণা করা হয়, গ) কম ফাউল করা দল জয়ী হয়, ঘ) উভয় দলই জয়ী হয়</v>
      </c>
      <c r="L44" s="4" t="str">
        <f>IFERROR(__xludf.DUMMYFUNCTION("GOOGLETRANSLATE(D44, ""en"", ""bn"")"),"ক) একটি টাইব্রেকার রাউন্ড খেলা হয়")</f>
        <v>ক) একটি টাইব্রেকার রাউন্ড খেলা হয়</v>
      </c>
      <c r="M44" s="4" t="str">
        <f>IFERROR(__xludf.DUMMYFUNCTION("GOOGLETRANSLATE(E44, ""en"", ""bn"")"),"যদি স্কোর সমান হয়, তাহলে বিজয়ী নির্ধারণের জন্য একটি টাইব্রেকার রাউন্ড খেলা হয়।")</f>
        <v>যদি স্কোর সমান হয়, তাহলে বিজয়ী নির্ধারণের জন্য একটি টাইব্রেকার রাউন্ড খেলা হয়।</v>
      </c>
    </row>
    <row r="45">
      <c r="A45" s="3">
        <v>44.0</v>
      </c>
      <c r="B45" s="3" t="s">
        <v>181</v>
      </c>
      <c r="C45" s="3" t="s">
        <v>182</v>
      </c>
      <c r="D45" s="3" t="s">
        <v>183</v>
      </c>
      <c r="E45" s="3" t="s">
        <v>184</v>
      </c>
      <c r="I45" s="4" t="str">
        <f>IFERROR(__xludf.DUMMYFUNCTION("GOOGLETRANSLATE(A45, ""en"", ""bn"")"),"৪৪")</f>
        <v>৪৪</v>
      </c>
      <c r="J45" s="4" t="str">
        <f>IFERROR(__xludf.DUMMYFUNCTION("GOOGLETRANSLATE(B45, ""en"", ""bn"")"),"বলি খেলায় খেলোয়াড়রা কোন কোন চ্যালেঞ্জের মুখোমুখি হন?")</f>
        <v>বলি খেলায় খেলোয়াড়রা কোন কোন চ্যালেঞ্জের মুখোমুখি হন?</v>
      </c>
      <c r="K45" s="4" t="str">
        <f>IFERROR(__xludf.DUMMYFUNCTION("GOOGLETRANSLATE(C45, ""en"", ""bn"")"),"ক) পাথরের ওজন, খ) লক্ষ্যবস্তুর আকার, গ) বাতাসের অবস্থা, ঘ) অসম ক্ষেত্র")</f>
        <v>ক) পাথরের ওজন, খ) লক্ষ্যবস্তুর আকার, গ) বাতাসের অবস্থা, ঘ) অসম ক্ষেত্র</v>
      </c>
      <c r="L45" s="4" t="str">
        <f>IFERROR(__xludf.DUMMYFUNCTION("GOOGLETRANSLATE(D45, ""en"", ""bn"")"),"ক) পাথরের ওজন")</f>
        <v>ক) পাথরের ওজন</v>
      </c>
      <c r="M45" s="4" t="str">
        <f>IFERROR(__xludf.DUMMYFUNCTION("GOOGLETRANSLATE(E45, ""en"", ""bn"")"),"৪-৫ কেজি ওজনের ভারী পাথরটি খেলার অন্যতম প্রধান চ্যালেঞ্জ।")</f>
        <v>৪-৫ কেজি ওজনের ভারী পাথরটি খেলার অন্যতম প্রধান চ্যালেঞ্জ।</v>
      </c>
    </row>
    <row r="46">
      <c r="A46" s="3">
        <v>45.0</v>
      </c>
      <c r="B46" s="3" t="s">
        <v>185</v>
      </c>
      <c r="C46" s="3" t="s">
        <v>186</v>
      </c>
      <c r="D46" s="3" t="s">
        <v>187</v>
      </c>
      <c r="E46" s="3" t="s">
        <v>188</v>
      </c>
      <c r="I46" s="4" t="str">
        <f>IFERROR(__xludf.DUMMYFUNCTION("GOOGLETRANSLATE(A46, ""en"", ""bn"")"),"৪৫")</f>
        <v>৪৫</v>
      </c>
      <c r="J46" s="4" t="str">
        <f>IFERROR(__xludf.DUMMYFUNCTION("GOOGLETRANSLATE(B46, ""en"", ""bn"")"),"খেলার সময় খেলোয়াড়রা একে অপরের সাথে কীভাবে যোগাযোগ করে?")</f>
        <v>খেলার সময় খেলোয়াড়রা একে অপরের সাথে কীভাবে যোগাযোগ করে?</v>
      </c>
      <c r="K46" s="4" t="str">
        <f>IFERROR(__xludf.DUMMYFUNCTION("GOOGLETRANSLATE(C46, ""en"", ""bn"")"),"ক) হাতের ইশারা ব্যবহার করে, খ) জোরে চিৎকার করে, গ) নোট পাঠাতে গিয়ে, ঘ) বাঁশি বাজিয়ে")</f>
        <v>ক) হাতের ইশারা ব্যবহার করে, খ) জোরে চিৎকার করে, গ) নোট পাঠাতে গিয়ে, ঘ) বাঁশি বাজিয়ে</v>
      </c>
      <c r="L46" s="4" t="str">
        <f>IFERROR(__xludf.DUMMYFUNCTION("GOOGLETRANSLATE(D46, ""en"", ""bn"")"),"ক) হাতের ইশারা ব্যবহার করে")</f>
        <v>ক) হাতের ইশারা ব্যবহার করে</v>
      </c>
      <c r="M46" s="4" t="str">
        <f>IFERROR(__xludf.DUMMYFUNCTION("GOOGLETRANSLATE(E46, ""en"", ""bn"")"),"খেলোয়াড়রা প্রায়শই হাতের ইশারা ব্যবহার করে যোগাযোগ করে, কারণ ম্যাচগুলি জোরে এবং ভিড়ের হতে পারে।")</f>
        <v>খেলোয়াড়রা প্রায়শই হাতের ইশারা ব্যবহার করে যোগাযোগ করে, কারণ ম্যাচগুলি জোরে এবং ভিড়ের হতে পারে।</v>
      </c>
    </row>
    <row r="47">
      <c r="A47" s="3">
        <v>46.0</v>
      </c>
      <c r="B47" s="3" t="s">
        <v>189</v>
      </c>
      <c r="C47" s="3" t="s">
        <v>190</v>
      </c>
      <c r="D47" s="3" t="s">
        <v>191</v>
      </c>
      <c r="E47" s="3" t="s">
        <v>192</v>
      </c>
      <c r="I47" s="4" t="str">
        <f>IFERROR(__xludf.DUMMYFUNCTION("GOOGLETRANSLATE(A47, ""en"", ""bn"")"),"৪৬")</f>
        <v>৪৬</v>
      </c>
      <c r="J47" s="4" t="str">
        <f>IFERROR(__xludf.DUMMYFUNCTION("GOOGLETRANSLATE(B47, ""en"", ""bn"")"),"বলি খেলায় রেফারির ভূমিকা কী?")</f>
        <v>বলি খেলায় রেফারির ভূমিকা কী?</v>
      </c>
      <c r="K47" s="4" t="str">
        <f>IFERROR(__xludf.DUMMYFUNCTION("GOOGLETRANSLATE(C47, ""en"", ""bn"")"),"ক) পাথর ছুঁড়ে মারা, খ) স্কোর ধরে রাখা, গ) দলগুলোর সাথে খেলা, ঘ) নিয়ম মেনে চলা নিশ্চিত করা")</f>
        <v>ক) পাথর ছুঁড়ে মারা, খ) স্কোর ধরে রাখা, গ) দলগুলোর সাথে খেলা, ঘ) নিয়ম মেনে চলা নিশ্চিত করা</v>
      </c>
      <c r="L47" s="4" t="str">
        <f>IFERROR(__xludf.DUMMYFUNCTION("GOOGLETRANSLATE(D47, ""en"", ""bn"")"),"ঘ) নিয়মগুলি অনুসরণ করা হচ্ছে তা নিশ্চিত করা")</f>
        <v>ঘ) নিয়মগুলি অনুসরণ করা হচ্ছে তা নিশ্চিত করা</v>
      </c>
      <c r="M47" s="4" t="str">
        <f>IFERROR(__xludf.DUMMYFUNCTION("GOOGLETRANSLATE(E47, ""en"", ""bn"")"),"রেফারি নিশ্চিত করেন যে ম্যাচটি প্রতিষ্ঠিত নিয়ম অনুসারে খেলা হচ্ছে।")</f>
        <v>রেফারি নিশ্চিত করেন যে ম্যাচটি প্রতিষ্ঠিত নিয়ম অনুসারে খেলা হচ্ছে।</v>
      </c>
    </row>
    <row r="48">
      <c r="A48" s="3">
        <v>47.0</v>
      </c>
      <c r="B48" s="3" t="s">
        <v>193</v>
      </c>
      <c r="C48" s="3" t="s">
        <v>194</v>
      </c>
      <c r="D48" s="3" t="s">
        <v>195</v>
      </c>
      <c r="E48" s="3" t="s">
        <v>196</v>
      </c>
      <c r="I48" s="4" t="str">
        <f>IFERROR(__xludf.DUMMYFUNCTION("GOOGLETRANSLATE(A48, ""en"", ""bn"")"),"৪৭")</f>
        <v>৪৭</v>
      </c>
      <c r="J48" s="4" t="str">
        <f>IFERROR(__xludf.DUMMYFUNCTION("GOOGLETRANSLATE(B48, ""en"", ""bn"")"),"বলি খেলা খেলার সময় দর্শকদের সাধারণ আচরণ কেমন হয়?")</f>
        <v>বলি খেলা খেলার সময় দর্শকদের সাধারণ আচরণ কেমন হয়?</v>
      </c>
      <c r="K48" s="4" t="str">
        <f>IFERROR(__xludf.DUMMYFUNCTION("GOOGLETRANSLATE(C48, ""en"", ""bn"")"),"ক) শান্ত এবং মনোযোগী, খ) জোরে এবং সহায়ক, গ) বিভ্রান্তিকর, ঘ) বিচ্ছিন্ন এবং আগ্রহহীন")</f>
        <v>ক) শান্ত এবং মনোযোগী, খ) জোরে এবং সহায়ক, গ) বিভ্রান্তিকর, ঘ) বিচ্ছিন্ন এবং আগ্রহহীন</v>
      </c>
      <c r="L48" s="4" t="str">
        <f>IFERROR(__xludf.DUMMYFUNCTION("GOOGLETRANSLATE(D48, ""en"", ""bn"")"),"খ) জোরে এবং সহায়ক")</f>
        <v>খ) জোরে এবং সহায়ক</v>
      </c>
      <c r="M48" s="4" t="str">
        <f>IFERROR(__xludf.DUMMYFUNCTION("GOOGLETRANSLATE(E48, ""en"", ""bn"")"),"জনতা সাধারণত উচ্চস্বরে এবং সমর্থনকারী হয়, তাদের প্রিয় দলের জন্য উল্লাস করে।")</f>
        <v>জনতা সাধারণত উচ্চস্বরে এবং সমর্থনকারী হয়, তাদের প্রিয় দলের জন্য উল্লাস করে।</v>
      </c>
    </row>
    <row r="49">
      <c r="A49" s="3">
        <v>48.0</v>
      </c>
      <c r="B49" s="3" t="s">
        <v>197</v>
      </c>
      <c r="C49" s="3" t="s">
        <v>198</v>
      </c>
      <c r="D49" s="3" t="s">
        <v>199</v>
      </c>
      <c r="E49" s="3" t="s">
        <v>200</v>
      </c>
      <c r="I49" s="4" t="str">
        <f>IFERROR(__xludf.DUMMYFUNCTION("GOOGLETRANSLATE(A49, ""en"", ""bn"")"),"৪৮")</f>
        <v>৪৮</v>
      </c>
      <c r="J49" s="4" t="str">
        <f>IFERROR(__xludf.DUMMYFUNCTION("GOOGLETRANSLATE(B49, ""en"", ""bn"")"),"বলি খেলায়, নিচের কোনটি নিষিদ্ধ?")</f>
        <v>বলি খেলায়, নিচের কোনটি নিষিদ্ধ?</v>
      </c>
      <c r="K49" s="4" t="str">
        <f>IFERROR(__xludf.DUMMYFUNCTION("GOOGLETRANSLATE(C49, ""en"", ""bn"")"),"ক) লক্ষ্যবস্তুতে পাথর নিক্ষেপ করা, খ) সীমানার বাইরে পা রাখা, গ) উভয় হাত ব্যবহার করে নিক্ষেপ করা, ঘ) পয়েন্ট অর্জন করা")</f>
        <v>ক) লক্ষ্যবস্তুতে পাথর নিক্ষেপ করা, খ) সীমানার বাইরে পা রাখা, গ) উভয় হাত ব্যবহার করে নিক্ষেপ করা, ঘ) পয়েন্ট অর্জন করা</v>
      </c>
      <c r="L49" s="4" t="str">
        <f>IFERROR(__xludf.DUMMYFUNCTION("GOOGLETRANSLATE(D49, ""en"", ""bn"")"),"গ) নিক্ষেপের সময় উভয় হাত ব্যবহার করা")</f>
        <v>গ) নিক্ষেপের সময় উভয় হাত ব্যবহার করা</v>
      </c>
      <c r="M49" s="4" t="str">
        <f>IFERROR(__xludf.DUMMYFUNCTION("GOOGLETRANSLATE(E49, ""en"", ""bn"")"),"খেলোয়াড়দের পাথর ছুঁড়তে উভয় হাত ব্যবহার করার অনুমতি নেই; এটি এক হাত দিয়েই করতে হবে।")</f>
        <v>খেলোয়াড়দের পাথর ছুঁড়তে উভয় হাত ব্যবহার করার অনুমতি নেই; এটি এক হাত দিয়েই করতে হবে।</v>
      </c>
    </row>
    <row r="50">
      <c r="A50" s="3">
        <v>49.0</v>
      </c>
      <c r="B50" s="3" t="s">
        <v>201</v>
      </c>
      <c r="C50" s="3" t="s">
        <v>202</v>
      </c>
      <c r="D50" s="3" t="s">
        <v>203</v>
      </c>
      <c r="E50" s="3" t="s">
        <v>204</v>
      </c>
      <c r="I50" s="4" t="str">
        <f>IFERROR(__xludf.DUMMYFUNCTION("GOOGLETRANSLATE(A50, ""en"", ""bn"")"),"৪৯")</f>
        <v>৪৯</v>
      </c>
      <c r="J50" s="4" t="str">
        <f>IFERROR(__xludf.DUMMYFUNCTION("GOOGLETRANSLATE(B50, ""en"", ""bn"")"),"বলি খেলায় প্রতিটি দলে সর্বনিম্ন কতজন খেলোয়াড় থাকতে হবে?")</f>
        <v>বলি খেলায় প্রতিটি দলে সর্বনিম্ন কতজন খেলোয়াড় থাকতে হবে?</v>
      </c>
      <c r="K50" s="4" t="str">
        <f>IFERROR(__xludf.DUMMYFUNCTION("GOOGLETRANSLATE(C50, ""en"", ""bn"")"),"ক) ২, খ) ৩, গ) ৪, ঘ) ৫")</f>
        <v>ক) ২, খ) ৩, গ) ৪, ঘ) ৫</v>
      </c>
      <c r="L50" s="4" t="str">
        <f>IFERROR(__xludf.DUMMYFUNCTION("GOOGLETRANSLATE(D50, ""en"", ""bn"")"),"খ) ৩")</f>
        <v>খ) ৩</v>
      </c>
      <c r="M50" s="4" t="str">
        <f>IFERROR(__xludf.DUMMYFUNCTION("GOOGLETRANSLATE(E50, ""en"", ""bn"")"),"খেলাটি এগিয়ে নিতে প্রতিটি দলে কমপক্ষে ৩ জন খেলোয়াড় থাকা আবশ্যক।")</f>
        <v>খেলাটি এগিয়ে নিতে প্রতিটি দলে কমপক্ষে ৩ জন খেলোয়াড় থাকা আবশ্যক।</v>
      </c>
    </row>
    <row r="51">
      <c r="A51" s="3">
        <v>50.0</v>
      </c>
      <c r="B51" s="3" t="s">
        <v>205</v>
      </c>
      <c r="C51" s="3" t="s">
        <v>206</v>
      </c>
      <c r="D51" s="3" t="s">
        <v>207</v>
      </c>
      <c r="E51" s="3" t="s">
        <v>208</v>
      </c>
      <c r="I51" s="4" t="str">
        <f>IFERROR(__xludf.DUMMYFUNCTION("GOOGLETRANSLATE(A51, ""en"", ""bn"")"),"৫০")</f>
        <v>৫০</v>
      </c>
      <c r="J51" s="4" t="str">
        <f>IFERROR(__xludf.DUMMYFUNCTION("GOOGLETRANSLATE(B51, ""en"", ""bn"")"),"বাংলাদেশী সংস্কৃতিতে বলি খেলার তাৎপর্য কী?")</f>
        <v>বাংলাদেশী সংস্কৃতিতে বলি খেলার তাৎপর্য কী?</v>
      </c>
      <c r="K51" s="4" t="str">
        <f>IFERROR(__xludf.DUMMYFUNCTION("GOOGLETRANSLATE(C51, ""en"", ""bn"")"),"ক) এটি দলবদ্ধভাবে কাজ করার উৎসাহ দেয়, খ) এটি এক ধরণের উপাসনা, গ) এটি স্থানীয় ফসল উদযাপন করে, ঘ) এটি একটি শিক্ষামূলক অনুষ্ঠান")</f>
        <v>ক) এটি দলবদ্ধভাবে কাজ করার উৎসাহ দেয়, খ) এটি এক ধরণের উপাসনা, গ) এটি স্থানীয় ফসল উদযাপন করে, ঘ) এটি একটি শিক্ষামূলক অনুষ্ঠান</v>
      </c>
      <c r="L51" s="4" t="str">
        <f>IFERROR(__xludf.DUMMYFUNCTION("GOOGLETRANSLATE(D51, ""en"", ""bn"")"),"ক) এটি দলগত কাজের প্রচার করে")</f>
        <v>ক) এটি দলগত কাজের প্রচার করে</v>
      </c>
      <c r="M51" s="4" t="str">
        <f>IFERROR(__xludf.DUMMYFUNCTION("GOOGLETRANSLATE(E51, ""en"", ""bn"")"),"বলি খেলা একটি সামাজিক অনুষ্ঠান হিসেবে পালিত হয় যা দলগত কাজ এবং সহযোগিতাকে উৎসাহিত করে।")</f>
        <v>বলি খেলা একটি সামাজিক অনুষ্ঠান হিসেবে পালিত হয় যা দলগত কাজ এবং সহযোগিতাকে উৎসাহিত করে।</v>
      </c>
    </row>
    <row r="52">
      <c r="A52" s="3">
        <v>51.0</v>
      </c>
      <c r="B52" s="3" t="s">
        <v>209</v>
      </c>
      <c r="C52" s="3" t="s">
        <v>210</v>
      </c>
      <c r="D52" s="3" t="s">
        <v>211</v>
      </c>
      <c r="E52" s="3" t="s">
        <v>212</v>
      </c>
      <c r="I52" s="4" t="str">
        <f>IFERROR(__xludf.DUMMYFUNCTION("GOOGLETRANSLATE(A52, ""en"", ""bn"")"),"৫১")</f>
        <v>৫১</v>
      </c>
      <c r="J52" s="4" t="str">
        <f>IFERROR(__xludf.DUMMYFUNCTION("GOOGLETRANSLATE(B52, ""en"", ""bn"")"),"বলি খেলা প্রথম কবে খেলা হয়েছিল?")</f>
        <v>বলি খেলা প্রথম কবে খেলা হয়েছিল?</v>
      </c>
      <c r="K52" s="4" t="str">
        <f>IFERROR(__xludf.DUMMYFUNCTION("GOOGLETRANSLATE(C52, ""en"", ""bn"")"),"ক) পঞ্চদশ শতাব্দীতে, খ) আঠারো শতকে, গ) উনিশ শতকে, ঘ) বিংশ শতাব্দীতে")</f>
        <v>ক) পঞ্চদশ শতাব্দীতে, খ) আঠারো শতকে, গ) উনিশ শতকে, ঘ) বিংশ শতাব্দীতে</v>
      </c>
      <c r="L52" s="4" t="str">
        <f>IFERROR(__xludf.DUMMYFUNCTION("GOOGLETRANSLATE(D52, ""en"", ""bn"")"),"খ) ১৮ শতকে")</f>
        <v>খ) ১৮ শতকে</v>
      </c>
      <c r="M52" s="4" t="str">
        <f>IFERROR(__xludf.DUMMYFUNCTION("GOOGLETRANSLATE(E52, ""en"", ""bn"")"),"বিশ্বাস করা হয় যে বলি খেলা ১৮ শতকে বাংলাদেশে উৎপত্তি লাভ করেছিল।")</f>
        <v>বিশ্বাস করা হয় যে বলি খেলা ১৮ শতকে বাংলাদেশে উৎপত্তি লাভ করেছিল।</v>
      </c>
    </row>
    <row r="53">
      <c r="A53" s="3">
        <v>52.0</v>
      </c>
      <c r="B53" s="3" t="s">
        <v>213</v>
      </c>
      <c r="C53" s="3" t="s">
        <v>214</v>
      </c>
      <c r="D53" s="3" t="s">
        <v>215</v>
      </c>
      <c r="E53" s="3" t="s">
        <v>216</v>
      </c>
      <c r="I53" s="4" t="str">
        <f>IFERROR(__xludf.DUMMYFUNCTION("GOOGLETRANSLATE(A53, ""en"", ""bn"")"),"৫২")</f>
        <v>৫২</v>
      </c>
      <c r="J53" s="4" t="str">
        <f>IFERROR(__xludf.DUMMYFUNCTION("GOOGLETRANSLATE(B53, ""en"", ""bn"")"),"বলি খেলায় ব্যবহৃত পাথরের একটি সাধারণ বৈশিষ্ট্য কী?")</f>
        <v>বলি খেলায় ব্যবহৃত পাথরের একটি সাধারণ বৈশিষ্ট্য কী?</v>
      </c>
      <c r="K53" s="4" t="str">
        <f>IFERROR(__xludf.DUMMYFUNCTION("GOOGLETRANSLATE(C53, ""en"", ""bn"")"),"ক) এটি মসৃণ, খ) এটি খোদাই করা, গ) এর রুক্ষ প্রান্ত রয়েছে, ঘ) এটি ধাতব")</f>
        <v>ক) এটি মসৃণ, খ) এটি খোদাই করা, গ) এর রুক্ষ প্রান্ত রয়েছে, ঘ) এটি ধাতব</v>
      </c>
      <c r="L53" s="4" t="str">
        <f>IFERROR(__xludf.DUMMYFUNCTION("GOOGLETRANSLATE(D53, ""en"", ""bn"")"),"গ) এর রুক্ষ প্রান্ত রয়েছে")</f>
        <v>গ) এর রুক্ষ প্রান্ত রয়েছে</v>
      </c>
      <c r="M53" s="4" t="str">
        <f>IFERROR(__xludf.DUMMYFUNCTION("GOOGLETRANSLATE(E53, ""en"", ""bn"")"),"বলি খেলায় ব্যবহৃত পাথরের ধার সাধারণত রুক্ষ থাকে, যা নিক্ষেপে অসুবিধা বাড়ায়।")</f>
        <v>বলি খেলায় ব্যবহৃত পাথরের ধার সাধারণত রুক্ষ থাকে, যা নিক্ষেপে অসুবিধা বাড়ায়।</v>
      </c>
    </row>
    <row r="54">
      <c r="A54" s="3">
        <v>53.0</v>
      </c>
      <c r="B54" s="3" t="s">
        <v>217</v>
      </c>
      <c r="C54" s="3" t="s">
        <v>218</v>
      </c>
      <c r="D54" s="3" t="s">
        <v>219</v>
      </c>
      <c r="E54" s="3" t="s">
        <v>220</v>
      </c>
      <c r="I54" s="4" t="str">
        <f>IFERROR(__xludf.DUMMYFUNCTION("GOOGLETRANSLATE(A54, ""en"", ""bn"")"),"৫৩")</f>
        <v>৫৩</v>
      </c>
      <c r="J54" s="4" t="str">
        <f>IFERROR(__xludf.DUMMYFUNCTION("GOOGLETRANSLATE(B54, ""en"", ""bn"")"),"বলি খেলায় সফলভাবে নিক্ষেপের আদর্শ কৌশল কী?")</f>
        <v>বলি খেলায় সফলভাবে নিক্ষেপের আদর্শ কৌশল কী?</v>
      </c>
      <c r="K54" s="4" t="str">
        <f>IFERROR(__xludf.DUMMYFUNCTION("GOOGLETRANSLATE(C54, ""en"", ""bn"")"),"ক) একটি শক্তিশালী নিক্ষেপ, খ) একটি সুনির্দিষ্ট লক্ষ্য, গ) একটি দ্রুত নিক্ষেপ, ঘ) একটি উচ্চ গতিপথ")</f>
        <v>ক) একটি শক্তিশালী নিক্ষেপ, খ) একটি সুনির্দিষ্ট লক্ষ্য, গ) একটি দ্রুত নিক্ষেপ, ঘ) একটি উচ্চ গতিপথ</v>
      </c>
      <c r="L54" s="4" t="str">
        <f>IFERROR(__xludf.DUMMYFUNCTION("GOOGLETRANSLATE(D54, ""en"", ""bn"")"),"খ) একটি সুনির্দিষ্ট লক্ষ্য")</f>
        <v>খ) একটি সুনির্দিষ্ট লক্ষ্য</v>
      </c>
      <c r="M54" s="4" t="str">
        <f>IFERROR(__xludf.DUMMYFUNCTION("GOOGLETRANSLATE(E54, ""en"", ""bn"")"),"বলি খেলায় সাফল্যের চাবিকাঠি হলো লক্ষ্যবস্তুতে আঘাত হানার জন্য নিখুঁত লক্ষ্য নির্ধারণ করা।")</f>
        <v>বলি খেলায় সাফল্যের চাবিকাঠি হলো লক্ষ্যবস্তুতে আঘাত হানার জন্য নিখুঁত লক্ষ্য নির্ধারণ করা।</v>
      </c>
    </row>
    <row r="55">
      <c r="A55" s="3">
        <v>54.0</v>
      </c>
      <c r="B55" s="3" t="s">
        <v>221</v>
      </c>
      <c r="C55" s="3" t="s">
        <v>222</v>
      </c>
      <c r="D55" s="3" t="s">
        <v>223</v>
      </c>
      <c r="E55" s="3" t="s">
        <v>224</v>
      </c>
      <c r="I55" s="4" t="str">
        <f>IFERROR(__xludf.DUMMYFUNCTION("GOOGLETRANSLATE(A55, ""en"", ""bn"")"),"৫৪")</f>
        <v>৫৪</v>
      </c>
      <c r="J55" s="4" t="str">
        <f>IFERROR(__xludf.DUMMYFUNCTION("GOOGLETRANSLATE(B55, ""en"", ""bn"")"),"বলি খেলায় আক্রমণাত্মক দলের ভূমিকা কী?")</f>
        <v>বলি খেলায় আক্রমণাত্মক দলের ভূমিকা কী?</v>
      </c>
      <c r="K55" s="4" t="str">
        <f>IFERROR(__xludf.DUMMYFUNCTION("GOOGLETRANSLATE(C55, ""en"", ""bn"")"),"ক) লক্ষ্যবস্তু রক্ষা করার জন্য, খ) পাথর নিক্ষেপ করার জন্য, গ) পাথর ধরার জন্য, ঘ) লক্ষ্যবস্তুকে আঘাত করার জন্য")</f>
        <v>ক) লক্ষ্যবস্তু রক্ষা করার জন্য, খ) পাথর নিক্ষেপ করার জন্য, গ) পাথর ধরার জন্য, ঘ) লক্ষ্যবস্তুকে আঘাত করার জন্য</v>
      </c>
      <c r="L55" s="4" t="str">
        <f>IFERROR(__xludf.DUMMYFUNCTION("GOOGLETRANSLATE(D55, ""en"", ""bn"")"),"ঘ) লক্ষ্যবস্তু ধ্বংস করা")</f>
        <v>ঘ) লক্ষ্যবস্তু ধ্বংস করা</v>
      </c>
      <c r="M55" s="4" t="str">
        <f>IFERROR(__xludf.DUMMYFUNCTION("GOOGLETRANSLATE(E55, ""en"", ""bn"")"),"আক্রমণকারী দলের মূল লক্ষ্য হলো পাথর ছুঁড়ে লক্ষ্যবস্তু ভেঙে ফেলা।")</f>
        <v>আক্রমণকারী দলের মূল লক্ষ্য হলো পাথর ছুঁড়ে লক্ষ্যবস্তু ভেঙে ফেলা।</v>
      </c>
    </row>
    <row r="56">
      <c r="A56" s="3">
        <v>55.0</v>
      </c>
      <c r="B56" s="3" t="s">
        <v>58</v>
      </c>
      <c r="C56" s="3" t="s">
        <v>225</v>
      </c>
      <c r="D56" s="3" t="s">
        <v>226</v>
      </c>
      <c r="E56" s="3" t="s">
        <v>227</v>
      </c>
      <c r="I56" s="4" t="str">
        <f>IFERROR(__xludf.DUMMYFUNCTION("GOOGLETRANSLATE(A56, ""en"", ""bn"")"),"৫৫")</f>
        <v>৫৫</v>
      </c>
      <c r="J56" s="4" t="str">
        <f>IFERROR(__xludf.DUMMYFUNCTION("GOOGLETRANSLATE(B56, ""en"", ""bn"")"),"বলি খেলায় প্রতিটি দলে কতজন খেলোয়াড় থাকে?")</f>
        <v>বলি খেলায় প্রতিটি দলে কতজন খেলোয়াড় থাকে?</v>
      </c>
      <c r="K56" s="4" t="str">
        <f>IFERROR(__xludf.DUMMYFUNCTION("GOOGLETRANSLATE(C56, ""en"", ""bn"")"),"ক) ৫, খ) ৭, গ) ১০, ঘ) ১১")</f>
        <v>ক) ৫, খ) ৭, গ) ১০, ঘ) ১১</v>
      </c>
      <c r="L56" s="4" t="str">
        <f>IFERROR(__xludf.DUMMYFUNCTION("GOOGLETRANSLATE(D56, ""en"", ""bn"")"),"খ) ৭")</f>
        <v>খ) ৭</v>
      </c>
      <c r="M56" s="4" t="str">
        <f>IFERROR(__xludf.DUMMYFUNCTION("GOOGLETRANSLATE(E56, ""en"", ""bn"")"),"প্রতিটি দলে ৭ জন খেলোয়াড় থাকে যারা লক্ষ্যবস্তুতে আঘাত হানতে এবং রক্ষণের জন্য একসাথে কাজ করে।")</f>
        <v>প্রতিটি দলে ৭ জন খেলোয়াড় থাকে যারা লক্ষ্যবস্তুতে আঘাত হানতে এবং রক্ষণের জন্য একসাথে কাজ করে।</v>
      </c>
    </row>
    <row r="57">
      <c r="A57" s="3">
        <v>56.0</v>
      </c>
      <c r="B57" s="3" t="s">
        <v>228</v>
      </c>
      <c r="C57" s="3" t="s">
        <v>229</v>
      </c>
      <c r="D57" s="3" t="s">
        <v>230</v>
      </c>
      <c r="E57" s="3" t="s">
        <v>231</v>
      </c>
      <c r="I57" s="4" t="str">
        <f>IFERROR(__xludf.DUMMYFUNCTION("GOOGLETRANSLATE(A57, ""en"", ""bn"")"),"৫৬")</f>
        <v>৫৬</v>
      </c>
      <c r="J57" s="4" t="str">
        <f>IFERROR(__xludf.DUMMYFUNCTION("GOOGLETRANSLATE(B57, ""en"", ""bn"")"),"বলি খেলায়, আক্রমণাত্মক দলের প্রাথমিক লক্ষ্য কী?")</f>
        <v>বলি খেলায়, আক্রমণাত্মক দলের প্রাথমিক লক্ষ্য কী?</v>
      </c>
      <c r="K57" s="4" t="str">
        <f>IFERROR(__xludf.DUMMYFUNCTION("GOOGLETRANSLATE(C57, ""en"", ""bn"")"),"ক) পাথরটিকে লক্ষ্যবস্তুতে আঘাত করা থেকে বিরত রাখা, খ) পাথর দিয়ে লক্ষ্যবস্তুতে আঘাত করা, গ) মাঠ রক্ষা করা, ঘ) বল ধরা")</f>
        <v>ক) পাথরটিকে লক্ষ্যবস্তুতে আঘাত করা থেকে বিরত রাখা, খ) পাথর দিয়ে লক্ষ্যবস্তুতে আঘাত করা, গ) মাঠ রক্ষা করা, ঘ) বল ধরা</v>
      </c>
      <c r="L57" s="4" t="str">
        <f>IFERROR(__xludf.DUMMYFUNCTION("GOOGLETRANSLATE(D57, ""en"", ""bn"")"),"খ) পাথর দিয়ে লক্ষ্যবস্তুতে আঘাত করা")</f>
        <v>খ) পাথর দিয়ে লক্ষ্যবস্তুতে আঘাত করা</v>
      </c>
      <c r="M57" s="4" t="str">
        <f>IFERROR(__xludf.DUMMYFUNCTION("GOOGLETRANSLATE(E57, ""en"", ""bn"")"),"আক্রমণকারী দলের লক্ষ্য হলো পাথরটি এমনভাবে নিক্ষেপ করা যাতে এটি লক্ষ্যবস্তুতে আঘাত করে এবং আঘাত করে।")</f>
        <v>আক্রমণকারী দলের লক্ষ্য হলো পাথরটি এমনভাবে নিক্ষেপ করা যাতে এটি লক্ষ্যবস্তুতে আঘাত করে এবং আঘাত করে।</v>
      </c>
    </row>
    <row r="58">
      <c r="A58" s="3">
        <v>57.0</v>
      </c>
      <c r="B58" s="3" t="s">
        <v>232</v>
      </c>
      <c r="C58" s="3" t="s">
        <v>233</v>
      </c>
      <c r="D58" s="3" t="s">
        <v>234</v>
      </c>
      <c r="E58" s="3" t="s">
        <v>235</v>
      </c>
      <c r="I58" s="4" t="str">
        <f>IFERROR(__xludf.DUMMYFUNCTION("GOOGLETRANSLATE(A58, ""en"", ""bn"")"),"৫৭")</f>
        <v>৫৭</v>
      </c>
      <c r="J58" s="4" t="str">
        <f>IFERROR(__xludf.DUMMYFUNCTION("GOOGLETRANSLATE(B58, ""en"", ""bn"")"),"বলি খেলায় একজন খেলোয়াড়ের সর্বোচ্চ কত সময় ধরে থ্রো করা সম্ভব?")</f>
        <v>বলি খেলায় একজন খেলোয়াড়ের সর্বোচ্চ কত সময় ধরে থ্রো করা সম্ভব?</v>
      </c>
      <c r="K58" s="4" t="str">
        <f>IFERROR(__xludf.DUMMYFUNCTION("GOOGLETRANSLATE(C58, ""en"", ""bn"")"),"ক) ১০ সেকেন্ড, খ) ৩০ সেকেন্ড, গ) ১ মিনিট, ঘ) ২ মিনিট")</f>
        <v>ক) ১০ সেকেন্ড, খ) ৩০ সেকেন্ড, গ) ১ মিনিট, ঘ) ২ মিনিট</v>
      </c>
      <c r="L58" s="4" t="str">
        <f>IFERROR(__xludf.DUMMYFUNCTION("GOOGLETRANSLATE(D58, ""en"", ""bn"")"),"খ) ৩০ সেকেন্ড")</f>
        <v>খ) ৩০ সেকেন্ড</v>
      </c>
      <c r="M58" s="4" t="str">
        <f>IFERROR(__xludf.DUMMYFUNCTION("GOOGLETRANSLATE(E58, ""en"", ""bn"")"),"খেলোয়াড়দের পালা আসার পর তাদের থ্রো করার জন্য 30 সেকেন্ড সময় দেওয়া হয়।")</f>
        <v>খেলোয়াড়দের পালা আসার পর তাদের থ্রো করার জন্য 30 সেকেন্ড সময় দেওয়া হয়।</v>
      </c>
    </row>
    <row r="59">
      <c r="A59" s="3">
        <v>58.0</v>
      </c>
      <c r="B59" s="3" t="s">
        <v>236</v>
      </c>
      <c r="C59" s="3" t="s">
        <v>237</v>
      </c>
      <c r="D59" s="3" t="s">
        <v>238</v>
      </c>
      <c r="E59" s="3" t="s">
        <v>239</v>
      </c>
      <c r="I59" s="4" t="str">
        <f>IFERROR(__xludf.DUMMYFUNCTION("GOOGLETRANSLATE(A59, ""en"", ""bn"")"),"৫৮")</f>
        <v>৫৮</v>
      </c>
      <c r="J59" s="4" t="str">
        <f>IFERROR(__xludf.DUMMYFUNCTION("GOOGLETRANSLATE(B59, ""en"", ""bn"")"),"বলি খেলা খেলার সময় কোন অ্যাকশনের ফলে পেনাল্টি হয়?")</f>
        <v>বলি খেলা খেলার সময় কোন অ্যাকশনের ফলে পেনাল্টি হয়?</v>
      </c>
      <c r="K59" s="4" t="str">
        <f>IFERROR(__xludf.DUMMYFUNCTION("GOOGLETRANSLATE(C59, ""en"", ""bn"")"),"ক) খুব তাড়াতাড়ি পাথর ছুঁড়ে মারা, খ) সীমানার বাইরে পা রাখা, গ) উভয় হাতে পাথর আঘাত করা, ঘ) উপরের সবগুলোই")</f>
        <v>ক) খুব তাড়াতাড়ি পাথর ছুঁড়ে মারা, খ) সীমানার বাইরে পা রাখা, গ) উভয় হাতে পাথর আঘাত করা, ঘ) উপরের সবগুলোই</v>
      </c>
      <c r="L59" s="4" t="str">
        <f>IFERROR(__xludf.DUMMYFUNCTION("GOOGLETRANSLATE(D59, ""en"", ""bn"")"),"ঘ) উপরের সবগুলো")</f>
        <v>ঘ) উপরের সবগুলো</v>
      </c>
      <c r="M59" s="4" t="str">
        <f>IFERROR(__xludf.DUMMYFUNCTION("GOOGLETRANSLATE(E59, ""en"", ""bn"")"),"এই সমস্ত পদক্ষেপ নিয়ম লঙ্ঘন করে এবং অপরাধী দলের জন্য শাস্তির কারণ হতে পারে।")</f>
        <v>এই সমস্ত পদক্ষেপ নিয়ম লঙ্ঘন করে এবং অপরাধী দলের জন্য শাস্তির কারণ হতে পারে।</v>
      </c>
    </row>
    <row r="60">
      <c r="A60" s="3">
        <v>59.0</v>
      </c>
      <c r="B60" s="3" t="s">
        <v>240</v>
      </c>
      <c r="C60" s="3" t="s">
        <v>241</v>
      </c>
      <c r="D60" s="3" t="s">
        <v>242</v>
      </c>
      <c r="E60" s="3" t="s">
        <v>243</v>
      </c>
      <c r="I60" s="4" t="str">
        <f>IFERROR(__xludf.DUMMYFUNCTION("GOOGLETRANSLATE(A60, ""en"", ""bn"")"),"৫৯")</f>
        <v>৫৯</v>
      </c>
      <c r="J60" s="4" t="str">
        <f>IFERROR(__xludf.DUMMYFUNCTION("GOOGLETRANSLATE(B60, ""en"", ""bn"")"),"বলি খেলায়, সাধারণত লক্ষ্যবস্তু হিসেবে কী ব্যবহৃত হয়?")</f>
        <v>বলি খেলায়, সাধারণত লক্ষ্যবস্তু হিসেবে কী ব্যবহৃত হয়?</v>
      </c>
      <c r="K60" s="4" t="str">
        <f>IFERROR(__xludf.DUMMYFUNCTION("GOOGLETRANSLATE(C60, ""en"", ""bn"")"),"ক) পাথরের স্তূপ, খ) কাঠের খুঁটি, গ) ধাতব লক্ষ্যবস্তু, ঘ) পতাকা")</f>
        <v>ক) পাথরের স্তূপ, খ) কাঠের খুঁটি, গ) ধাতব লক্ষ্যবস্তু, ঘ) পতাকা</v>
      </c>
      <c r="L60" s="4" t="str">
        <f>IFERROR(__xludf.DUMMYFUNCTION("GOOGLETRANSLATE(D60, ""en"", ""bn"")"),"ক) পাথরের স্তূপ")</f>
        <v>ক) পাথরের স্তূপ</v>
      </c>
      <c r="M60" s="4" t="str">
        <f>IFERROR(__xludf.DUMMYFUNCTION("GOOGLETRANSLATE(E60, ""en"", ""bn"")"),"লক্ষ্যবস্তু সাধারণত পাথরের স্তূপ যা পয়েন্ট অর্জনের জন্য ছিটকে পড়তে হয়।")</f>
        <v>লক্ষ্যবস্তু সাধারণত পাথরের স্তূপ যা পয়েন্ট অর্জনের জন্য ছিটকে পড়তে হয়।</v>
      </c>
    </row>
    <row r="61">
      <c r="A61" s="3">
        <v>60.0</v>
      </c>
      <c r="B61" s="3" t="s">
        <v>244</v>
      </c>
      <c r="C61" s="3" t="s">
        <v>245</v>
      </c>
      <c r="D61" s="3" t="s">
        <v>246</v>
      </c>
      <c r="E61" s="3" t="s">
        <v>247</v>
      </c>
      <c r="I61" s="4" t="str">
        <f>IFERROR(__xludf.DUMMYFUNCTION("GOOGLETRANSLATE(A61, ""en"", ""bn"")"),"৬০")</f>
        <v>৬০</v>
      </c>
      <c r="J61" s="4" t="str">
        <f>IFERROR(__xludf.DUMMYFUNCTION("GOOGLETRANSLATE(B61, ""en"", ""bn"")"),"বলি খেলায় ডিফেন্ডিং দলের মূল দায়িত্ব কী?")</f>
        <v>বলি খেলায় ডিফেন্ডিং দলের মূল দায়িত্ব কী?</v>
      </c>
      <c r="K61" s="4" t="str">
        <f>IFERROR(__xludf.DUMMYFUNCTION("GOOGLETRANSLATE(C61, ""en"", ""bn"")"),"ক) পাথর নিক্ষেপ করা, খ) পাথর ধরা, গ) লক্ষ্য রক্ষা করা, ঘ) পয়েন্ট অর্জন করা")</f>
        <v>ক) পাথর নিক্ষেপ করা, খ) পাথর ধরা, গ) লক্ষ্য রক্ষা করা, ঘ) পয়েন্ট অর্জন করা</v>
      </c>
      <c r="L61" s="4" t="str">
        <f>IFERROR(__xludf.DUMMYFUNCTION("GOOGLETRANSLATE(D61, ""en"", ""bn"")"),"গ) লক্ষ্য রক্ষার জন্য")</f>
        <v>গ) লক্ষ্য রক্ষার জন্য</v>
      </c>
      <c r="M61" s="4" t="str">
        <f>IFERROR(__xludf.DUMMYFUNCTION("GOOGLETRANSLATE(E61, ""en"", ""bn"")"),"রক্ষণভাগের দলের ভূমিকা হলো আক্রমণকারী দলকে লক্ষ্যবস্তুতে আঘাত হানতে বাধা দেওয়া।")</f>
        <v>রক্ষণভাগের দলের ভূমিকা হলো আক্রমণকারী দলকে লক্ষ্যবস্তুতে আঘাত হানতে বাধা দেওয়া।</v>
      </c>
    </row>
    <row r="62">
      <c r="A62" s="3">
        <v>61.0</v>
      </c>
      <c r="B62" s="3" t="s">
        <v>248</v>
      </c>
      <c r="C62" s="3" t="s">
        <v>249</v>
      </c>
      <c r="D62" s="3" t="s">
        <v>250</v>
      </c>
      <c r="E62" s="3" t="s">
        <v>251</v>
      </c>
      <c r="I62" s="4" t="str">
        <f>IFERROR(__xludf.DUMMYFUNCTION("GOOGLETRANSLATE(A62, ""en"", ""bn"")"),"৬১")</f>
        <v>৬১</v>
      </c>
      <c r="J62" s="4" t="str">
        <f>IFERROR(__xludf.DUMMYFUNCTION("GOOGLETRANSLATE(B62, ""en"", ""bn"")"),"বলি খেলায়, একটি বৈধ প্রচেষ্টার জন্য সর্বনিম্ন কত দূরত্ব নিক্ষেপ করতে হবে?")</f>
        <v>বলি খেলায়, একটি বৈধ প্রচেষ্টার জন্য সর্বনিম্ন কত দূরত্ব নিক্ষেপ করতে হবে?</v>
      </c>
      <c r="K62" s="4" t="str">
        <f>IFERROR(__xludf.DUMMYFUNCTION("GOOGLETRANSLATE(C62, ""en"", ""bn"")"),"ক) ৫ মিটার, খ) ১০ মিটার, গ) ১৫ মিটার, ঘ) ২০ মিটার")</f>
        <v>ক) ৫ মিটার, খ) ১০ মিটার, গ) ১৫ মিটার, ঘ) ২০ মিটার</v>
      </c>
      <c r="L62" s="4" t="str">
        <f>IFERROR(__xludf.DUMMYFUNCTION("GOOGLETRANSLATE(D62, ""en"", ""bn"")"),"খ) ১০ মিটার")</f>
        <v>খ) ১০ মিটার</v>
      </c>
      <c r="M62" s="4" t="str">
        <f>IFERROR(__xludf.DUMMYFUNCTION("GOOGLETRANSLATE(E62, ""en"", ""bn"")"),"কমপক্ষে ১০ মিটার অতিক্রম করতে ব্যর্থ থ্রোগুলিকে অবৈধ বলে গণ্য করা হয় এবং গণনা করা হয় না।")</f>
        <v>কমপক্ষে ১০ মিটার অতিক্রম করতে ব্যর্থ থ্রোগুলিকে অবৈধ বলে গণ্য করা হয় এবং গণনা করা হয় না।</v>
      </c>
    </row>
    <row r="63">
      <c r="A63" s="3">
        <v>62.0</v>
      </c>
      <c r="B63" s="3" t="s">
        <v>252</v>
      </c>
      <c r="C63" s="3" t="s">
        <v>253</v>
      </c>
      <c r="D63" s="3" t="s">
        <v>68</v>
      </c>
      <c r="E63" s="3" t="s">
        <v>254</v>
      </c>
      <c r="I63" s="4" t="str">
        <f>IFERROR(__xludf.DUMMYFUNCTION("GOOGLETRANSLATE(A63, ""en"", ""bn"")"),"৬২")</f>
        <v>৬২</v>
      </c>
      <c r="J63" s="4" t="str">
        <f>IFERROR(__xludf.DUMMYFUNCTION("GOOGLETRANSLATE(B63, ""en"", ""bn"")"),"যদি নিক্ষেপের আগে কোনও খেলোয়াড়ের হাত থেকে পাথরটি পড়ে যায় তবে কী হবে?")</f>
        <v>যদি নিক্ষেপের আগে কোনও খেলোয়াড়ের হাত থেকে পাথরটি পড়ে যায় তবে কী হবে?</v>
      </c>
      <c r="K63" s="4" t="str">
        <f>IFERROR(__xludf.DUMMYFUNCTION("GOOGLETRANSLATE(C63, ""en"", ""bn"")"),"ক) এটি একটি ফাউল, খ) এটি উপেক্ষা করা হয়েছে, গ) থ্রো পুনরাবৃত্তি করা হয়েছে, ঘ) অন্য দল একটি পয়েন্ট অর্জন করেছে")</f>
        <v>ক) এটি একটি ফাউল, খ) এটি উপেক্ষা করা হয়েছে, গ) থ্রো পুনরাবৃত্তি করা হয়েছে, ঘ) অন্য দল একটি পয়েন্ট অর্জন করেছে</v>
      </c>
      <c r="L63" s="4" t="str">
        <f>IFERROR(__xludf.DUMMYFUNCTION("GOOGLETRANSLATE(D63, ""en"", ""bn"")"),"গ) নিক্ষেপটি পুনরাবৃত্তি হয়")</f>
        <v>গ) নিক্ষেপটি পুনরাবৃত্তি হয়</v>
      </c>
      <c r="M63" s="4" t="str">
        <f>IFERROR(__xludf.DUMMYFUNCTION("GOOGLETRANSLATE(E63, ""en"", ""bn"")"),"দুর্ঘটনাজনিত স্লিপের জন্য শাস্তি দেওয়া হয় না, তবে পুনরায় ছুঁড়ে ফেলতে হবে।")</f>
        <v>দুর্ঘটনাজনিত স্লিপের জন্য শাস্তি দেওয়া হয় না, তবে পুনরায় ছুঁড়ে ফেলতে হবে।</v>
      </c>
    </row>
    <row r="64">
      <c r="A64" s="3">
        <v>63.0</v>
      </c>
      <c r="B64" s="3" t="s">
        <v>255</v>
      </c>
      <c r="C64" s="3" t="s">
        <v>256</v>
      </c>
      <c r="D64" s="3" t="s">
        <v>257</v>
      </c>
      <c r="E64" s="3" t="s">
        <v>258</v>
      </c>
      <c r="I64" s="4" t="str">
        <f>IFERROR(__xludf.DUMMYFUNCTION("GOOGLETRANSLATE(A64, ""en"", ""bn"")"),"৬৩")</f>
        <v>৬৩</v>
      </c>
      <c r="J64" s="4" t="str">
        <f>IFERROR(__xludf.DUMMYFUNCTION("GOOGLETRANSLATE(B64, ""en"", ""bn"")"),"বলি খেলা নিক্ষেপের জন্য সাধারণত কোন হাত ব্যবহার করা হয়?")</f>
        <v>বলি খেলা নিক্ষেপের জন্য সাধারণত কোন হাত ব্যবহার করা হয়?</v>
      </c>
      <c r="K64" s="4" t="str">
        <f>IFERROR(__xludf.DUMMYFUNCTION("GOOGLETRANSLATE(C64, ""en"", ""bn"")"),"ক) বাম হাত, খ) ডান হাত, গ) উভয় হাত, ঘ) উভয় হাত")</f>
        <v>ক) বাম হাত, খ) ডান হাত, গ) উভয় হাত, ঘ) উভয় হাত</v>
      </c>
      <c r="L64" s="4" t="str">
        <f>IFERROR(__xludf.DUMMYFUNCTION("GOOGLETRANSLATE(D64, ""en"", ""bn"")"),"গ) উভয় হাত")</f>
        <v>গ) উভয় হাত</v>
      </c>
      <c r="M64" s="4" t="str">
        <f>IFERROR(__xludf.DUMMYFUNCTION("GOOGLETRANSLATE(E64, ""en"", ""bn"")"),"খেলোয়াড়রা যে হাত ব্যবহার করতে স্বাচ্ছন্দ্য বোধ করবে তা ব্যবহার করতে পারবে, কিন্তু উভয় হাত একসাথে নয়।")</f>
        <v>খেলোয়াড়রা যে হাত ব্যবহার করতে স্বাচ্ছন্দ্য বোধ করবে তা ব্যবহার করতে পারবে, কিন্তু উভয় হাত একসাথে নয়।</v>
      </c>
    </row>
    <row r="65">
      <c r="A65" s="3">
        <v>64.0</v>
      </c>
      <c r="B65" s="3" t="s">
        <v>259</v>
      </c>
      <c r="C65" s="3" t="s">
        <v>260</v>
      </c>
      <c r="D65" s="3" t="s">
        <v>261</v>
      </c>
      <c r="E65" s="3" t="s">
        <v>262</v>
      </c>
      <c r="I65" s="4" t="str">
        <f>IFERROR(__xludf.DUMMYFUNCTION("GOOGLETRANSLATE(A65, ""en"", ""bn"")"),"৬৪")</f>
        <v>৬৪</v>
      </c>
      <c r="J65" s="4" t="str">
        <f>IFERROR(__xludf.DUMMYFUNCTION("GOOGLETRANSLATE(B65, ""en"", ""bn"")"),"নিক্ষেপের অবস্থানের জন্য সাধারণ গ্রাউন্ড মার্কিং কী?")</f>
        <v>নিক্ষেপের অবস্থানের জন্য সাধারণ গ্রাউন্ড মার্কিং কী?</v>
      </c>
      <c r="K65" s="4" t="str">
        <f>IFERROR(__xludf.DUMMYFUNCTION("GOOGLETRANSLATE(C65, ""en"", ""bn"")"),"ক) একটি চক বৃত্ত, খ) একটি দড়ি, গ) একটি কাঠের লাঠি, ঘ) একটি পতাকা")</f>
        <v>ক) একটি চক বৃত্ত, খ) একটি দড়ি, গ) একটি কাঠের লাঠি, ঘ) একটি পতাকা</v>
      </c>
      <c r="L65" s="4" t="str">
        <f>IFERROR(__xludf.DUMMYFUNCTION("GOOGLETRANSLATE(D65, ""en"", ""bn"")"),"ক) একটি চক বৃত্ত")</f>
        <v>ক) একটি চক বৃত্ত</v>
      </c>
      <c r="M65" s="4" t="str">
        <f>IFERROR(__xludf.DUMMYFUNCTION("GOOGLETRANSLATE(E65, ""en"", ""bn"")"),"ছুঁড়ে মারার সময় খেলোয়াড়দের অবশ্যই চক-চিহ্নিত বৃত্তের ভিতরে থাকতে হবে।")</f>
        <v>ছুঁড়ে মারার সময় খেলোয়াড়দের অবশ্যই চক-চিহ্নিত বৃত্তের ভিতরে থাকতে হবে।</v>
      </c>
    </row>
    <row r="66">
      <c r="A66" s="3">
        <v>65.0</v>
      </c>
      <c r="B66" s="3" t="s">
        <v>263</v>
      </c>
      <c r="C66" s="3" t="s">
        <v>264</v>
      </c>
      <c r="D66" s="3" t="s">
        <v>265</v>
      </c>
      <c r="E66" s="3" t="s">
        <v>266</v>
      </c>
      <c r="I66" s="4" t="str">
        <f>IFERROR(__xludf.DUMMYFUNCTION("GOOGLETRANSLATE(A66, ""en"", ""bn"")"),"৬৫")</f>
        <v>৬৫</v>
      </c>
      <c r="J66" s="4" t="str">
        <f>IFERROR(__xludf.DUMMYFUNCTION("GOOGLETRANSLATE(B66, ""en"", ""bn"")"),"রেফারির থামার সংকেতের পরে যদি কোনও খেলোয়াড় পাথর ছুঁড়ে মারে তাহলে কী হবে?")</f>
        <v>রেফারির থামার সংকেতের পরে যদি কোনও খেলোয়াড় পাথর ছুঁড়ে মারে তাহলে কী হবে?</v>
      </c>
      <c r="K66" s="4" t="str">
        <f>IFERROR(__xludf.DUMMYFUNCTION("GOOGLETRANSLATE(C66, ""en"", ""bn"")"),"ক) থ্রো বৈধ, খ) এটি একটি ফাউল হিসেবে বিবেচিত হবে, গ) এটি একটি বোনাস হিসেবে গণ্য হবে, ঘ) থ্রো চলতে থাকবে")</f>
        <v>ক) থ্রো বৈধ, খ) এটি একটি ফাউল হিসেবে বিবেচিত হবে, গ) এটি একটি বোনাস হিসেবে গণ্য হবে, ঘ) থ্রো চলতে থাকবে</v>
      </c>
      <c r="L66" s="4" t="str">
        <f>IFERROR(__xludf.DUMMYFUNCTION("GOOGLETRANSLATE(D66, ""en"", ""bn"")"),"খ) এটি একটি ফাউল হিসেবে বিবেচিত হয়")</f>
        <v>খ) এটি একটি ফাউল হিসেবে বিবেচিত হয়</v>
      </c>
      <c r="M66" s="4" t="str">
        <f>IFERROR(__xludf.DUMMYFUNCTION("GOOGLETRANSLATE(E66, ""en"", ""bn"")"),"রেফারির স্টপ সিগন্যালের পরে থ্রো করা অবৈধ এবং জরিমানা হতে পারে।")</f>
        <v>রেফারির স্টপ সিগন্যালের পরে থ্রো করা অবৈধ এবং জরিমানা হতে পারে।</v>
      </c>
    </row>
    <row r="67">
      <c r="A67" s="3">
        <v>66.0</v>
      </c>
      <c r="B67" s="3" t="s">
        <v>267</v>
      </c>
      <c r="C67" s="3" t="s">
        <v>268</v>
      </c>
      <c r="D67" s="3" t="s">
        <v>269</v>
      </c>
      <c r="E67" s="3" t="s">
        <v>270</v>
      </c>
      <c r="I67" s="4" t="str">
        <f>IFERROR(__xludf.DUMMYFUNCTION("GOOGLETRANSLATE(A67, ""en"", ""bn"")"),"৬৬")</f>
        <v>৬৬</v>
      </c>
      <c r="J67" s="4" t="str">
        <f>IFERROR(__xludf.DUMMYFUNCTION("GOOGLETRANSLATE(B67, ""en"", ""bn"")"),"বলি খেলায় কোন দল প্রথমে থ্রো করে?")</f>
        <v>বলি খেলায় কোন দল প্রথমে থ্রো করে?</v>
      </c>
      <c r="K67" s="4" t="str">
        <f>IFERROR(__xludf.DUMMYFUNCTION("GOOGLETRANSLATE(C67, ""en"", ""bn"")"),"ক) মুদ্রা টসের মাধ্যমে নির্বাচিত, খ) হোম দল, গ) ডিফেন্ডিং দল, ঘ) তরুণ দল")</f>
        <v>ক) মুদ্রা টসের মাধ্যমে নির্বাচিত, খ) হোম দল, গ) ডিফেন্ডিং দল, ঘ) তরুণ দল</v>
      </c>
      <c r="L67" s="4" t="str">
        <f>IFERROR(__xludf.DUMMYFUNCTION("GOOGLETRANSLATE(D67, ""en"", ""bn"")"),"ক) মুদ্রা টস দ্বারা নির্বাচিত")</f>
        <v>ক) মুদ্রা টস দ্বারা নির্বাচিত</v>
      </c>
      <c r="M67" s="4" t="str">
        <f>IFERROR(__xludf.DUMMYFUNCTION("GOOGLETRANSLATE(E67, ""en"", ""bn"")"),"রেফারি একটি ন্যায্য টসের মাধ্যমে শুরুর দল নির্ধারণ করেন।")</f>
        <v>রেফারি একটি ন্যায্য টসের মাধ্যমে শুরুর দল নির্ধারণ করেন।</v>
      </c>
    </row>
    <row r="68">
      <c r="A68" s="3">
        <v>67.0</v>
      </c>
      <c r="B68" s="3" t="s">
        <v>271</v>
      </c>
      <c r="C68" s="3" t="s">
        <v>272</v>
      </c>
      <c r="D68" s="3" t="s">
        <v>273</v>
      </c>
      <c r="E68" s="3" t="s">
        <v>274</v>
      </c>
      <c r="I68" s="4" t="str">
        <f>IFERROR(__xludf.DUMMYFUNCTION("GOOGLETRANSLATE(A68, ""en"", ""bn"")"),"৬৭")</f>
        <v>৬৭</v>
      </c>
      <c r="J68" s="4" t="str">
        <f>IFERROR(__xludf.DUMMYFUNCTION("GOOGLETRANSLATE(B68, ""en"", ""bn"")"),"গোল করার ক্ষেত্রে রেফারির প্রধান দায়িত্ব কী?")</f>
        <v>গোল করার ক্ষেত্রে রেফারির প্রধান দায়িত্ব কী?</v>
      </c>
      <c r="K68" s="4" t="str">
        <f>IFERROR(__xludf.DUMMYFUNCTION("GOOGLETRANSLATE(C68, ""en"", ""bn"")"),"ক) বৈধ থ্রো গণনা করা, খ) খেলোয়াড়দের উৎসাহিত করা, গ) ইচ্ছামত পয়েন্ট প্রদান করা, ঘ) ম্যাচে যোগদান করা")</f>
        <v>ক) বৈধ থ্রো গণনা করা, খ) খেলোয়াড়দের উৎসাহিত করা, গ) ইচ্ছামত পয়েন্ট প্রদান করা, ঘ) ম্যাচে যোগদান করা</v>
      </c>
      <c r="L68" s="4" t="str">
        <f>IFERROR(__xludf.DUMMYFUNCTION("GOOGLETRANSLATE(D68, ""en"", ""bn"")"),"ক) বৈধ থ্রো গণনা করা")</f>
        <v>ক) বৈধ থ্রো গণনা করা</v>
      </c>
      <c r="M68" s="4" t="str">
        <f>IFERROR(__xludf.DUMMYFUNCTION("GOOGLETRANSLATE(E68, ""en"", ""bn"")"),"রেফারি নিশ্চিত করেন যে সমস্ত থ্রো সঠিকভাবে বিচার করা হচ্ছে এবং পয়েন্টগুলি ন্যায্যভাবে রেকর্ড করা হচ্ছে।")</f>
        <v>রেফারি নিশ্চিত করেন যে সমস্ত থ্রো সঠিকভাবে বিচার করা হচ্ছে এবং পয়েন্টগুলি ন্যায্যভাবে রেকর্ড করা হচ্ছে।</v>
      </c>
    </row>
    <row r="69">
      <c r="A69" s="3">
        <v>68.0</v>
      </c>
      <c r="B69" s="3" t="s">
        <v>275</v>
      </c>
      <c r="C69" s="3" t="s">
        <v>276</v>
      </c>
      <c r="D69" s="3" t="s">
        <v>277</v>
      </c>
      <c r="E69" s="3" t="s">
        <v>278</v>
      </c>
      <c r="I69" s="4" t="str">
        <f>IFERROR(__xludf.DUMMYFUNCTION("GOOGLETRANSLATE(A69, ""en"", ""bn"")"),"৬৮")</f>
        <v>৬৮</v>
      </c>
      <c r="J69" s="4" t="str">
        <f>IFERROR(__xludf.DUMMYFUNCTION("GOOGLETRANSLATE(B69, ""en"", ""bn"")"),"লক্ষ্যবস্তুতে আঘাত করার আগে যদি পাথরটি লাফিয়ে পড়ে, তাহলে তার নিয়ম কী?")</f>
        <v>লক্ষ্যবস্তুতে আঘাত করার আগে যদি পাথরটি লাফিয়ে পড়ে, তাহলে তার নিয়ম কী?</v>
      </c>
      <c r="K69" s="4" t="str">
        <f>IFERROR(__xludf.DUMMYFUNCTION("GOOGLETRANSLATE(C69, ""en"", ""bn"")"),"ক) এটি গুরুত্বপূর্ণ, খ) এটি গুরুত্বপূর্ণ নয়, গ) এটি একটি বোনাস, ঘ) অন্য দল একটি পালা হারায়")</f>
        <v>ক) এটি গুরুত্বপূর্ণ, খ) এটি গুরুত্বপূর্ণ নয়, গ) এটি একটি বোনাস, ঘ) অন্য দল একটি পালা হারায়</v>
      </c>
      <c r="L69" s="4" t="str">
        <f>IFERROR(__xludf.DUMMYFUNCTION("GOOGLETRANSLATE(D69, ""en"", ""bn"")"),"খ) এটি গণনা করা হয় না")</f>
        <v>খ) এটি গণনা করা হয় না</v>
      </c>
      <c r="M69" s="4" t="str">
        <f>IFERROR(__xludf.DUMMYFUNCTION("GOOGLETRANSLATE(E69, ""en"", ""bn"")"),"পাথরগুলোকে প্রথমে মাটি স্পর্শ না করে সরাসরি লক্ষ্যবস্তুতে আঘাত করতে হবে।")</f>
        <v>পাথরগুলোকে প্রথমে মাটি স্পর্শ না করে সরাসরি লক্ষ্যবস্তুতে আঘাত করতে হবে।</v>
      </c>
    </row>
    <row r="70">
      <c r="A70" s="3">
        <v>69.0</v>
      </c>
      <c r="B70" s="3" t="s">
        <v>279</v>
      </c>
      <c r="C70" s="3" t="s">
        <v>280</v>
      </c>
      <c r="D70" s="3" t="s">
        <v>281</v>
      </c>
      <c r="E70" s="3" t="s">
        <v>282</v>
      </c>
      <c r="I70" s="4" t="str">
        <f>IFERROR(__xludf.DUMMYFUNCTION("GOOGLETRANSLATE(A70, ""en"", ""bn"")"),"৬৯")</f>
        <v>৬৯</v>
      </c>
      <c r="J70" s="4" t="str">
        <f>IFERROR(__xludf.DUMMYFUNCTION("GOOGLETRANSLATE(B70, ""en"", ""bn"")"),"বলি খেলা খেলা সাধারণত কতজন রেফারি তত্ত্বাবধান করেন?")</f>
        <v>বলি খেলা খেলা সাধারণত কতজন রেফারি তত্ত্বাবধান করেন?</v>
      </c>
      <c r="K70" s="4" t="str">
        <f>IFERROR(__xludf.DUMMYFUNCTION("GOOGLETRANSLATE(C70, ""en"", ""bn"")"),"ক) এক, খ) দুই, গ) তিন, ঘ) চার")</f>
        <v>ক) এক, খ) দুই, গ) তিন, ঘ) চার</v>
      </c>
      <c r="L70" s="4" t="str">
        <f>IFERROR(__xludf.DUMMYFUNCTION("GOOGLETRANSLATE(D70, ""en"", ""bn"")"),"ক) এক")</f>
        <v>ক) এক</v>
      </c>
      <c r="M70" s="4" t="str">
        <f>IFERROR(__xludf.DUMMYFUNCTION("GOOGLETRANSLATE(E70, ""en"", ""bn"")"),"সাধারণত, একজন একক রেফারি ম্যাচ নিয়ন্ত্রণ করেন, তবে বড় টুর্নামেন্টে সহকারীরা সাহায্য করতে পারেন।")</f>
        <v>সাধারণত, একজন একক রেফারি ম্যাচ নিয়ন্ত্রণ করেন, তবে বড় টুর্নামেন্টে সহকারীরা সাহায্য করতে পারেন।</v>
      </c>
    </row>
    <row r="71">
      <c r="A71" s="3">
        <v>70.0</v>
      </c>
      <c r="B71" s="3" t="s">
        <v>283</v>
      </c>
      <c r="C71" s="3" t="s">
        <v>284</v>
      </c>
      <c r="D71" s="3" t="s">
        <v>285</v>
      </c>
      <c r="E71" s="3" t="s">
        <v>286</v>
      </c>
      <c r="I71" s="4" t="str">
        <f>IFERROR(__xludf.DUMMYFUNCTION("GOOGLETRANSLATE(A71, ""en"", ""bn"")"),"৭০")</f>
        <v>৭০</v>
      </c>
      <c r="J71" s="4" t="str">
        <f>IFERROR(__xludf.DUMMYFUNCTION("GOOGLETRANSLATE(B71, ""en"", ""bn"")"),"খেলার আদর্শ ক্রম কী?")</f>
        <v>খেলার আদর্শ ক্রম কী?</v>
      </c>
      <c r="K71" s="4" t="str">
        <f>IFERROR(__xludf.DUMMYFUNCTION("GOOGLETRANSLATE(C71, ""en"", ""bn"")"),"ক) এক দলের সকল খেলোয়াড় প্রথমে থ্রো করবে, খ) প্রতিটি দলের বিকল্প খেলোয়াড়রা, গ) শুধুমাত্র অধিনায়করা থ্রো করবে, ঘ) এলোমেলো ক্রম")</f>
        <v>ক) এক দলের সকল খেলোয়াড় প্রথমে থ্রো করবে, খ) প্রতিটি দলের বিকল্প খেলোয়াড়রা, গ) শুধুমাত্র অধিনায়করা থ্রো করবে, ঘ) এলোমেলো ক্রম</v>
      </c>
      <c r="L71" s="4" t="str">
        <f>IFERROR(__xludf.DUMMYFUNCTION("GOOGLETRANSLATE(D71, ""en"", ""bn"")"),"ক) এক দলের সকল খেলোয়াড় প্রথমে বল ছুঁড়ে মারবে।")</f>
        <v>ক) এক দলের সকল খেলোয়াড় প্রথমে বল ছুঁড়ে মারবে।</v>
      </c>
      <c r="M71" s="4" t="str">
        <f>IFERROR(__xludf.DUMMYFUNCTION("GOOGLETRANSLATE(E71, ""en"", ""bn"")"),"প্রতিপক্ষ দল শুরু করার আগে একটি দল তাদের থ্রো সম্পন্ন করে।")</f>
        <v>প্রতিপক্ষ দল শুরু করার আগে একটি দল তাদের থ্রো সম্পন্ন করে।</v>
      </c>
    </row>
    <row r="72">
      <c r="A72" s="3">
        <v>71.0</v>
      </c>
      <c r="B72" s="3" t="s">
        <v>287</v>
      </c>
      <c r="C72" s="3" t="s">
        <v>288</v>
      </c>
      <c r="D72" s="3" t="s">
        <v>289</v>
      </c>
      <c r="E72" s="3" t="s">
        <v>290</v>
      </c>
      <c r="I72" s="4" t="str">
        <f>IFERROR(__xludf.DUMMYFUNCTION("GOOGLETRANSLATE(A72, ""en"", ""bn"")"),"৭১")</f>
        <v>৭১</v>
      </c>
      <c r="J72" s="4" t="str">
        <f>IFERROR(__xludf.DUMMYFUNCTION("GOOGLETRANSLATE(B72, ""en"", ""bn"")"),"যদি কোনও খেলোয়াড় ইচ্ছাকৃতভাবে নির্ধারিত সময়ের চেয়ে বেশি সময় ধরে থ্রো করতে বিলম্ব করে তাহলে কী হবে?")</f>
        <v>যদি কোনও খেলোয়াড় ইচ্ছাকৃতভাবে নির্ধারিত সময়ের চেয়ে বেশি সময় ধরে থ্রো করতে বিলম্ব করে তাহলে কী হবে?</v>
      </c>
      <c r="K72" s="4" t="str">
        <f>IFERROR(__xludf.DUMMYFUNCTION("GOOGLETRANSLATE(C72, ""en"", ""bn"")"),"ক) থ্রো বাজেয়াপ্ত করা হয়েছে, খ) দল একটি পয়েন্ট হারায়, গ) রেফারি পুনরায় শুরু করেন, ঘ) কোনও ফলাফল নেই")</f>
        <v>ক) থ্রো বাজেয়াপ্ত করা হয়েছে, খ) দল একটি পয়েন্ট হারায়, গ) রেফারি পুনরায় শুরু করেন, ঘ) কোনও ফলাফল নেই</v>
      </c>
      <c r="L72" s="4" t="str">
        <f>IFERROR(__xludf.DUMMYFUNCTION("GOOGLETRANSLATE(D72, ""en"", ""bn"")"),"ক) থ্রোটি বাতিল করা হয়েছে")</f>
        <v>ক) থ্রোটি বাতিল করা হয়েছে</v>
      </c>
      <c r="M72" s="4" t="str">
        <f>IFERROR(__xludf.DUMMYFUNCTION("GOOGLETRANSLATE(E72, ""en"", ""bn"")"),"সময় নষ্ট করলে সেই পালা নষ্ট হয়।")</f>
        <v>সময় নষ্ট করলে সেই পালা নষ্ট হয়।</v>
      </c>
    </row>
    <row r="73">
      <c r="A73" s="3">
        <v>72.0</v>
      </c>
      <c r="B73" s="3" t="s">
        <v>291</v>
      </c>
      <c r="C73" s="3" t="s">
        <v>292</v>
      </c>
      <c r="D73" s="3" t="s">
        <v>293</v>
      </c>
      <c r="E73" s="3" t="s">
        <v>294</v>
      </c>
      <c r="I73" s="4" t="str">
        <f>IFERROR(__xludf.DUMMYFUNCTION("GOOGLETRANSLATE(A73, ""en"", ""bn"")"),"৭২")</f>
        <v>৭২</v>
      </c>
      <c r="J73" s="4" t="str">
        <f>IFERROR(__xludf.DUMMYFUNCTION("GOOGLETRANSLATE(B73, ""en"", ""bn"")"),"যদি বাতাসের কারণে লক্ষ্যবস্তু সরে যায়, তাহলে কী করা উচিত?")</f>
        <v>যদি বাতাসের কারণে লক্ষ্যবস্তু সরে যায়, তাহলে কী করা উচিত?</v>
      </c>
      <c r="K73" s="4" t="str">
        <f>IFERROR(__xludf.DUMMYFUNCTION("GOOGLETRANSLATE(C73, ""en"", ""bn"")"),"ক) খেলা চালিয়ে যান, খ) লক্ষ্য রিসেট করুন, গ) পয়েন্ট প্রদান করুন, ঘ) রাউন্ড বাতিল করুন")</f>
        <v>ক) খেলা চালিয়ে যান, খ) লক্ষ্য রিসেট করুন, গ) পয়েন্ট প্রদান করুন, ঘ) রাউন্ড বাতিল করুন</v>
      </c>
      <c r="L73" s="4" t="str">
        <f>IFERROR(__xludf.DUMMYFUNCTION("GOOGLETRANSLATE(D73, ""en"", ""bn"")"),"খ) লক্ষ্য পুনরায় সেট করুন")</f>
        <v>খ) লক্ষ্য পুনরায় সেট করুন</v>
      </c>
      <c r="M73" s="4" t="str">
        <f>IFERROR(__xludf.DUMMYFUNCTION("GOOGLETRANSLATE(E73, ""en"", ""bn"")"),"খেলা শুরু হওয়ার আগে লক্ষ্য স্থির থাকতে হবে।")</f>
        <v>খেলা শুরু হওয়ার আগে লক্ষ্য স্থির থাকতে হবে।</v>
      </c>
    </row>
    <row r="74">
      <c r="A74" s="3">
        <v>73.0</v>
      </c>
      <c r="B74" s="3" t="s">
        <v>295</v>
      </c>
      <c r="C74" s="3" t="s">
        <v>296</v>
      </c>
      <c r="D74" s="3" t="s">
        <v>297</v>
      </c>
      <c r="E74" s="3" t="s">
        <v>298</v>
      </c>
      <c r="I74" s="4" t="str">
        <f>IFERROR(__xludf.DUMMYFUNCTION("GOOGLETRANSLATE(A74, ""en"", ""bn"")"),"৭৩")</f>
        <v>৭৩</v>
      </c>
      <c r="J74" s="4" t="str">
        <f>IFERROR(__xludf.DUMMYFUNCTION("GOOGLETRANSLATE(B74, ""en"", ""bn"")"),"থ্রো শুরু করার জন্য রেফারির সংকেত কী?")</f>
        <v>থ্রো শুরু করার জন্য রেফারির সংকেত কী?</v>
      </c>
      <c r="K74" s="4" t="str">
        <f>IFERROR(__xludf.DUMMYFUNCTION("GOOGLETRANSLATE(C74, ""en"", ""bn"")"),"ক) হাততালি, খ) পতাকা নাড়ানো, গ) বাঁশি, ঘ) ঢোলের তালে তালে")</f>
        <v>ক) হাততালি, খ) পতাকা নাড়ানো, গ) বাঁশি, ঘ) ঢোলের তালে তালে</v>
      </c>
      <c r="L74" s="4" t="str">
        <f>IFERROR(__xludf.DUMMYFUNCTION("GOOGLETRANSLATE(D74, ""en"", ""bn"")"),"গ) একটি বাঁশি")</f>
        <v>গ) একটি বাঁশি</v>
      </c>
      <c r="M74" s="4" t="str">
        <f>IFERROR(__xludf.DUMMYFUNCTION("GOOGLETRANSLATE(E74, ""en"", ""bn"")"),"প্রতিটি পালা আনুষ্ঠানিকভাবে হুইসেল সংকেত দিয়ে শুরু হয়।")</f>
        <v>প্রতিটি পালা আনুষ্ঠানিকভাবে হুইসেল সংকেত দিয়ে শুরু হয়।</v>
      </c>
    </row>
    <row r="75">
      <c r="A75" s="3">
        <v>74.0</v>
      </c>
      <c r="B75" s="3" t="s">
        <v>299</v>
      </c>
      <c r="C75" s="3" t="s">
        <v>300</v>
      </c>
      <c r="D75" s="3" t="s">
        <v>301</v>
      </c>
      <c r="E75" s="3" t="s">
        <v>302</v>
      </c>
      <c r="I75" s="4" t="str">
        <f>IFERROR(__xludf.DUMMYFUNCTION("GOOGLETRANSLATE(A75, ""en"", ""bn"")"),"৭৪")</f>
        <v>৭৪</v>
      </c>
      <c r="J75" s="4" t="str">
        <f>IFERROR(__xludf.DUMMYFUNCTION("GOOGLETRANSLATE(B75, ""en"", ""bn"")"),"থ্রো করার সময় যদি কোনও খেলোয়াড়ের পা বৃত্তের বাইরে স্পর্শ করে, তাহলে তার নিয়ম কী?")</f>
        <v>থ্রো করার সময় যদি কোনও খেলোয়াড়ের পা বৃত্তের বাইরে স্পর্শ করে, তাহলে তার নিয়ম কী?</v>
      </c>
      <c r="K75" s="4" t="str">
        <f>IFERROR(__xludf.DUMMYFUNCTION("GOOGLETRANSLATE(C75, ""en"", ""bn"")"),"ক) থ্রো গণনা, খ) থ্রো অবৈধ, গ) পেনাল্টি পয়েন্ট, ঘ) থ্রো পুনরায় খেলুন")</f>
        <v>ক) থ্রো গণনা, খ) থ্রো অবৈধ, গ) পেনাল্টি পয়েন্ট, ঘ) থ্রো পুনরায় খেলুন</v>
      </c>
      <c r="L75" s="4" t="str">
        <f>IFERROR(__xludf.DUMMYFUNCTION("GOOGLETRANSLATE(D75, ""en"", ""bn"")"),"খ) নিক্ষেপ অবৈধ")</f>
        <v>খ) নিক্ষেপ অবৈধ</v>
      </c>
      <c r="M75" s="4" t="str">
        <f>IFERROR(__xludf.DUMMYFUNCTION("GOOGLETRANSLATE(E75, ""en"", ""bn"")"),"সীমানার বাইরে পা রাখলেই প্রচেষ্টা বাতিল হয়ে যায়।")</f>
        <v>সীমানার বাইরে পা রাখলেই প্রচেষ্টা বাতিল হয়ে যায়।</v>
      </c>
    </row>
    <row r="76">
      <c r="A76" s="3">
        <v>75.0</v>
      </c>
      <c r="B76" s="3" t="s">
        <v>303</v>
      </c>
      <c r="C76" s="3" t="s">
        <v>304</v>
      </c>
      <c r="D76" s="3" t="s">
        <v>305</v>
      </c>
      <c r="E76" s="3" t="s">
        <v>306</v>
      </c>
      <c r="I76" s="4" t="str">
        <f>IFERROR(__xludf.DUMMYFUNCTION("GOOGLETRANSLATE(A76, ""en"", ""bn"")"),"৭৫")</f>
        <v>৭৫</v>
      </c>
      <c r="J76" s="4" t="str">
        <f>IFERROR(__xludf.DUMMYFUNCTION("GOOGLETRANSLATE(B76, ""en"", ""bn"")"),"স্কোরের টাই সাধারণত কীভাবে পরিচালনা করা হয়?")</f>
        <v>স্কোরের টাই সাধারণত কীভাবে পরিচালনা করা হয়?</v>
      </c>
      <c r="K76" s="4" t="str">
        <f>IFERROR(__xludf.DUMMYFUNCTION("GOOGLETRANSLATE(C76, ""en"", ""bn"")"),"ক) ঘোষিত ড্র, খ) মুদ্রা টস, গ) অতিরিক্ত রাউন্ড, ঘ) উভয় দলই জয়ী")</f>
        <v>ক) ঘোষিত ড্র, খ) মুদ্রা টস, গ) অতিরিক্ত রাউন্ড, ঘ) উভয় দলই জয়ী</v>
      </c>
      <c r="L76" s="4" t="str">
        <f>IFERROR(__xludf.DUMMYFUNCTION("GOOGLETRANSLATE(D76, ""en"", ""bn"")"),"গ) অতিরিক্ত রাউন্ড")</f>
        <v>গ) অতিরিক্ত রাউন্ড</v>
      </c>
      <c r="M76" s="4" t="str">
        <f>IFERROR(__xludf.DUMMYFUNCTION("GOOGLETRANSLATE(E76, ""en"", ""bn"")"),"টাই হওয়া ম্যাচগুলি অতিরিক্ত একটি রাউন্ডের মাধ্যমে সমাধান করা হয়।")</f>
        <v>টাই হওয়া ম্যাচগুলি অতিরিক্ত একটি রাউন্ডের মাধ্যমে সমাধান করা হয়।</v>
      </c>
    </row>
    <row r="77">
      <c r="A77" s="3">
        <v>76.0</v>
      </c>
      <c r="B77" s="3" t="s">
        <v>307</v>
      </c>
      <c r="C77" s="3" t="s">
        <v>308</v>
      </c>
      <c r="D77" s="3" t="s">
        <v>309</v>
      </c>
      <c r="E77" s="3" t="s">
        <v>310</v>
      </c>
      <c r="I77" s="4" t="str">
        <f>IFERROR(__xludf.DUMMYFUNCTION("GOOGLETRANSLATE(A77, ""en"", ""bn"")"),"৭৬")</f>
        <v>৭৬</v>
      </c>
      <c r="J77" s="4" t="str">
        <f>IFERROR(__xludf.DUMMYFUNCTION("GOOGLETRANSLATE(B77, ""en"", ""bn"")"),"বলি খেলার জন্য কোন ধরণের পাথর পছন্দ করা হয়?")</f>
        <v>বলি খেলার জন্য কোন ধরণের পাথর পছন্দ করা হয়?</v>
      </c>
      <c r="K77" s="4" t="str">
        <f>IFERROR(__xludf.DUMMYFUNCTION("GOOGLETRANSLATE(C77, ""en"", ""bn"")"),"ক) গোলাকার পাথর, খ) সমতল পাথর, গ) খোদাই করা পাথর, ঘ) রঙ করা পাথর")</f>
        <v>ক) গোলাকার পাথর, খ) সমতল পাথর, গ) খোদাই করা পাথর, ঘ) রঙ করা পাথর</v>
      </c>
      <c r="L77" s="4" t="str">
        <f>IFERROR(__xludf.DUMMYFUNCTION("GOOGLETRANSLATE(D77, ""en"", ""bn"")"),"ক) গোলাকার পাথর")</f>
        <v>ক) গোলাকার পাথর</v>
      </c>
      <c r="M77" s="4" t="str">
        <f>IFERROR(__xludf.DUMMYFUNCTION("GOOGLETRANSLATE(E77, ""en"", ""bn"")"),"গোলাকার পাথর ধরা এবং নিক্ষেপ করা সহজ।")</f>
        <v>গোলাকার পাথর ধরা এবং নিক্ষেপ করা সহজ।</v>
      </c>
    </row>
    <row r="78">
      <c r="A78" s="3">
        <v>77.0</v>
      </c>
      <c r="B78" s="3" t="s">
        <v>311</v>
      </c>
      <c r="C78" s="3" t="s">
        <v>312</v>
      </c>
      <c r="D78" s="3" t="s">
        <v>313</v>
      </c>
      <c r="E78" s="3" t="s">
        <v>314</v>
      </c>
      <c r="I78" s="4" t="str">
        <f>IFERROR(__xludf.DUMMYFUNCTION("GOOGLETRANSLATE(A78, ""en"", ""bn"")"),"৭৭")</f>
        <v>৭৭</v>
      </c>
      <c r="J78" s="4" t="str">
        <f>IFERROR(__xludf.DUMMYFUNCTION("GOOGLETRANSLATE(B78, ""en"", ""bn"")"),"খেলার সময় পাথর ভেঙে গেলে কী করা হয়?")</f>
        <v>খেলার সময় পাথর ভেঙে গেলে কী করা হয়?</v>
      </c>
      <c r="K78" s="4" t="str">
        <f>IFERROR(__xludf.DUMMYFUNCTION("GOOGLETRANSLATE(C78, ""en"", ""bn"")"),"ক) এটি প্রতিস্থাপন করুন, খ) খেলা শেষ, গ) দলকে শাস্তি দেওয়া হয়েছে, ঘ) টুকরো দিয়ে চালিয়ে যান")</f>
        <v>ক) এটি প্রতিস্থাপন করুন, খ) খেলা শেষ, গ) দলকে শাস্তি দেওয়া হয়েছে, ঘ) টুকরো দিয়ে চালিয়ে যান</v>
      </c>
      <c r="L78" s="4" t="str">
        <f>IFERROR(__xludf.DUMMYFUNCTION("GOOGLETRANSLATE(D78, ""en"", ""bn"")"),"ক) এটি প্রতিস্থাপন করুন")</f>
        <v>ক) এটি প্রতিস্থাপন করুন</v>
      </c>
      <c r="M78" s="4" t="str">
        <f>IFERROR(__xludf.DUMMYFUNCTION("GOOGLETRANSLATE(E78, ""en"", ""bn"")"),"ন্যায্যতা বজায় রাখার জন্য ক্ষতিগ্রস্ত হলে পাথর প্রতিস্থাপন করা হয়।")</f>
        <v>ন্যায্যতা বজায় রাখার জন্য ক্ষতিগ্রস্ত হলে পাথর প্রতিস্থাপন করা হয়।</v>
      </c>
    </row>
    <row r="79">
      <c r="A79" s="3">
        <v>78.0</v>
      </c>
      <c r="B79" s="3" t="s">
        <v>315</v>
      </c>
      <c r="C79" s="3" t="s">
        <v>316</v>
      </c>
      <c r="D79" s="3" t="s">
        <v>317</v>
      </c>
      <c r="E79" s="3" t="s">
        <v>318</v>
      </c>
      <c r="I79" s="4" t="str">
        <f>IFERROR(__xludf.DUMMYFUNCTION("GOOGLETRANSLATE(A79, ""en"", ""bn"")"),"৭৮")</f>
        <v>৭৮</v>
      </c>
      <c r="J79" s="4" t="str">
        <f>IFERROR(__xludf.DUMMYFUNCTION("GOOGLETRANSLATE(B79, ""en"", ""bn"")"),"কোন দল কোন ম্যাচে প্রথমে রক্ষণ করে?")</f>
        <v>কোন দল কোন ম্যাচে প্রথমে রক্ষণ করে?</v>
      </c>
      <c r="K79" s="4" t="str">
        <f>IFERROR(__xludf.DUMMYFUNCTION("GOOGLETRANSLATE(C79, ""en"", ""bn"")"),"ক) এলোমেলো পছন্দ, খ) মুদ্রা টসে হেরে যাওয়া, গ) বয়স্ক দল, ঘ) দর্শকরা সিদ্ধান্ত নেয়")</f>
        <v>ক) এলোমেলো পছন্দ, খ) মুদ্রা টসে হেরে যাওয়া, গ) বয়স্ক দল, ঘ) দর্শকরা সিদ্ধান্ত নেয়</v>
      </c>
      <c r="L79" s="4" t="str">
        <f>IFERROR(__xludf.DUMMYFUNCTION("GOOGLETRANSLATE(D79, ""en"", ""bn"")"),"খ) মুদ্রা টস হারানো")</f>
        <v>খ) মুদ্রা টস হারানো</v>
      </c>
      <c r="M79" s="4" t="str">
        <f>IFERROR(__xludf.DUMMYFUNCTION("GOOGLETRANSLATE(E79, ""en"", ""bn"")"),"টস হারানো দল সাধারণত ডিফেন্ডার হিসেবে শুরু করে।")</f>
        <v>টস হারানো দল সাধারণত ডিফেন্ডার হিসেবে শুরু করে।</v>
      </c>
    </row>
    <row r="80">
      <c r="A80" s="3">
        <v>79.0</v>
      </c>
      <c r="B80" s="3" t="s">
        <v>319</v>
      </c>
      <c r="C80" s="3" t="s">
        <v>320</v>
      </c>
      <c r="D80" s="3" t="s">
        <v>321</v>
      </c>
      <c r="E80" s="3" t="s">
        <v>322</v>
      </c>
      <c r="I80" s="4" t="str">
        <f>IFERROR(__xludf.DUMMYFUNCTION("GOOGLETRANSLATE(A80, ""en"", ""bn"")"),"৭৯")</f>
        <v>৭৯</v>
      </c>
      <c r="J80" s="4" t="str">
        <f>IFERROR(__xludf.DUMMYFUNCTION("GOOGLETRANSLATE(B80, ""en"", ""bn"")"),"অখেলোয়াড়সুলভ আচরণের পরিণতি কী?")</f>
        <v>অখেলোয়াড়সুলভ আচরণের পরিণতি কী?</v>
      </c>
      <c r="K80" s="4" t="str">
        <f>IFERROR(__xludf.DUMMYFUNCTION("GOOGLETRANSLATE(C80, ""en"", ""bn"")"),"ক) মৌখিক সতর্কীকরণ, খ) পালা হারানো, গ) অযোগ্যতা, ঘ) এই সমস্ত")</f>
        <v>ক) মৌখিক সতর্কীকরণ, খ) পালা হারানো, গ) অযোগ্যতা, ঘ) এই সমস্ত</v>
      </c>
      <c r="L80" s="4" t="str">
        <f>IFERROR(__xludf.DUMMYFUNCTION("GOOGLETRANSLATE(D80, ""en"", ""bn"")"),"ঘ) এই সবগুলো")</f>
        <v>ঘ) এই সবগুলো</v>
      </c>
      <c r="M80" s="4" t="str">
        <f>IFERROR(__xludf.DUMMYFUNCTION("GOOGLETRANSLATE(E80, ""en"", ""bn"")"),"তীব্রতার উপর নির্ভর করে, শাস্তির পরিধি সতর্কীকরণ থেকে শুরু করে বহিষ্কার পর্যন্ত।")</f>
        <v>তীব্রতার উপর নির্ভর করে, শাস্তির পরিধি সতর্কীকরণ থেকে শুরু করে বহিষ্কার পর্যন্ত।</v>
      </c>
    </row>
    <row r="81">
      <c r="A81" s="3">
        <v>80.0</v>
      </c>
      <c r="B81" s="3" t="s">
        <v>323</v>
      </c>
      <c r="C81" s="3" t="s">
        <v>324</v>
      </c>
      <c r="D81" s="3" t="s">
        <v>325</v>
      </c>
      <c r="E81" s="3" t="s">
        <v>326</v>
      </c>
      <c r="I81" s="4" t="str">
        <f>IFERROR(__xludf.DUMMYFUNCTION("GOOGLETRANSLATE(A81, ""en"", ""bn"")"),"৮০")</f>
        <v>৮০</v>
      </c>
      <c r="J81" s="4" t="str">
        <f>IFERROR(__xludf.DUMMYFUNCTION("GOOGLETRANSLATE(B81, ""en"", ""bn"")"),"চূড়ান্ত স্কোর কীভাবে ঘোষণা করা হয়?")</f>
        <v>চূড়ান্ত স্কোর কীভাবে ঘোষণা করা হয়?</v>
      </c>
      <c r="K81" s="4" t="str">
        <f>IFERROR(__xludf.DUMMYFUNCTION("GOOGLETRANSLATE(C81, ""en"", ""bn"")"),"ক) রেফারির দ্বারা, খ) অধিনায়কের দ্বারা, গ) দর্শকদের দ্বারা, ঘ) স্পনসরের দ্বারা")</f>
        <v>ক) রেফারির দ্বারা, খ) অধিনায়কের দ্বারা, গ) দর্শকদের দ্বারা, ঘ) স্পনসরের দ্বারা</v>
      </c>
      <c r="L81" s="4" t="str">
        <f>IFERROR(__xludf.DUMMYFUNCTION("GOOGLETRANSLATE(D81, ""en"", ""bn"")"),"ক) রেফারির দ্বারা")</f>
        <v>ক) রেফারির দ্বারা</v>
      </c>
      <c r="M81" s="4" t="str">
        <f>IFERROR(__xludf.DUMMYFUNCTION("GOOGLETRANSLATE(E81, ""en"", ""bn"")"),"রেফারি আনুষ্ঠানিকভাবে শেষে চূড়ান্ত স্কোর ঘোষণা করেন।")</f>
        <v>রেফারি আনুষ্ঠানিকভাবে শেষে চূড়ান্ত স্কোর ঘোষণা করেন।</v>
      </c>
    </row>
    <row r="82">
      <c r="A82" s="3">
        <v>81.0</v>
      </c>
      <c r="B82" s="3" t="s">
        <v>327</v>
      </c>
      <c r="C82" s="3" t="s">
        <v>328</v>
      </c>
      <c r="D82" s="3" t="s">
        <v>281</v>
      </c>
      <c r="E82" s="3" t="s">
        <v>329</v>
      </c>
      <c r="I82" s="4" t="str">
        <f>IFERROR(__xludf.DUMMYFUNCTION("GOOGLETRANSLATE(A82, ""en"", ""bn"")"),"৮১")</f>
        <v>৮১</v>
      </c>
      <c r="J82" s="4" t="str">
        <f>IFERROR(__xludf.DUMMYFUNCTION("GOOGLETRANSLATE(B82, ""en"", ""bn"")"),"এক রাউন্ডে প্রতি খেলোয়াড়ের সর্বোচ্চ কতটি থ্রো হতে পারে?")</f>
        <v>এক রাউন্ডে প্রতি খেলোয়াড়ের সর্বোচ্চ কতটি থ্রো হতে পারে?</v>
      </c>
      <c r="K82" s="4" t="str">
        <f>IFERROR(__xludf.DUMMYFUNCTION("GOOGLETRANSLATE(C82, ""en"", ""bn"")"),"ক) এক, খ) দুই, গ) তিন, ঘ) সীমাহীন")</f>
        <v>ক) এক, খ) দুই, গ) তিন, ঘ) সীমাহীন</v>
      </c>
      <c r="L82" s="4" t="str">
        <f>IFERROR(__xludf.DUMMYFUNCTION("GOOGLETRANSLATE(D82, ""en"", ""bn"")"),"ক) এক")</f>
        <v>ক) এক</v>
      </c>
      <c r="M82" s="4" t="str">
        <f>IFERROR(__xludf.DUMMYFUNCTION("GOOGLETRANSLATE(E82, ""en"", ""bn"")"),"প্রতিটি খেলোয়াড় প্রতিটি রাউন্ডে কেবল একটি প্রচেষ্টার সুযোগ পাবে।")</f>
        <v>প্রতিটি খেলোয়াড় প্রতিটি রাউন্ডে কেবল একটি প্রচেষ্টার সুযোগ পাবে।</v>
      </c>
    </row>
    <row r="83">
      <c r="A83" s="3">
        <v>82.0</v>
      </c>
      <c r="B83" s="3" t="s">
        <v>330</v>
      </c>
      <c r="C83" s="3" t="s">
        <v>331</v>
      </c>
      <c r="D83" s="3" t="s">
        <v>332</v>
      </c>
      <c r="E83" s="3" t="s">
        <v>333</v>
      </c>
      <c r="I83" s="4" t="str">
        <f>IFERROR(__xludf.DUMMYFUNCTION("GOOGLETRANSLATE(A83, ""en"", ""bn"")"),"৮২")</f>
        <v>৮২</v>
      </c>
      <c r="J83" s="4" t="str">
        <f>IFERROR(__xludf.DUMMYFUNCTION("GOOGLETRANSLATE(B83, ""en"", ""bn"")"),"যদি ভূমি কম্পনের কারণে লক্ষ্যবস্তু পড়ে যায়, তাহলে এর বিধান কী?")</f>
        <v>যদি ভূমি কম্পনের কারণে লক্ষ্যবস্তু পড়ে যায়, তাহলে এর বিধান কী?</v>
      </c>
      <c r="K83" s="4" t="str">
        <f>IFERROR(__xludf.DUMMYFUNCTION("GOOGLETRANSLATE(C83, ""en"", ""bn"")"),"ক) পয়েন্ট দেওয়া হয়, খ) রাউন্ডটি আবার খেলুন, গ) দলকে শাস্তি দেওয়া হয়, ঘ) এটি উপেক্ষা করুন")</f>
        <v>ক) পয়েন্ট দেওয়া হয়, খ) রাউন্ডটি আবার খেলুন, গ) দলকে শাস্তি দেওয়া হয়, ঘ) এটি উপেক্ষা করুন</v>
      </c>
      <c r="L83" s="4" t="str">
        <f>IFERROR(__xludf.DUMMYFUNCTION("GOOGLETRANSLATE(D83, ""en"", ""bn"")"),"খ) রাউন্ডটি পুনরায় খেলুন")</f>
        <v>খ) রাউন্ডটি পুনরায় খেলুন</v>
      </c>
      <c r="M83" s="4" t="str">
        <f>IFERROR(__xludf.DUMMYFUNCTION("GOOGLETRANSLATE(E83, ""en"", ""bn"")"),"শুধুমাত্র সরাসরি পাথরের স্পর্শই লক্ষ্যবস্তুতে সঠিকভাবে আঘাত করতে পারে।")</f>
        <v>শুধুমাত্র সরাসরি পাথরের স্পর্শই লক্ষ্যবস্তুতে সঠিকভাবে আঘাত করতে পারে।</v>
      </c>
    </row>
    <row r="84">
      <c r="A84" s="3">
        <v>83.0</v>
      </c>
      <c r="B84" s="3" t="s">
        <v>334</v>
      </c>
      <c r="C84" s="3" t="s">
        <v>335</v>
      </c>
      <c r="D84" s="3" t="s">
        <v>336</v>
      </c>
      <c r="E84" s="3" t="s">
        <v>337</v>
      </c>
      <c r="I84" s="4" t="str">
        <f>IFERROR(__xludf.DUMMYFUNCTION("GOOGLETRANSLATE(A84, ""en"", ""bn"")"),"৮৩")</f>
        <v>৮৩</v>
      </c>
      <c r="J84" s="4" t="str">
        <f>IFERROR(__xludf.DUMMYFUNCTION("GOOGLETRANSLATE(B84, ""en"", ""bn"")"),"যদি উভয় দল সমান সময়ে লক্ষ্যভ্রষ্ট হয় তাহলে কী হবে?")</f>
        <v>যদি উভয় দল সমান সময়ে লক্ষ্যভ্রষ্ট হয় তাহলে কী হবে?</v>
      </c>
      <c r="K84" s="4" t="str">
        <f>IFERROR(__xludf.DUMMYFUNCTION("GOOGLETRANSLATE(C84, ""en"", ""bn"")"),"ক) রেফারি সিদ্ধান্ত নেন, খ) ড্র করেন, গ) অতিরিক্ত থ্রো করেন, ঘ) দলের অধিনায়করা বেছে নেন")</f>
        <v>ক) রেফারি সিদ্ধান্ত নেন, খ) ড্র করেন, গ) অতিরিক্ত থ্রো করেন, ঘ) দলের অধিনায়করা বেছে নেন</v>
      </c>
      <c r="L84" s="4" t="str">
        <f>IFERROR(__xludf.DUMMYFUNCTION("GOOGLETRANSLATE(D84, ""en"", ""bn"")"),"গ) অতিরিক্ত থ্রো")</f>
        <v>গ) অতিরিক্ত থ্রো</v>
      </c>
      <c r="M84" s="4" t="str">
        <f>IFERROR(__xludf.DUMMYFUNCTION("GOOGLETRANSLATE(E84, ""en"", ""bn"")"),"ফলাফল নিষ্পত্তির জন্য টাই-ব্রেকার থ্রো খেলা হয়।")</f>
        <v>ফলাফল নিষ্পত্তির জন্য টাই-ব্রেকার থ্রো খেলা হয়।</v>
      </c>
    </row>
    <row r="85">
      <c r="A85" s="3">
        <v>84.0</v>
      </c>
      <c r="B85" s="3" t="s">
        <v>338</v>
      </c>
      <c r="C85" s="3" t="s">
        <v>339</v>
      </c>
      <c r="D85" s="3" t="s">
        <v>234</v>
      </c>
      <c r="E85" s="3" t="s">
        <v>340</v>
      </c>
      <c r="I85" s="4" t="str">
        <f>IFERROR(__xludf.DUMMYFUNCTION("GOOGLETRANSLATE(A85, ""en"", ""bn"")"),"৮৪")</f>
        <v>৮৪</v>
      </c>
      <c r="J85" s="4" t="str">
        <f>IFERROR(__xludf.DUMMYFUNCTION("GOOGLETRANSLATE(B85, ""en"", ""bn"")"),"নিক্ষেপের আগে সর্বোচ্চ অনুমোদিত প্রস্তুতির সময় কত?")</f>
        <v>নিক্ষেপের আগে সর্বোচ্চ অনুমোদিত প্রস্তুতির সময় কত?</v>
      </c>
      <c r="K85" s="4" t="str">
        <f>IFERROR(__xludf.DUMMYFUNCTION("GOOGLETRANSLATE(C85, ""en"", ""bn"")"),"ক) ১৫ সেকেন্ড, খ) ৩০ সেকেন্ড, গ) ৪৫ সেকেন্ড, ঘ) ৬০ সেকেন্ড")</f>
        <v>ক) ১৫ সেকেন্ড, খ) ৩০ সেকেন্ড, গ) ৪৫ সেকেন্ড, ঘ) ৬০ সেকেন্ড</v>
      </c>
      <c r="L85" s="4" t="str">
        <f>IFERROR(__xludf.DUMMYFUNCTION("GOOGLETRANSLATE(D85, ""en"", ""bn"")"),"খ) ৩০ সেকেন্ড")</f>
        <v>খ) ৩০ সেকেন্ড</v>
      </c>
      <c r="M85" s="4" t="str">
        <f>IFERROR(__xludf.DUMMYFUNCTION("GOOGLETRANSLATE(E85, ""en"", ""bn"")"),"খেলোয়াড়দের ডাক পাওয়ার আধা মিনিটের মধ্যে থ্রো করতে হবে।")</f>
        <v>খেলোয়াড়দের ডাক পাওয়ার আধা মিনিটের মধ্যে থ্রো করতে হবে।</v>
      </c>
    </row>
    <row r="86">
      <c r="A86" s="3">
        <v>85.0</v>
      </c>
      <c r="B86" s="3" t="s">
        <v>341</v>
      </c>
      <c r="C86" s="3" t="s">
        <v>342</v>
      </c>
      <c r="D86" s="3" t="s">
        <v>343</v>
      </c>
      <c r="E86" s="3" t="s">
        <v>344</v>
      </c>
      <c r="I86" s="4" t="str">
        <f>IFERROR(__xludf.DUMMYFUNCTION("GOOGLETRANSLATE(A86, ""en"", ""bn"")"),"৮৫")</f>
        <v>৮৫</v>
      </c>
      <c r="J86" s="4" t="str">
        <f>IFERROR(__xludf.DUMMYFUNCTION("GOOGLETRANSLATE(B86, ""en"", ""bn"")"),"বলি খেলায় কোন ধরণের নিক্ষেপ নিষিদ্ধ?")</f>
        <v>বলি খেলায় কোন ধরণের নিক্ষেপ নিষিদ্ধ?</v>
      </c>
      <c r="K86" s="4" t="str">
        <f>IFERROR(__xludf.DUMMYFUNCTION("GOOGLETRANSLATE(C86, ""en"", ""bn"")"),"ক) ওভারআর্ম, খ) আন্ডারআর্ম, গ) সাইডআর্ম, ঘ) দুই হাতি")</f>
        <v>ক) ওভারআর্ম, খ) আন্ডারআর্ম, গ) সাইডআর্ম, ঘ) দুই হাতি</v>
      </c>
      <c r="L86" s="4" t="str">
        <f>IFERROR(__xludf.DUMMYFUNCTION("GOOGLETRANSLATE(D86, ""en"", ""bn"")"),"ঘ) দুই হাতি")</f>
        <v>ঘ) দুই হাতি</v>
      </c>
      <c r="M86" s="4" t="str">
        <f>IFERROR(__xludf.DUMMYFUNCTION("GOOGLETRANSLATE(E86, ""en"", ""bn"")"),"উভয় হাত একসাথে ব্যবহার করা নিয়মের বিরুদ্ধে।")</f>
        <v>উভয় হাত একসাথে ব্যবহার করা নিয়মের বিরুদ্ধে।</v>
      </c>
    </row>
    <row r="87">
      <c r="A87" s="3">
        <v>86.0</v>
      </c>
      <c r="B87" s="3" t="s">
        <v>345</v>
      </c>
      <c r="C87" s="3" t="s">
        <v>346</v>
      </c>
      <c r="D87" s="3" t="s">
        <v>347</v>
      </c>
      <c r="E87" s="3" t="s">
        <v>348</v>
      </c>
      <c r="I87" s="4" t="str">
        <f>IFERROR(__xludf.DUMMYFUNCTION("GOOGLETRANSLATE(A87, ""en"", ""bn"")"),"৮৬")</f>
        <v>৮৬</v>
      </c>
      <c r="J87" s="4" t="str">
        <f>IFERROR(__xludf.DUMMYFUNCTION("GOOGLETRANSLATE(B87, ""en"", ""bn"")"),"ঐতিহ্যগতভাবে নিক্ষেপের স্থান চিহ্নিত করতে কোন উপাদান ব্যবহার করা হয়?")</f>
        <v>ঐতিহ্যগতভাবে নিক্ষেপের স্থান চিহ্নিত করতে কোন উপাদান ব্যবহার করা হয়?</v>
      </c>
      <c r="K87" s="4" t="str">
        <f>IFERROR(__xludf.DUMMYFUNCTION("GOOGLETRANSLATE(C87, ""en"", ""bn"")"),"ক) চুনের গুঁড়ো, খ) দড়ি, গ) বাঁশ, ঘ) ঘাস")</f>
        <v>ক) চুনের গুঁড়ো, খ) দড়ি, গ) বাঁশ, ঘ) ঘাস</v>
      </c>
      <c r="L87" s="4" t="str">
        <f>IFERROR(__xludf.DUMMYFUNCTION("GOOGLETRANSLATE(D87, ""en"", ""bn"")"),"ক) লেবুর গুঁড়ো")</f>
        <v>ক) লেবুর গুঁড়ো</v>
      </c>
      <c r="M87" s="4" t="str">
        <f>IFERROR(__xludf.DUMMYFUNCTION("GOOGLETRANSLATE(E87, ""en"", ""bn"")"),"সাদা চুন বা চক গুঁড়ো নিক্ষেপকারীর বৃত্তের রূপরেখা তৈরি করে।")</f>
        <v>সাদা চুন বা চক গুঁড়ো নিক্ষেপকারীর বৃত্তের রূপরেখা তৈরি করে।</v>
      </c>
    </row>
    <row r="88">
      <c r="A88" s="3">
        <v>87.0</v>
      </c>
      <c r="B88" s="3" t="s">
        <v>349</v>
      </c>
      <c r="C88" s="3" t="s">
        <v>350</v>
      </c>
      <c r="D88" s="3" t="s">
        <v>238</v>
      </c>
      <c r="E88" s="3" t="s">
        <v>351</v>
      </c>
      <c r="I88" s="4" t="str">
        <f>IFERROR(__xludf.DUMMYFUNCTION("GOOGLETRANSLATE(A88, ""en"", ""bn"")"),"৮৭")</f>
        <v>৮৭</v>
      </c>
      <c r="J88" s="4" t="str">
        <f>IFERROR(__xludf.DUMMYFUNCTION("GOOGLETRANSLATE(B88, ""en"", ""bn"")"),"কিভাবে ফাউল ঘোষণা করা হয়?")</f>
        <v>কিভাবে ফাউল ঘোষণা করা হয়?</v>
      </c>
      <c r="K88" s="4" t="str">
        <f>IFERROR(__xludf.DUMMYFUNCTION("GOOGLETRANSLATE(C88, ""en"", ""bn"")"),"ক) বাঁশি দিয়ে, খ) পতাকা দিয়ে, গ) হাতের ইশারা দিয়ে, ঘ) উপরের সবগুলো")</f>
        <v>ক) বাঁশি দিয়ে, খ) পতাকা দিয়ে, গ) হাতের ইশারা দিয়ে, ঘ) উপরের সবগুলো</v>
      </c>
      <c r="L88" s="4" t="str">
        <f>IFERROR(__xludf.DUMMYFUNCTION("GOOGLETRANSLATE(D88, ""en"", ""bn"")"),"ঘ) উপরের সবগুলো")</f>
        <v>ঘ) উপরের সবগুলো</v>
      </c>
      <c r="M88" s="4" t="str">
        <f>IFERROR(__xludf.DUMMYFUNCTION("GOOGLETRANSLATE(E88, ""en"", ""bn"")"),"রেফারিরা যেকোনো অফিসিয়াল সিগন্যাল ব্যবহার করে ফাউল করতে পারেন।")</f>
        <v>রেফারিরা যেকোনো অফিসিয়াল সিগন্যাল ব্যবহার করে ফাউল করতে পারেন।</v>
      </c>
    </row>
    <row r="89">
      <c r="A89" s="3">
        <v>88.0</v>
      </c>
      <c r="B89" s="3" t="s">
        <v>352</v>
      </c>
      <c r="C89" s="3" t="s">
        <v>353</v>
      </c>
      <c r="D89" s="3" t="s">
        <v>354</v>
      </c>
      <c r="E89" s="3" t="s">
        <v>355</v>
      </c>
      <c r="I89" s="4" t="str">
        <f>IFERROR(__xludf.DUMMYFUNCTION("GOOGLETRANSLATE(A89, ""en"", ""bn"")"),"৮৮")</f>
        <v>৮৮</v>
      </c>
      <c r="J89" s="4" t="str">
        <f>IFERROR(__xludf.DUMMYFUNCTION("GOOGLETRANSLATE(B89, ""en"", ""bn"")"),"স্কোরিংয়ে দর্শকদের ভূমিকা কী?")</f>
        <v>স্কোরিংয়ে দর্শকদের ভূমিকা কী?</v>
      </c>
      <c r="K89" s="4" t="str">
        <f>IFERROR(__xludf.DUMMYFUNCTION("GOOGLETRANSLATE(C89, ""en"", ""bn"")"),"ক) তারা কেবল উল্লাস করে, খ) তারা পয়েন্ট নির্ধারণ করে, গ) তারা ফাউল রেকর্ড করে, ঘ) তারা সময় নিয়ন্ত্রণ করে")</f>
        <v>ক) তারা কেবল উল্লাস করে, খ) তারা পয়েন্ট নির্ধারণ করে, গ) তারা ফাউল রেকর্ড করে, ঘ) তারা সময় নিয়ন্ত্রণ করে</v>
      </c>
      <c r="L89" s="4" t="str">
        <f>IFERROR(__xludf.DUMMYFUNCTION("GOOGLETRANSLATE(D89, ""en"", ""bn"")"),"ক) তারা কেবল উল্লাস করে")</f>
        <v>ক) তারা কেবল উল্লাস করে</v>
      </c>
      <c r="M89" s="4" t="str">
        <f>IFERROR(__xludf.DUMMYFUNCTION("GOOGLETRANSLATE(E89, ""en"", ""bn"")"),"দর্শকদের অংশগ্রহণ কেবল উল্লাসের মধ্যেই সীমাবদ্ধ, গোল করার মধ্যেই নয়।")</f>
        <v>দর্শকদের অংশগ্রহণ কেবল উল্লাসের মধ্যেই সীমাবদ্ধ, গোল করার মধ্যেই নয়।</v>
      </c>
    </row>
    <row r="90">
      <c r="A90" s="3">
        <v>89.0</v>
      </c>
      <c r="B90" s="3" t="s">
        <v>356</v>
      </c>
      <c r="C90" s="3" t="s">
        <v>357</v>
      </c>
      <c r="D90" s="3" t="s">
        <v>358</v>
      </c>
      <c r="E90" s="3" t="s">
        <v>359</v>
      </c>
      <c r="I90" s="4" t="str">
        <f>IFERROR(__xludf.DUMMYFUNCTION("GOOGLETRANSLATE(A90, ""en"", ""bn"")"),"৮৯")</f>
        <v>৮৯</v>
      </c>
      <c r="J90" s="4" t="str">
        <f>IFERROR(__xludf.DUMMYFUNCTION("GOOGLETRANSLATE(B90, ""en"", ""bn"")"),"পাথরটি সীমানা রেখা স্পর্শ করলে রেফারির রায় কী হবে?")</f>
        <v>পাথরটি সীমানা রেখা স্পর্শ করলে রেফারির রায় কী হবে?</v>
      </c>
      <c r="K90" s="4" t="str">
        <f>IFERROR(__xludf.DUMMYFUNCTION("GOOGLETRANSLATE(C90, ""en"", ""bn"")"),"ক) বৈধ থ্রো, খ) অবৈধ থ্রো, গ) বোনাস পয়েন্ট, ঘ) রিপ্লে")</f>
        <v>ক) বৈধ থ্রো, খ) অবৈধ থ্রো, গ) বোনাস পয়েন্ট, ঘ) রিপ্লে</v>
      </c>
      <c r="L90" s="4" t="str">
        <f>IFERROR(__xludf.DUMMYFUNCTION("GOOGLETRANSLATE(D90, ""en"", ""bn"")"),"খ) অবৈধ নিক্ষেপ")</f>
        <v>খ) অবৈধ নিক্ষেপ</v>
      </c>
      <c r="M90" s="4" t="str">
        <f>IFERROR(__xludf.DUMMYFUNCTION("GOOGLETRANSLATE(E90, ""en"", ""bn"")"),"পাথরগুলো চিহ্নিত জায়গার ভেতরে সম্পূর্ণভাবে পড়তে হবে।")</f>
        <v>পাথরগুলো চিহ্নিত জায়গার ভেতরে সম্পূর্ণভাবে পড়তে হবে।</v>
      </c>
    </row>
    <row r="91">
      <c r="A91" s="3">
        <v>90.0</v>
      </c>
      <c r="B91" s="3" t="s">
        <v>360</v>
      </c>
      <c r="C91" s="3" t="s">
        <v>361</v>
      </c>
      <c r="D91" s="3" t="s">
        <v>362</v>
      </c>
      <c r="E91" s="3" t="s">
        <v>363</v>
      </c>
      <c r="I91" s="4" t="str">
        <f>IFERROR(__xludf.DUMMYFUNCTION("GOOGLETRANSLATE(A91, ""en"", ""bn"")"),"৯০")</f>
        <v>৯০</v>
      </c>
      <c r="J91" s="4" t="str">
        <f>IFERROR(__xludf.DUMMYFUNCTION("GOOGLETRANSLATE(B91, ""en"", ""bn"")"),"যদি কোন লক্ষ্যবস্তু ভেঙে না যায়, তাহলে কোন দল জিতবে?")</f>
        <v>যদি কোন লক্ষ্যবস্তু ভেঙে না যায়, তাহলে কোন দল জিতবে?</v>
      </c>
      <c r="K91" s="4" t="str">
        <f>IFERROR(__xludf.DUMMYFUNCTION("GOOGLETRANSLATE(C91, ""en"", ""bn"")"),"ক) প্রথম দল, খ) ডিফেন্ডিং দল, গ) ড্র ঘোষিত, ঘ) টসের মাধ্যমে সিদ্ধান্ত নেওয়া হয়েছে")</f>
        <v>ক) প্রথম দল, খ) ডিফেন্ডিং দল, গ) ড্র ঘোষিত, ঘ) টসের মাধ্যমে সিদ্ধান্ত নেওয়া হয়েছে</v>
      </c>
      <c r="L91" s="4" t="str">
        <f>IFERROR(__xludf.DUMMYFUNCTION("GOOGLETRANSLATE(D91, ""en"", ""bn"")"),"গ) ঘোষিত ড্র")</f>
        <v>গ) ঘোষিত ড্র</v>
      </c>
      <c r="M91" s="4" t="str">
        <f>IFERROR(__xludf.DUMMYFUNCTION("GOOGLETRANSLATE(E91, ""en"", ""bn"")"),"যদি কোন পয়েন্ট না পাওয়া যায়, তাহলে খেলাটি ড্রতে শেষ হবে।")</f>
        <v>যদি কোন পয়েন্ট না পাওয়া যায়, তাহলে খেলাটি ড্রতে শেষ হবে।</v>
      </c>
    </row>
    <row r="92">
      <c r="A92" s="3">
        <v>91.0</v>
      </c>
      <c r="B92" s="3" t="s">
        <v>364</v>
      </c>
      <c r="C92" s="3" t="s">
        <v>365</v>
      </c>
      <c r="D92" s="3" t="s">
        <v>366</v>
      </c>
      <c r="E92" s="3" t="s">
        <v>367</v>
      </c>
      <c r="I92" s="4" t="str">
        <f>IFERROR(__xludf.DUMMYFUNCTION("GOOGLETRANSLATE(A92, ""en"", ""bn"")"),"৯১")</f>
        <v>৯১</v>
      </c>
      <c r="J92" s="4" t="str">
        <f>IFERROR(__xludf.DUMMYFUNCTION("GOOGLETRANSLATE(B92, ""en"", ""bn"")"),"যদি কোন দল খেলা চালিয়ে যেতে অস্বীকৃতি জানায় তাহলে কী হবে?")</f>
        <v>যদি কোন দল খেলা চালিয়ে যেতে অস্বীকৃতি জানায় তাহলে কী হবে?</v>
      </c>
      <c r="K92" s="4" t="str">
        <f>IFERROR(__xludf.DUMMYFUNCTION("GOOGLETRANSLATE(C92, ""en"", ""bn"")"),"ক) খেলা স্থগিত করা হয়েছে, খ) তারা হেরে গেছে, গ) পরে পুনরায় খেলা হয়েছে, ঘ) রেফারি সিদ্ধান্ত নিয়েছেন")</f>
        <v>ক) খেলা স্থগিত করা হয়েছে, খ) তারা হেরে গেছে, গ) পরে পুনরায় খেলা হয়েছে, ঘ) রেফারি সিদ্ধান্ত নিয়েছেন</v>
      </c>
      <c r="L92" s="4" t="str">
        <f>IFERROR(__xludf.DUMMYFUNCTION("GOOGLETRANSLATE(D92, ""en"", ""bn"")"),"খ) তারা হার মানে")</f>
        <v>খ) তারা হার মানে</v>
      </c>
      <c r="M92" s="4" t="str">
        <f>IFERROR(__xludf.DUMMYFUNCTION("GOOGLETRANSLATE(E92, ""en"", ""bn"")"),"ম্যাচের মাঝখানে চলে গেলে স্বয়ংক্রিয়ভাবে পরাজয় ঘটে।")</f>
        <v>ম্যাচের মাঝখানে চলে গেলে স্বয়ংক্রিয়ভাবে পরাজয় ঘটে।</v>
      </c>
    </row>
    <row r="93">
      <c r="A93" s="3">
        <v>92.0</v>
      </c>
      <c r="B93" s="3" t="s">
        <v>368</v>
      </c>
      <c r="C93" s="3" t="s">
        <v>369</v>
      </c>
      <c r="D93" s="3" t="s">
        <v>370</v>
      </c>
      <c r="E93" s="3" t="s">
        <v>371</v>
      </c>
      <c r="I93" s="4" t="str">
        <f>IFERROR(__xludf.DUMMYFUNCTION("GOOGLETRANSLATE(A93, ""en"", ""bn"")"),"৯২")</f>
        <v>৯২</v>
      </c>
      <c r="J93" s="4" t="str">
        <f>IFERROR(__xludf.DUMMYFUNCTION("GOOGLETRANSLATE(B93, ""en"", ""bn"")"),"লক্ষ্যবস্তুটি কী দিয়ে তৈরি করা উচিত?")</f>
        <v>লক্ষ্যবস্তুটি কী দিয়ে তৈরি করা উচিত?</v>
      </c>
      <c r="K93" s="4" t="str">
        <f>IFERROR(__xludf.DUMMYFUNCTION("GOOGLETRANSLATE(C93, ""en"", ""bn"")"),"ক) কাদামাটি, খ) কাঠ, গ) পাথর, ঘ) বাঁশ")</f>
        <v>ক) কাদামাটি, খ) কাঠ, গ) পাথর, ঘ) বাঁশ</v>
      </c>
      <c r="L93" s="4" t="str">
        <f>IFERROR(__xludf.DUMMYFUNCTION("GOOGLETRANSLATE(D93, ""en"", ""bn"")"),"গ) পাথর")</f>
        <v>গ) পাথর</v>
      </c>
      <c r="M93" s="4" t="str">
        <f>IFERROR(__xludf.DUMMYFUNCTION("GOOGLETRANSLATE(E93, ""en"", ""bn"")"),"ঐতিহ্যগতভাবে, স্তূপীকৃত পাথর লক্ষ্যবস্তু তৈরি করে।")</f>
        <v>ঐতিহ্যগতভাবে, স্তূপীকৃত পাথর লক্ষ্যবস্তু তৈরি করে।</v>
      </c>
    </row>
    <row r="94">
      <c r="A94" s="3">
        <v>93.0</v>
      </c>
      <c r="B94" s="3" t="s">
        <v>372</v>
      </c>
      <c r="C94" s="3" t="s">
        <v>373</v>
      </c>
      <c r="D94" s="3" t="s">
        <v>374</v>
      </c>
      <c r="E94" s="3" t="s">
        <v>375</v>
      </c>
      <c r="I94" s="4" t="str">
        <f>IFERROR(__xludf.DUMMYFUNCTION("GOOGLETRANSLATE(A94, ""en"", ""bn"")"),"৯৩")</f>
        <v>৯৩</v>
      </c>
      <c r="J94" s="4" t="str">
        <f>IFERROR(__xludf.DUMMYFUNCTION("GOOGLETRANSLATE(B94, ""en"", ""bn"")"),"পাথরটি যদি লক্ষ্যবস্তুতে আঘাত করে কিন্তু তা ভেঙে না ফেলে, তাহলে কী হবে?")</f>
        <v>পাথরটি যদি লক্ষ্যবস্তুতে আঘাত করে কিন্তু তা ভেঙে না ফেলে, তাহলে কী হবে?</v>
      </c>
      <c r="K94" s="4" t="str">
        <f>IFERROR(__xludf.DUMMYFUNCTION("GOOGLETRANSLATE(C94, ""en"", ""bn"")"),"ক) পয়েন্ট দেওয়া হয়েছে, খ) কোন পয়েন্ট নেই, গ) রিপ্লে থ্রো, ঘ) বোনাস সুযোগ")</f>
        <v>ক) পয়েন্ট দেওয়া হয়েছে, খ) কোন পয়েন্ট নেই, গ) রিপ্লে থ্রো, ঘ) বোনাস সুযোগ</v>
      </c>
      <c r="L94" s="4" t="str">
        <f>IFERROR(__xludf.DUMMYFUNCTION("GOOGLETRANSLATE(D94, ""en"", ""bn"")"),"খ) কোন লাভ নেই")</f>
        <v>খ) কোন লাভ নেই</v>
      </c>
      <c r="M94" s="4" t="str">
        <f>IFERROR(__xludf.DUMMYFUNCTION("GOOGLETRANSLATE(E94, ""en"", ""bn"")"),"শুধুমাত্র সম্পূর্ণ নকডাউনই পয়েন্ট অর্জন করে।")</f>
        <v>শুধুমাত্র সম্পূর্ণ নকডাউনই পয়েন্ট অর্জন করে।</v>
      </c>
    </row>
    <row r="95">
      <c r="A95" s="3">
        <v>94.0</v>
      </c>
      <c r="B95" s="3" t="s">
        <v>376</v>
      </c>
      <c r="C95" s="3" t="s">
        <v>377</v>
      </c>
      <c r="D95" s="3" t="s">
        <v>378</v>
      </c>
      <c r="E95" s="3" t="s">
        <v>379</v>
      </c>
      <c r="I95" s="4" t="str">
        <f>IFERROR(__xludf.DUMMYFUNCTION("GOOGLETRANSLATE(A95, ""en"", ""bn"")"),"৯৪")</f>
        <v>৯৪</v>
      </c>
      <c r="J95" s="4" t="str">
        <f>IFERROR(__xludf.DUMMYFUNCTION("GOOGLETRANSLATE(B95, ""en"", ""bn"")"),"বিরতির পর কোন দল প্রথম থ্রো নেয়?")</f>
        <v>বিরতির পর কোন দল প্রথম থ্রো নেয়?</v>
      </c>
      <c r="K95" s="4" t="str">
        <f>IFERROR(__xludf.DUMMYFUNCTION("GOOGLETRANSLATE(C95, ""en"", ""bn"")"),"ক) আগের মতোই, খ) এলোমেলোভাবে নির্বাচিত, গ) বিপরীত দল, ঘ) রেফারি সিদ্ধান্ত নেন")</f>
        <v>ক) আগের মতোই, খ) এলোমেলোভাবে নির্বাচিত, গ) বিপরীত দল, ঘ) রেফারি সিদ্ধান্ত নেন</v>
      </c>
      <c r="L95" s="4" t="str">
        <f>IFERROR(__xludf.DUMMYFUNCTION("GOOGLETRANSLATE(D95, ""en"", ""bn"")"),"ক) আগের মতোই")</f>
        <v>ক) আগের মতোই</v>
      </c>
      <c r="M95" s="4" t="str">
        <f>IFERROR(__xludf.DUMMYFUNCTION("GOOGLETRANSLATE(E95, ""en"", ""bn"")"),"খেলাটি বিরতির আগের ক্রমানুসারে আবার শুরু হয়।")</f>
        <v>খেলাটি বিরতির আগের ক্রমানুসারে আবার শুরু হয়।</v>
      </c>
    </row>
    <row r="96">
      <c r="A96" s="3">
        <v>95.0</v>
      </c>
      <c r="B96" s="3" t="s">
        <v>380</v>
      </c>
      <c r="C96" s="3" t="s">
        <v>381</v>
      </c>
      <c r="D96" s="3" t="s">
        <v>321</v>
      </c>
      <c r="E96" s="3" t="s">
        <v>382</v>
      </c>
      <c r="I96" s="4" t="str">
        <f>IFERROR(__xludf.DUMMYFUNCTION("GOOGLETRANSLATE(A96, ""en"", ""bn"")"),"৯৫")</f>
        <v>৯৫</v>
      </c>
      <c r="J96" s="4" t="str">
        <f>IFERROR(__xludf.DUMMYFUNCTION("GOOGLETRANSLATE(B96, ""en"", ""bn"")"),"বলি খেলায় একজন ক্যাপ্টেনের ভূমিকা কী?")</f>
        <v>বলি খেলায় একজন ক্যাপ্টেনের ভূমিকা কী?</v>
      </c>
      <c r="K96" s="4" t="str">
        <f>IFERROR(__xludf.DUMMYFUNCTION("GOOGLETRANSLATE(C96, ""en"", ""bn"")"),"ক) স্কোর ধরে রাখা, খ) দলের থ্রোতে নেতৃত্ব দেওয়া, গ) বিবাদে দলের প্রতিনিধিত্ব করা, ঘ) এই সমস্ত")</f>
        <v>ক) স্কোর ধরে রাখা, খ) দলের থ্রোতে নেতৃত্ব দেওয়া, গ) বিবাদে দলের প্রতিনিধিত্ব করা, ঘ) এই সমস্ত</v>
      </c>
      <c r="L96" s="4" t="str">
        <f>IFERROR(__xludf.DUMMYFUNCTION("GOOGLETRANSLATE(D96, ""en"", ""bn"")"),"ঘ) এই সবগুলো")</f>
        <v>ঘ) এই সবগুলো</v>
      </c>
      <c r="M96" s="4" t="str">
        <f>IFERROR(__xludf.DUMMYFUNCTION("GOOGLETRANSLATE(E96, ""en"", ""bn"")"),"অধিনায়করা তাদের দল পরিচালনা করেন এবং রেফারিদের আলোচনা পরিচালনা করেন।")</f>
        <v>অধিনায়করা তাদের দল পরিচালনা করেন এবং রেফারিদের আলোচনা পরিচালনা করেন।</v>
      </c>
    </row>
    <row r="97">
      <c r="A97" s="3">
        <v>96.0</v>
      </c>
      <c r="B97" s="3" t="s">
        <v>383</v>
      </c>
      <c r="C97" s="3" t="s">
        <v>384</v>
      </c>
      <c r="D97" s="3" t="s">
        <v>385</v>
      </c>
      <c r="E97" s="3" t="s">
        <v>386</v>
      </c>
      <c r="I97" s="4" t="str">
        <f>IFERROR(__xludf.DUMMYFUNCTION("GOOGLETRANSLATE(A97, ""en"", ""bn"")"),"৯৬")</f>
        <v>৯৬</v>
      </c>
      <c r="J97" s="4" t="str">
        <f>IFERROR(__xludf.DUMMYFUNCTION("GOOGLETRANSLATE(B97, ""en"", ""bn"")"),"যদি কোন পাথর সীমানা রেখার বাইরে পড়ে যায় তাহলে কী হবে?")</f>
        <v>যদি কোন পাথর সীমানা রেখার বাইরে পড়ে যায় তাহলে কী হবে?</v>
      </c>
      <c r="K97" s="4" t="str">
        <f>IFERROR(__xludf.DUMMYFUNCTION("GOOGLETRANSLATE(C97, ""en"", ""bn"")"),"ক) পয়েন্ট দেওয়া হয়েছে, খ) থ্রো অবৈধ, গ) দলকে দণ্ডিত করা হয়েছে, ঘ) রাউন্ড শেষ হয়েছে")</f>
        <v>ক) পয়েন্ট দেওয়া হয়েছে, খ) থ্রো অবৈধ, গ) দলকে দণ্ডিত করা হয়েছে, ঘ) রাউন্ড শেষ হয়েছে</v>
      </c>
      <c r="L97" s="4" t="str">
        <f>IFERROR(__xludf.DUMMYFUNCTION("GOOGLETRANSLATE(D97, ""en"", ""bn"")"),"খ) অবৈধ নিক্ষেপ")</f>
        <v>খ) অবৈধ নিক্ষেপ</v>
      </c>
      <c r="M97" s="4" t="str">
        <f>IFERROR(__xludf.DUMMYFUNCTION("GOOGLETRANSLATE(E97, ""en"", ""bn"")"),"পাথরগুলিকে অবশ্যই নির্ধারিত ক্ষেত্রের মধ্যে পড়তে হবে।")</f>
        <v>পাথরগুলিকে অবশ্যই নির্ধারিত ক্ষেত্রের মধ্যে পড়তে হবে।</v>
      </c>
    </row>
    <row r="98">
      <c r="A98" s="3">
        <v>97.0</v>
      </c>
      <c r="B98" s="3" t="s">
        <v>387</v>
      </c>
      <c r="C98" s="3" t="s">
        <v>388</v>
      </c>
      <c r="D98" s="3" t="s">
        <v>389</v>
      </c>
      <c r="E98" s="3" t="s">
        <v>390</v>
      </c>
      <c r="I98" s="4" t="str">
        <f>IFERROR(__xludf.DUMMYFUNCTION("GOOGLETRANSLATE(A98, ""en"", ""bn"")"),"৯৭")</f>
        <v>৯৭</v>
      </c>
      <c r="J98" s="4" t="str">
        <f>IFERROR(__xludf.DUMMYFUNCTION("GOOGLETRANSLATE(B98, ""en"", ""bn"")"),"বলি খেলায় বিরোধ নিষ্পত্তির নিয়ম কী?")</f>
        <v>বলি খেলায় বিরোধ নিষ্পত্তির নিয়ম কী?</v>
      </c>
      <c r="K98" s="4" t="str">
        <f>IFERROR(__xludf.DUMMYFUNCTION("GOOGLETRANSLATE(C98, ""en"", ""bn"")"),"ক) জনতা সিদ্ধান্ত নেয়, খ) রেফারি সিদ্ধান্ত নেয়, গ) অধিনায়ক সিদ্ধান্ত নেয়, ঘ) ম্যাচ রিপ্লে করে।")</f>
        <v>ক) জনতা সিদ্ধান্ত নেয়, খ) রেফারি সিদ্ধান্ত নেয়, গ) অধিনায়ক সিদ্ধান্ত নেয়, ঘ) ম্যাচ রিপ্লে করে।</v>
      </c>
      <c r="L98" s="4" t="str">
        <f>IFERROR(__xludf.DUMMYFUNCTION("GOOGLETRANSLATE(D98, ""en"", ""bn"")"),"খ) রেফারি সিদ্ধান্ত নেন")</f>
        <v>খ) রেফারি সিদ্ধান্ত নেন</v>
      </c>
      <c r="M98" s="4" t="str">
        <f>IFERROR(__xludf.DUMMYFUNCTION("GOOGLETRANSLATE(E98, ""en"", ""bn"")"),"সকল বিরোধের চূড়ান্ত কর্তৃত্ব রেফারির।")</f>
        <v>সকল বিরোধের চূড়ান্ত কর্তৃত্ব রেফারির।</v>
      </c>
    </row>
    <row r="99">
      <c r="A99" s="3">
        <v>98.0</v>
      </c>
      <c r="B99" s="3" t="s">
        <v>391</v>
      </c>
      <c r="C99" s="3" t="s">
        <v>392</v>
      </c>
      <c r="D99" s="3" t="s">
        <v>393</v>
      </c>
      <c r="E99" s="3" t="s">
        <v>394</v>
      </c>
      <c r="I99" s="4" t="str">
        <f>IFERROR(__xludf.DUMMYFUNCTION("GOOGLETRANSLATE(A99, ""en"", ""bn"")"),"৯৮")</f>
        <v>৯৮</v>
      </c>
      <c r="J99" s="4" t="str">
        <f>IFERROR(__xludf.DUMMYFUNCTION("GOOGLETRANSLATE(B99, ""en"", ""bn"")"),"বৃষ্টি যদি খেলায় বাধা দেয় তাহলে কী হবে?")</f>
        <v>বৃষ্টি যদি খেলায় বাধা দেয় তাহলে কী হবে?</v>
      </c>
      <c r="K99" s="4" t="str">
        <f>IFERROR(__xludf.DUMMYFUNCTION("GOOGLETRANSLATE(C99, ""en"", ""bn"")"),"ক) ম্যাচ পরিত্যক্ত, খ) স্থগিত, গ) টসের মাধ্যমে সিদ্ধান্ত, ঘ) রেফারি সিদ্ধান্ত নেন")</f>
        <v>ক) ম্যাচ পরিত্যক্ত, খ) স্থগিত, গ) টসের মাধ্যমে সিদ্ধান্ত, ঘ) রেফারি সিদ্ধান্ত নেন</v>
      </c>
      <c r="L99" s="4" t="str">
        <f>IFERROR(__xludf.DUMMYFUNCTION("GOOGLETRANSLATE(D99, ""en"", ""bn"")"),"খ) স্থগিত")</f>
        <v>খ) স্থগিত</v>
      </c>
      <c r="M99" s="4" t="str">
        <f>IFERROR(__xludf.DUMMYFUNCTION("GOOGLETRANSLATE(E99, ""en"", ""bn"")"),"বৃষ্টির পরে খেলা স্থগিত এবং পুনরায় শুরু করা যেতে পারে।")</f>
        <v>বৃষ্টির পরে খেলা স্থগিত এবং পুনরায় শুরু করা যেতে পারে।</v>
      </c>
    </row>
    <row r="100">
      <c r="A100" s="3">
        <v>99.0</v>
      </c>
      <c r="B100" s="3" t="s">
        <v>395</v>
      </c>
      <c r="C100" s="3" t="s">
        <v>396</v>
      </c>
      <c r="D100" s="3" t="s">
        <v>397</v>
      </c>
      <c r="E100" s="3" t="s">
        <v>398</v>
      </c>
      <c r="I100" s="4" t="str">
        <f>IFERROR(__xludf.DUMMYFUNCTION("GOOGLETRANSLATE(A100, ""en"", ""bn"")"),"৯৯")</f>
        <v>৯৯</v>
      </c>
      <c r="J100" s="4" t="str">
        <f>IFERROR(__xludf.DUMMYFUNCTION("GOOGLETRANSLATE(B100, ""en"", ""bn"")"),"কোন থ্রো সর্বোচ্চ পয়েন্ট অর্জন করে?")</f>
        <v>কোন থ্রো সর্বোচ্চ পয়েন্ট অর্জন করে?</v>
      </c>
      <c r="K100" s="4" t="str">
        <f>IFERROR(__xludf.DUMMYFUNCTION("GOOGLETRANSLATE(C100, ""en"", ""bn"")"),"ক) দীর্ঘতম নিক্ষেপ, খ) সবচেয়ে শক্তিশালী নিক্ষেপ, গ) নকডাউন নিক্ষেপ, ঘ) কোনটিই নয়")</f>
        <v>ক) দীর্ঘতম নিক্ষেপ, খ) সবচেয়ে শক্তিশালী নিক্ষেপ, গ) নকডাউন নিক্ষেপ, ঘ) কোনটিই নয়</v>
      </c>
      <c r="L100" s="4" t="str">
        <f>IFERROR(__xludf.DUMMYFUNCTION("GOOGLETRANSLATE(D100, ""en"", ""bn"")"),"গ) নকডাউন থ্রো")</f>
        <v>গ) নকডাউন থ্রো</v>
      </c>
      <c r="M100" s="4" t="str">
        <f>IFERROR(__xludf.DUMMYFUNCTION("GOOGLETRANSLATE(E100, ""en"", ""bn"")"),"শুধুমাত্র লক্ষ্যবস্তুকে আঘাত করলেই পয়েন্ট পাওয়া যায়, দূরত্ব যাই হোক না কেন।")</f>
        <v>শুধুমাত্র লক্ষ্যবস্তুকে আঘাত করলেই পয়েন্ট পাওয়া যায়, দূরত্ব যাই হোক না কেন।</v>
      </c>
    </row>
    <row r="101">
      <c r="A101" s="3">
        <v>100.0</v>
      </c>
      <c r="B101" s="3" t="s">
        <v>399</v>
      </c>
      <c r="C101" s="3" t="s">
        <v>400</v>
      </c>
      <c r="D101" s="3" t="s">
        <v>401</v>
      </c>
      <c r="E101" s="3" t="s">
        <v>402</v>
      </c>
      <c r="I101" s="4" t="str">
        <f>IFERROR(__xludf.DUMMYFUNCTION("GOOGLETRANSLATE(A101, ""en"", ""bn"")"),"১০০")</f>
        <v>১০০</v>
      </c>
      <c r="J101" s="4" t="str">
        <f>IFERROR(__xludf.DUMMYFUNCTION("GOOGLETRANSLATE(B101, ""en"", ""bn"")"),"যদি কোনও খেলোয়াড় অনুমতির চেয়ে কাছে গিয়ে প্রতারণা করে তবে কী হবে?")</f>
        <v>যদি কোনও খেলোয়াড় অনুমতির চেয়ে কাছে গিয়ে প্রতারণা করে তবে কী হবে?</v>
      </c>
      <c r="K101" s="4" t="str">
        <f>IFERROR(__xludf.DUMMYFUNCTION("GOOGLETRANSLATE(C101, ""en"", ""bn"")"),"ক) রিপ্লে থ্রো, খ) পেনাল্টি পয়েন্ট, গ) অযোগ্যতা, ঘ) সতর্কতা")</f>
        <v>ক) রিপ্লে থ্রো, খ) পেনাল্টি পয়েন্ট, গ) অযোগ্যতা, ঘ) সতর্কতা</v>
      </c>
      <c r="L101" s="4" t="str">
        <f>IFERROR(__xludf.DUMMYFUNCTION("GOOGLETRANSLATE(D101, ""en"", ""bn"")"),"গ) অযোগ্যতা")</f>
        <v>গ) অযোগ্যতা</v>
      </c>
      <c r="M101" s="4" t="str">
        <f>IFERROR(__xludf.DUMMYFUNCTION("GOOGLETRANSLATE(E101, ""en"", ""bn"")"),"সীমা অতিক্রম করে প্রতারণা করলে অপসারণের ফলাফল পাওয়া যায়।")</f>
        <v>সীমা অতিক্রম করে প্রতারণা করলে অপসারণের ফলাফল পাওয়া যায়।</v>
      </c>
    </row>
    <row r="102">
      <c r="A102" s="3">
        <v>101.0</v>
      </c>
      <c r="B102" s="3" t="s">
        <v>403</v>
      </c>
      <c r="C102" s="3" t="s">
        <v>328</v>
      </c>
      <c r="D102" s="3" t="s">
        <v>404</v>
      </c>
      <c r="E102" s="3" t="s">
        <v>405</v>
      </c>
      <c r="I102" s="4" t="str">
        <f>IFERROR(__xludf.DUMMYFUNCTION("GOOGLETRANSLATE(A102, ""en"", ""bn"")"),"১০১")</f>
        <v>১০১</v>
      </c>
      <c r="J102" s="4" t="str">
        <f>IFERROR(__xludf.DUMMYFUNCTION("GOOGLETRANSLATE(B102, ""en"", ""bn"")"),"একজন রেফারি কতজন সহকারী নিয়োগ করতে পারেন?")</f>
        <v>একজন রেফারি কতজন সহকারী নিয়োগ করতে পারেন?</v>
      </c>
      <c r="K102" s="4" t="str">
        <f>IFERROR(__xludf.DUMMYFUNCTION("GOOGLETRANSLATE(C102, ""en"", ""bn"")"),"ক) এক, খ) দুই, গ) তিন, ঘ) সীমাহীন")</f>
        <v>ক) এক, খ) দুই, গ) তিন, ঘ) সীমাহীন</v>
      </c>
      <c r="L102" s="4" t="str">
        <f>IFERROR(__xludf.DUMMYFUNCTION("GOOGLETRANSLATE(D102, ""en"", ""bn"")"),"খ) দুই")</f>
        <v>খ) দুই</v>
      </c>
      <c r="M102" s="4" t="str">
        <f>IFERROR(__xludf.DUMMYFUNCTION("GOOGLETRANSLATE(E102, ""en"", ""bn"")"),"বৃহত্তর টুর্নামেন্টে, দুজন সহকারী রেফারিকে সহায়তা করতে পারেন।")</f>
        <v>বৃহত্তর টুর্নামেন্টে, দুজন সহকারী রেফারিকে সহায়তা করতে পারেন।</v>
      </c>
    </row>
    <row r="103">
      <c r="A103" s="3">
        <v>102.0</v>
      </c>
      <c r="B103" s="3" t="s">
        <v>406</v>
      </c>
      <c r="C103" s="3" t="s">
        <v>407</v>
      </c>
      <c r="D103" s="3" t="s">
        <v>238</v>
      </c>
      <c r="E103" s="3" t="s">
        <v>408</v>
      </c>
      <c r="I103" s="4" t="str">
        <f>IFERROR(__xludf.DUMMYFUNCTION("GOOGLETRANSLATE(A103, ""en"", ""bn"")"),"১০২")</f>
        <v>১০২</v>
      </c>
      <c r="J103" s="4" t="str">
        <f>IFERROR(__xludf.DUMMYFUNCTION("GOOGLETRANSLATE(B103, ""en"", ""bn"")"),"প্রতিপক্ষকে বিভ্রান্ত করার শাস্তি কী?")</f>
        <v>প্রতিপক্ষকে বিভ্রান্ত করার শাস্তি কী?</v>
      </c>
      <c r="K103" s="4" t="str">
        <f>IFERROR(__xludf.DUMMYFUNCTION("GOOGLETRANSLATE(C103, ""en"", ""bn"")"),"ক) টার্ন হারানো, খ) পয়েন্ট কর্তন, গ) সতর্কতা, ঘ) উপরের সবগুলো")</f>
        <v>ক) টার্ন হারানো, খ) পয়েন্ট কর্তন, গ) সতর্কতা, ঘ) উপরের সবগুলো</v>
      </c>
      <c r="L103" s="4" t="str">
        <f>IFERROR(__xludf.DUMMYFUNCTION("GOOGLETRANSLATE(D103, ""en"", ""bn"")"),"ঘ) উপরের সবগুলো")</f>
        <v>ঘ) উপরের সবগুলো</v>
      </c>
      <c r="M103" s="4" t="str">
        <f>IFERROR(__xludf.DUMMYFUNCTION("GOOGLETRANSLATE(E103, ""en"", ""bn"")"),"ন্যায্য খেলা নিশ্চিত করার জন্য বিক্ষেপের শাস্তি দেওয়া হয়।")</f>
        <v>ন্যায্য খেলা নিশ্চিত করার জন্য বিক্ষেপের শাস্তি দেওয়া হয়।</v>
      </c>
    </row>
    <row r="104">
      <c r="A104" s="3">
        <v>103.0</v>
      </c>
      <c r="B104" s="3" t="s">
        <v>409</v>
      </c>
      <c r="C104" s="3" t="s">
        <v>410</v>
      </c>
      <c r="D104" s="3" t="s">
        <v>411</v>
      </c>
      <c r="E104" s="3" t="s">
        <v>412</v>
      </c>
      <c r="I104" s="4" t="str">
        <f>IFERROR(__xludf.DUMMYFUNCTION("GOOGLETRANSLATE(A104, ""en"", ""bn"")"),"১০৩")</f>
        <v>১০৩</v>
      </c>
      <c r="J104" s="4" t="str">
        <f>IFERROR(__xludf.DUMMYFUNCTION("GOOGLETRANSLATE(B104, ""en"", ""bn"")"),"রেফারির সংকেতের আগে যদি পাথর ছোড়া হয় তাহলে কী হবে?")</f>
        <v>রেফারির সংকেতের আগে যদি পাথর ছোড়া হয় তাহলে কী হবে?</v>
      </c>
      <c r="K104" s="4" t="str">
        <f>IFERROR(__xludf.DUMMYFUNCTION("GOOGLETRANSLATE(C104, ""en"", ""bn"")"),"ক) বৈধ থ্রো, খ) রিপ্লে থ্রো, গ) ফাউল, ঘ) বোনাস পয়েন্ট")</f>
        <v>ক) বৈধ থ্রো, খ) রিপ্লে থ্রো, গ) ফাউল, ঘ) বোনাস পয়েন্ট</v>
      </c>
      <c r="L104" s="4" t="str">
        <f>IFERROR(__xludf.DUMMYFUNCTION("GOOGLETRANSLATE(D104, ""en"", ""bn"")"),"গ) ফাউল")</f>
        <v>গ) ফাউল</v>
      </c>
      <c r="M104" s="4" t="str">
        <f>IFERROR(__xludf.DUMMYFUNCTION("GOOGLETRANSLATE(E104, ""en"", ""bn"")"),"আগেভাগে ছুঁড়ে ফেলাকে ফাউল হিসেবে বিবেচনা করা হয়।")</f>
        <v>আগেভাগে ছুঁড়ে ফেলাকে ফাউল হিসেবে বিবেচনা করা হয়।</v>
      </c>
    </row>
    <row r="105">
      <c r="A105" s="3">
        <v>104.0</v>
      </c>
      <c r="B105" s="3" t="s">
        <v>413</v>
      </c>
      <c r="C105" s="3" t="s">
        <v>414</v>
      </c>
      <c r="D105" s="3" t="s">
        <v>415</v>
      </c>
      <c r="E105" s="3" t="s">
        <v>416</v>
      </c>
      <c r="I105" s="4" t="str">
        <f>IFERROR(__xludf.DUMMYFUNCTION("GOOGLETRANSLATE(A105, ""en"", ""bn"")"),"১০৪")</f>
        <v>১০৪</v>
      </c>
      <c r="J105" s="4" t="str">
        <f>IFERROR(__xludf.DUMMYFUNCTION("GOOGLETRANSLATE(B105, ""en"", ""bn"")"),"বলি খেলায় কোন দক্ষতার পরীক্ষা সবচেয়ে বেশি করা হয়?")</f>
        <v>বলি খেলায় কোন দক্ষতার পরীক্ষা সবচেয়ে বেশি করা হয়?</v>
      </c>
      <c r="K105" s="4" t="str">
        <f>IFERROR(__xludf.DUMMYFUNCTION("GOOGLETRANSLATE(C105, ""en"", ""bn"")"),"ক) দৌড়ানো, খ) লাফানো, গ) নিক্ষেপের নির্ভুলতা, ঘ) গান গাওয়া")</f>
        <v>ক) দৌড়ানো, খ) লাফানো, গ) নিক্ষেপের নির্ভুলতা, ঘ) গান গাওয়া</v>
      </c>
      <c r="L105" s="4" t="str">
        <f>IFERROR(__xludf.DUMMYFUNCTION("GOOGLETRANSLATE(D105, ""en"", ""bn"")"),"গ) নিক্ষেপের নির্ভুলতা")</f>
        <v>গ) নিক্ষেপের নির্ভুলতা</v>
      </c>
      <c r="M105" s="4" t="str">
        <f>IFERROR(__xludf.DUMMYFUNCTION("GOOGLETRANSLATE(E105, ""en"", ""bn"")"),"খেলোয়াড়রা লক্ষ্যবস্তুতে কতটা নির্ভুলভাবে আঘাত করতে পারে তা হল মূল পরীক্ষা।")</f>
        <v>খেলোয়াড়রা লক্ষ্যবস্তুতে কতটা নির্ভুলভাবে আঘাত করতে পারে তা হল মূল পরীক্ষা।</v>
      </c>
    </row>
    <row r="106">
      <c r="A106" s="3">
        <v>105.0</v>
      </c>
      <c r="B106" s="3" t="s">
        <v>417</v>
      </c>
      <c r="C106" s="3" t="s">
        <v>418</v>
      </c>
      <c r="D106" s="3" t="s">
        <v>419</v>
      </c>
      <c r="E106" s="3" t="s">
        <v>420</v>
      </c>
      <c r="I106" s="4" t="str">
        <f>IFERROR(__xludf.DUMMYFUNCTION("GOOGLETRANSLATE(A106, ""en"", ""bn"")"),"১০৫")</f>
        <v>১০৫</v>
      </c>
      <c r="J106" s="4" t="str">
        <f>IFERROR(__xludf.DUMMYFUNCTION("GOOGLETRANSLATE(B106, ""en"", ""bn"")"),"খেলার মাঝখানে যদি কোনও দলের খেলোয়াড় আহত হয় তবে কী হবে?")</f>
        <v>খেলার মাঝখানে যদি কোনও দলের খেলোয়াড় আহত হয় তবে কী হবে?</v>
      </c>
      <c r="K106" s="4" t="str">
        <f>IFERROR(__xludf.DUMMYFUNCTION("GOOGLETRANSLATE(C106, ""en"", ""bn"")"),"ক) খেলা শেষ, খ) বদলির অনুমতি, গ) দল সংক্ষিপ্তভাবে খেলা চালিয়ে যাবে, ঘ) খেলা পুনরায় খেলবে")</f>
        <v>ক) খেলা শেষ, খ) বদলির অনুমতি, গ) দল সংক্ষিপ্তভাবে খেলা চালিয়ে যাবে, ঘ) খেলা পুনরায় খেলবে</v>
      </c>
      <c r="L106" s="4" t="str">
        <f>IFERROR(__xludf.DUMMYFUNCTION("GOOGLETRANSLATE(D106, ""en"", ""bn"")"),"গ) দল সংক্ষিপ্তভাবে এগিয়ে চলেছে")</f>
        <v>গ) দল সংক্ষিপ্তভাবে এগিয়ে চলেছে</v>
      </c>
      <c r="M106" s="4" t="str">
        <f>IFERROR(__xludf.DUMMYFUNCTION("GOOGLETRANSLATE(E106, ""en"", ""bn"")"),"বদলি খেলোয়াড়দের অনুমতি নেই, দলগুলিকে অবশ্যই চালিয়ে যেতে হবে।")</f>
        <v>বদলি খেলোয়াড়দের অনুমতি নেই, দলগুলিকে অবশ্যই চালিয়ে যেতে হবে।</v>
      </c>
    </row>
    <row r="107">
      <c r="A107" s="3">
        <v>106.0</v>
      </c>
      <c r="B107" s="3" t="s">
        <v>421</v>
      </c>
      <c r="C107" s="3" t="s">
        <v>422</v>
      </c>
      <c r="D107" s="3" t="s">
        <v>423</v>
      </c>
      <c r="E107" s="3" t="s">
        <v>424</v>
      </c>
      <c r="I107" s="4" t="str">
        <f>IFERROR(__xludf.DUMMYFUNCTION("GOOGLETRANSLATE(A107, ""en"", ""bn"")"),"১০৬")</f>
        <v>১০৬</v>
      </c>
      <c r="J107" s="4" t="str">
        <f>IFERROR(__xludf.DUMMYFUNCTION("GOOGLETRANSLATE(B107, ""en"", ""bn"")"),"নিক্ষেপকারী বৃত্ত থেকে লক্ষ্যবস্তু সাধারণত কত দূরে রাখা হয়?")</f>
        <v>নিক্ষেপকারী বৃত্ত থেকে লক্ষ্যবস্তু সাধারণত কত দূরে রাখা হয়?</v>
      </c>
      <c r="K107" s="4" t="str">
        <f>IFERROR(__xludf.DUMMYFUNCTION("GOOGLETRANSLATE(C107, ""en"", ""bn"")"),"ক) ২০ মিটার, খ) ১৫ মিটার, গ) ১০ মিটার, ঘ) ২৫ মিটার")</f>
        <v>ক) ২০ মিটার, খ) ১৫ মিটার, গ) ১০ মিটার, ঘ) ২৫ মিটার</v>
      </c>
      <c r="L107" s="4" t="str">
        <f>IFERROR(__xludf.DUMMYFUNCTION("GOOGLETRANSLATE(D107, ""en"", ""bn"")"),"ক) ২০ মি")</f>
        <v>ক) ২০ মি</v>
      </c>
      <c r="M107" s="4" t="str">
        <f>IFERROR(__xludf.DUMMYFUNCTION("GOOGLETRANSLATE(E107, ""en"", ""bn"")"),"স্ট্যান্ডার্ড দূরত্ব প্রায় ২০ মিটার।")</f>
        <v>স্ট্যান্ডার্ড দূরত্ব প্রায় ২০ মিটার।</v>
      </c>
    </row>
    <row r="108">
      <c r="A108" s="3">
        <v>107.0</v>
      </c>
      <c r="B108" s="3" t="s">
        <v>425</v>
      </c>
      <c r="C108" s="3" t="s">
        <v>426</v>
      </c>
      <c r="D108" s="3" t="s">
        <v>427</v>
      </c>
      <c r="E108" s="3" t="s">
        <v>428</v>
      </c>
      <c r="I108" s="4" t="str">
        <f>IFERROR(__xludf.DUMMYFUNCTION("GOOGLETRANSLATE(A108, ""en"", ""bn"")"),"১০৭")</f>
        <v>১০৭</v>
      </c>
      <c r="J108" s="4" t="str">
        <f>IFERROR(__xludf.DUMMYFUNCTION("GOOGLETRANSLATE(B108, ""en"", ""bn"")"),"রক্ষণভাগের খেলোয়াড়দের ভূমিকা কী?")</f>
        <v>রক্ষণভাগের খেলোয়াড়দের ভূমিকা কী?</v>
      </c>
      <c r="K108" s="4" t="str">
        <f>IFERROR(__xludf.DUMMYFUNCTION("GOOGLETRANSLATE(C108, ""en"", ""bn"")"),"ক) মনোযোগ বিক্ষিপ্ত করা, খ) লক্ষ্য রক্ষা করা, গ) পাথর নিক্ষেপ করা, ঘ) পয়েন্ট গণনা করা")</f>
        <v>ক) মনোযোগ বিক্ষিপ্ত করা, খ) লক্ষ্য রক্ষা করা, গ) পাথর নিক্ষেপ করা, ঘ) পয়েন্ট গণনা করা</v>
      </c>
      <c r="L108" s="4" t="str">
        <f>IFERROR(__xludf.DUMMYFUNCTION("GOOGLETRANSLATE(D108, ""en"", ""bn"")"),"খ) লক্ষ্য রক্ষা করার জন্য")</f>
        <v>খ) লক্ষ্য রক্ষা করার জন্য</v>
      </c>
      <c r="M108" s="4" t="str">
        <f>IFERROR(__xludf.DUMMYFUNCTION("GOOGLETRANSLATE(E108, ""en"", ""bn"")"),"সম্ভব হলে থ্রো আটকাতে ডিফেন্ডাররা লক্ষ্যের কাছে দাঁড়িয়ে থাকে।")</f>
        <v>সম্ভব হলে থ্রো আটকাতে ডিফেন্ডাররা লক্ষ্যের কাছে দাঁড়িয়ে থাকে।</v>
      </c>
    </row>
    <row r="109">
      <c r="A109" s="3">
        <v>108.0</v>
      </c>
      <c r="B109" s="3" t="s">
        <v>429</v>
      </c>
      <c r="C109" s="3" t="s">
        <v>430</v>
      </c>
      <c r="D109" s="3" t="s">
        <v>431</v>
      </c>
      <c r="E109" s="3" t="s">
        <v>432</v>
      </c>
      <c r="I109" s="4" t="str">
        <f>IFERROR(__xludf.DUMMYFUNCTION("GOOGLETRANSLATE(A109, ""en"", ""bn"")"),"১০৮")</f>
        <v>১০৮</v>
      </c>
      <c r="J109" s="4" t="str">
        <f>IFERROR(__xludf.DUMMYFUNCTION("GOOGLETRANSLATE(B109, ""en"", ""bn"")"),"আত্মপক্ষ সমর্থনের সময় কী নিষিদ্ধ?")</f>
        <v>আত্মপক্ষ সমর্থনের সময় কী নিষিদ্ধ?</v>
      </c>
      <c r="K109" s="4" t="str">
        <f>IFERROR(__xludf.DUMMYFUNCTION("GOOGLETRANSLATE(C109, ""en"", ""bn"")"),"ক) লক্ষ্যবস্তুর কাছে দাঁড়িয়ে থাকা, খ) হাত দিয়ে পাথর ধরা, গ) চিৎকার করা, ঘ) ঘোরাফেরা করা")</f>
        <v>ক) লক্ষ্যবস্তুর কাছে দাঁড়িয়ে থাকা, খ) হাত দিয়ে পাথর ধরা, গ) চিৎকার করা, ঘ) ঘোরাফেরা করা</v>
      </c>
      <c r="L109" s="4" t="str">
        <f>IFERROR(__xludf.DUMMYFUNCTION("GOOGLETRANSLATE(D109, ""en"", ""bn"")"),"খ) হাত দিয়ে পাথর ধরা")</f>
        <v>খ) হাত দিয়ে পাথর ধরা</v>
      </c>
      <c r="M109" s="4" t="str">
        <f>IFERROR(__xludf.DUMMYFUNCTION("GOOGLETRANSLATE(E109, ""en"", ""bn"")"),"ডিফেন্ডাররা শারীরিকভাবে পাথরটি ধরতে পারে না।")</f>
        <v>ডিফেন্ডাররা শারীরিকভাবে পাথরটি ধরতে পারে না।</v>
      </c>
    </row>
    <row r="110">
      <c r="A110" s="3">
        <v>109.0</v>
      </c>
      <c r="B110" s="3" t="s">
        <v>433</v>
      </c>
      <c r="C110" s="3" t="s">
        <v>434</v>
      </c>
      <c r="D110" s="3" t="s">
        <v>435</v>
      </c>
      <c r="E110" s="3" t="s">
        <v>436</v>
      </c>
      <c r="I110" s="4" t="str">
        <f>IFERROR(__xludf.DUMMYFUNCTION("GOOGLETRANSLATE(A110, ""en"", ""bn"")"),"১০৯")</f>
        <v>১০৯</v>
      </c>
      <c r="J110" s="4" t="str">
        <f>IFERROR(__xludf.DUMMYFUNCTION("GOOGLETRANSLATE(B110, ""en"", ""bn"")"),"অবৈধ থ্রো কিভাবে পরিচালনা করা হয়?")</f>
        <v>অবৈধ থ্রো কিভাবে পরিচালনা করা হয়?</v>
      </c>
      <c r="K110" s="4" t="str">
        <f>IFERROR(__xludf.DUMMYFUNCTION("GOOGLETRANSLATE(C110, ""en"", ""bn"")"),"ক) বারবার, খ) উপেক্ষা করা, গ) শাস্তি, ঘ) প্রতিপক্ষকে বোনাস")</f>
        <v>ক) বারবার, খ) উপেক্ষা করা, গ) শাস্তি, ঘ) প্রতিপক্ষকে বোনাস</v>
      </c>
      <c r="L110" s="4" t="str">
        <f>IFERROR(__xludf.DUMMYFUNCTION("GOOGLETRANSLATE(D110, ""en"", ""bn"")"),"খ) উপেক্ষা করা হয়েছে")</f>
        <v>খ) উপেক্ষা করা হয়েছে</v>
      </c>
      <c r="M110" s="4" t="str">
        <f>IFERROR(__xludf.DUMMYFUNCTION("GOOGLETRANSLATE(E110, ""en"", ""bn"")"),"অবৈধ থ্রোগুলি কেবল গণনা করা হয় না।")</f>
        <v>অবৈধ থ্রোগুলি কেবল গণনা করা হয় না।</v>
      </c>
    </row>
    <row r="111">
      <c r="A111" s="3">
        <v>110.0</v>
      </c>
      <c r="B111" s="3" t="s">
        <v>437</v>
      </c>
      <c r="C111" s="3" t="s">
        <v>438</v>
      </c>
      <c r="D111" s="3" t="s">
        <v>439</v>
      </c>
      <c r="E111" s="3" t="s">
        <v>440</v>
      </c>
      <c r="I111" s="4" t="str">
        <f>IFERROR(__xludf.DUMMYFUNCTION("GOOGLETRANSLATE(A111, ""en"", ""bn"")"),"১১০")</f>
        <v>১১০</v>
      </c>
      <c r="J111" s="4" t="str">
        <f>IFERROR(__xludf.DUMMYFUNCTION("GOOGLETRANSLATE(B111, ""en"", ""bn"")"),"যদি ডিফেন্ডিং দল নিজেরাই লক্ষ্যবস্তু স্পর্শ করে তাহলে কী হবে?")</f>
        <v>যদি ডিফেন্ডিং দল নিজেরাই লক্ষ্যবস্তু স্পর্শ করে তাহলে কী হবে?</v>
      </c>
      <c r="K111" s="4" t="str">
        <f>IFERROR(__xludf.DUMMYFUNCTION("GOOGLETRANSLATE(C111, ""en"", ""bn"")"),"ক) আক্রমণকারীকে পয়েন্ট দেওয়া হয়েছে, খ) কোনও পরিবর্তন নেই, গ) রিপ্লে রাউন্ড, ঘ) শুধুমাত্র সতর্কীকরণ")</f>
        <v>ক) আক্রমণকারীকে পয়েন্ট দেওয়া হয়েছে, খ) কোনও পরিবর্তন নেই, গ) রিপ্লে রাউন্ড, ঘ) শুধুমাত্র সতর্কীকরণ</v>
      </c>
      <c r="L111" s="4" t="str">
        <f>IFERROR(__xludf.DUMMYFUNCTION("GOOGLETRANSLATE(D111, ""en"", ""bn"")"),"ক) আক্রমণকারীকে দেওয়া পয়েন্ট")</f>
        <v>ক) আক্রমণকারীকে দেওয়া পয়েন্ট</v>
      </c>
      <c r="M111" s="4" t="str">
        <f>IFERROR(__xludf.DUMMYFUNCTION("GOOGLETRANSLATE(E111, ""en"", ""bn"")"),"যদি ডিফেন্ডাররা তাদের নিজস্ব লক্ষ্যবস্তুতে আঘাত করে, তাহলে আক্রমণকারীরা পয়েন্ট অর্জন করে।")</f>
        <v>যদি ডিফেন্ডাররা তাদের নিজস্ব লক্ষ্যবস্তুতে আঘাত করে, তাহলে আক্রমণকারীরা পয়েন্ট অর্জন করে।</v>
      </c>
    </row>
    <row r="112">
      <c r="A112" s="3">
        <v>111.0</v>
      </c>
      <c r="B112" s="3" t="s">
        <v>441</v>
      </c>
      <c r="C112" s="3" t="s">
        <v>442</v>
      </c>
      <c r="D112" s="3" t="s">
        <v>321</v>
      </c>
      <c r="E112" s="3" t="s">
        <v>443</v>
      </c>
      <c r="I112" s="4" t="str">
        <f>IFERROR(__xludf.DUMMYFUNCTION("GOOGLETRANSLATE(A112, ""en"", ""bn"")"),"১১১")</f>
        <v>১১১</v>
      </c>
      <c r="J112" s="4" t="str">
        <f>IFERROR(__xludf.DUMMYFUNCTION("GOOGLETRANSLATE(B112, ""en"", ""bn"")"),"যদি কোন খেলোয়াড় রেফারির সাথে আক্রমণাত্মকভাবে তর্ক করে তাহলে কী হবে?")</f>
        <v>যদি কোন খেলোয়াড় রেফারির সাথে আক্রমণাত্মকভাবে তর্ক করে তাহলে কী হবে?</v>
      </c>
      <c r="K112" s="4" t="str">
        <f>IFERROR(__xludf.DUMMYFUNCTION("GOOGLETRANSLATE(C112, ""en"", ""bn"")"),"ক) সতর্কীকরণ, খ) জরিমানা, গ) অযোগ্যতা, ঘ) এই সকল")</f>
        <v>ক) সতর্কীকরণ, খ) জরিমানা, গ) অযোগ্যতা, ঘ) এই সকল</v>
      </c>
      <c r="L112" s="4" t="str">
        <f>IFERROR(__xludf.DUMMYFUNCTION("GOOGLETRANSLATE(D112, ""en"", ""bn"")"),"ঘ) এই সবগুলো")</f>
        <v>ঘ) এই সবগুলো</v>
      </c>
      <c r="M112" s="4" t="str">
        <f>IFERROR(__xludf.DUMMYFUNCTION("GOOGLETRANSLATE(E112, ""en"", ""bn"")"),"রেফারির অসদাচরণের শাস্তি দেওয়ার পূর্ণ ক্ষমতা রয়েছে।")</f>
        <v>রেফারির অসদাচরণের শাস্তি দেওয়ার পূর্ণ ক্ষমতা রয়েছে।</v>
      </c>
    </row>
    <row r="113">
      <c r="A113" s="3">
        <v>112.0</v>
      </c>
      <c r="B113" s="3" t="s">
        <v>444</v>
      </c>
      <c r="C113" s="3" t="s">
        <v>445</v>
      </c>
      <c r="D113" s="3" t="s">
        <v>446</v>
      </c>
      <c r="E113" s="3" t="s">
        <v>447</v>
      </c>
      <c r="I113" s="4" t="str">
        <f>IFERROR(__xludf.DUMMYFUNCTION("GOOGLETRANSLATE(A113, ""en"", ""bn"")"),"১১২")</f>
        <v>১১২</v>
      </c>
      <c r="J113" s="4" t="str">
        <f>IFERROR(__xludf.DUMMYFUNCTION("GOOGLETRANSLATE(B113, ""en"", ""bn"")"),"একটি দলের খেলোয়াড়দের খেলার ক্রম কীভাবে নির্ধারিত হয়?")</f>
        <v>একটি দলের খেলোয়াড়দের খেলার ক্রম কীভাবে নির্ধারিত হয়?</v>
      </c>
      <c r="K113" s="4" t="str">
        <f>IFERROR(__xludf.DUMMYFUNCTION("GOOGLETRANSLATE(C113, ""en"", ""bn"")"),"ক) অধিনায়ক দ্বারা, খ) রেফারি দ্বারা, গ) জনতার দ্বারা, ঘ) লটারির মাধ্যমে")</f>
        <v>ক) অধিনায়ক দ্বারা, খ) রেফারি দ্বারা, গ) জনতার দ্বারা, ঘ) লটারির মাধ্যমে</v>
      </c>
      <c r="L113" s="4" t="str">
        <f>IFERROR(__xludf.DUMMYFUNCTION("GOOGLETRANSLATE(D113, ""en"", ""bn"")"),"ক) ক্যাপ্টেন দ্বারা")</f>
        <v>ক) ক্যাপ্টেন দ্বারা</v>
      </c>
      <c r="M113" s="4" t="str">
        <f>IFERROR(__xludf.DUMMYFUNCTION("GOOGLETRANSLATE(E113, ""en"", ""bn"")"),"দলের অধিনায়করা সিদ্ধান্ত নেন কোন খেলোয়াড় কোন ক্রমে বল ছুঁড়ে মারবে।")</f>
        <v>দলের অধিনায়করা সিদ্ধান্ত নেন কোন খেলোয়াড় কোন ক্রমে বল ছুঁড়ে মারবে।</v>
      </c>
    </row>
    <row r="114">
      <c r="A114" s="3">
        <v>113.0</v>
      </c>
      <c r="B114" s="3" t="s">
        <v>448</v>
      </c>
      <c r="C114" s="3" t="s">
        <v>449</v>
      </c>
      <c r="D114" s="3" t="s">
        <v>450</v>
      </c>
      <c r="E114" s="3" t="s">
        <v>451</v>
      </c>
      <c r="I114" s="4" t="str">
        <f>IFERROR(__xludf.DUMMYFUNCTION("GOOGLETRANSLATE(A114, ""en"", ""bn"")"),"১১৩")</f>
        <v>১১৩</v>
      </c>
      <c r="J114" s="4" t="str">
        <f>IFERROR(__xludf.DUMMYFUNCTION("GOOGLETRANSLATE(B114, ""en"", ""bn"")"),"পালা মিস করার শাস্তি কী?")</f>
        <v>পালা মিস করার শাস্তি কী?</v>
      </c>
      <c r="K114" s="4" t="str">
        <f>IFERROR(__xludf.DUMMYFUNCTION("GOOGLETRANSLATE(C114, ""en"", ""bn"")"),"ক) পুনরায় খেলার অনুমতি, খ) সেই সুযোগ হারানো, গ) একটি পয়েন্ট কাটা, ঘ) খেলা শেষ করা")</f>
        <v>ক) পুনরায় খেলার অনুমতি, খ) সেই সুযোগ হারানো, গ) একটি পয়েন্ট কাটা, ঘ) খেলা শেষ করা</v>
      </c>
      <c r="L114" s="4" t="str">
        <f>IFERROR(__xludf.DUMMYFUNCTION("GOOGLETRANSLATE(D114, ""en"", ""bn"")"),"খ) সেই সুযোগ হারানো")</f>
        <v>খ) সেই সুযোগ হারানো</v>
      </c>
      <c r="M114" s="4" t="str">
        <f>IFERROR(__xludf.DUMMYFUNCTION("GOOGLETRANSLATE(E114, ""en"", ""bn"")"),"মিস করা বাঁকগুলি পুনরায় দেখানো হয় না।")</f>
        <v>মিস করা বাঁকগুলি পুনরায় দেখানো হয় না।</v>
      </c>
    </row>
    <row r="115">
      <c r="A115" s="3">
        <v>114.0</v>
      </c>
      <c r="B115" s="3" t="s">
        <v>452</v>
      </c>
      <c r="C115" s="3" t="s">
        <v>453</v>
      </c>
      <c r="D115" s="3" t="s">
        <v>321</v>
      </c>
      <c r="E115" s="3" t="s">
        <v>454</v>
      </c>
      <c r="I115" s="4" t="str">
        <f>IFERROR(__xludf.DUMMYFUNCTION("GOOGLETRANSLATE(A115, ""en"", ""bn"")"),"১১৪")</f>
        <v>১১৪</v>
      </c>
      <c r="J115" s="4" t="str">
        <f>IFERROR(__xludf.DUMMYFUNCTION("GOOGLETRANSLATE(B115, ""en"", ""bn"")"),"ম্যাচের আগে পাথরটি কী পরীক্ষা করা উচিত?")</f>
        <v>ম্যাচের আগে পাথরটি কী পরীক্ষা করা উচিত?</v>
      </c>
      <c r="K115" s="4" t="str">
        <f>IFERROR(__xludf.DUMMYFUNCTION("GOOGLETRANSLATE(C115, ""en"", ""bn"")"),"ক) ওজন, খ) আকৃতি, গ) ফাটল, ঘ) এই সব")</f>
        <v>ক) ওজন, খ) আকৃতি, গ) ফাটল, ঘ) এই সব</v>
      </c>
      <c r="L115" s="4" t="str">
        <f>IFERROR(__xludf.DUMMYFUNCTION("GOOGLETRANSLATE(D115, ""en"", ""bn"")"),"ঘ) এই সবগুলো")</f>
        <v>ঘ) এই সবগুলো</v>
      </c>
      <c r="M115" s="4" t="str">
        <f>IFERROR(__xludf.DUMMYFUNCTION("GOOGLETRANSLATE(E115, ""en"", ""bn"")"),"ন্যায্যতা নিশ্চিত করার জন্য পাথরগুলি পরিদর্শন করা হয়।")</f>
        <v>ন্যায্যতা নিশ্চিত করার জন্য পাথরগুলি পরিদর্শন করা হয়।</v>
      </c>
    </row>
    <row r="116">
      <c r="A116" s="3">
        <v>115.0</v>
      </c>
      <c r="B116" s="3" t="s">
        <v>455</v>
      </c>
      <c r="C116" s="3" t="s">
        <v>456</v>
      </c>
      <c r="D116" s="3" t="s">
        <v>457</v>
      </c>
      <c r="E116" s="3" t="s">
        <v>458</v>
      </c>
      <c r="I116" s="4" t="str">
        <f>IFERROR(__xludf.DUMMYFUNCTION("GOOGLETRANSLATE(A116, ""en"", ""bn"")"),"১১৫")</f>
        <v>১১৫</v>
      </c>
      <c r="J116" s="4" t="str">
        <f>IFERROR(__xludf.DUMMYFUNCTION("GOOGLETRANSLATE(B116, ""en"", ""bn"")"),"অতিরিক্ত থ্রো কিভাবে দেওয়া হয়?")</f>
        <v>অতিরিক্ত থ্রো কিভাবে দেওয়া হয়?</v>
      </c>
      <c r="K116" s="4" t="str">
        <f>IFERROR(__xludf.DUMMYFUNCTION("GOOGLETRANSLATE(C116, ""en"", ""bn"")"),"ক) শুধুমাত্র টাই-ব্রেকারের জন্য, খ) ফাউলের ​​জন্য, গ) ভিড়ের চাহিদার জন্য, ঘ) কখনও না")</f>
        <v>ক) শুধুমাত্র টাই-ব্রেকারের জন্য, খ) ফাউলের ​​জন্য, গ) ভিড়ের চাহিদার জন্য, ঘ) কখনও না</v>
      </c>
      <c r="L116" s="4" t="str">
        <f>IFERROR(__xludf.DUMMYFUNCTION("GOOGLETRANSLATE(D116, ""en"", ""bn"")"),"ক) শুধুমাত্র টাই-ব্রেকারের জন্য")</f>
        <v>ক) শুধুমাত্র টাই-ব্রেকারের জন্য</v>
      </c>
      <c r="M116" s="4" t="str">
        <f>IFERROR(__xludf.DUMMYFUNCTION("GOOGLETRANSLATE(E116, ""en"", ""bn"")"),"শুধুমাত্র বন্ধন ভাঙার জন্য অতিরিক্ত থ্রো দেওয়া হয়।")</f>
        <v>শুধুমাত্র বন্ধন ভাঙার জন্য অতিরিক্ত থ্রো দেওয়া হয়।</v>
      </c>
    </row>
    <row r="117">
      <c r="A117" s="3">
        <v>116.0</v>
      </c>
      <c r="B117" s="3" t="s">
        <v>459</v>
      </c>
      <c r="C117" s="3" t="s">
        <v>460</v>
      </c>
      <c r="D117" s="3" t="s">
        <v>461</v>
      </c>
      <c r="E117" s="3" t="s">
        <v>462</v>
      </c>
      <c r="I117" s="4" t="str">
        <f>IFERROR(__xludf.DUMMYFUNCTION("GOOGLETRANSLATE(A117, ""en"", ""bn"")"),"১১৬")</f>
        <v>১১৬</v>
      </c>
      <c r="J117" s="4" t="str">
        <f>IFERROR(__xludf.DUMMYFUNCTION("GOOGLETRANSLATE(B117, ""en"", ""bn"")"),"রেফারি যদি গণনায় ভুল করেন তাহলে কী হবে?")</f>
        <v>রেফারি যদি গণনায় ভুল করেন তাহলে কী হবে?</v>
      </c>
      <c r="K117" s="4" t="str">
        <f>IFERROR(__xludf.DUMMYFUNCTION("GOOGLETRANSLATE(C117, ""en"", ""bn"")"),"ক) জনতা সংশোধন করে, খ) খেলা পুনরায় খেলুন, গ) প্রতিবাদ করলে সংশোধন করুন, ঘ) ভুল উপেক্ষা করুন")</f>
        <v>ক) জনতা সংশোধন করে, খ) খেলা পুনরায় খেলুন, গ) প্রতিবাদ করলে সংশোধন করুন, ঘ) ভুল উপেক্ষা করুন</v>
      </c>
      <c r="L117" s="4" t="str">
        <f>IFERROR(__xludf.DUMMYFUNCTION("GOOGLETRANSLATE(D117, ""en"", ""bn"")"),"গ) প্রতিবাদের ভিত্তিতে সংশোধন")</f>
        <v>গ) প্রতিবাদের ভিত্তিতে সংশোধন</v>
      </c>
      <c r="M117" s="4" t="str">
        <f>IFERROR(__xludf.DUMMYFUNCTION("GOOGLETRANSLATE(E117, ""en"", ""bn"")"),"দলগুলি প্রতিবাদ করতে পারে, এবং রেফারি প্রকৃত ভুলগুলি সংশোধন করতে পারেন।")</f>
        <v>দলগুলি প্রতিবাদ করতে পারে, এবং রেফারি প্রকৃত ভুলগুলি সংশোধন করতে পারেন।</v>
      </c>
    </row>
    <row r="118">
      <c r="A118" s="3">
        <v>117.0</v>
      </c>
      <c r="B118" s="3" t="s">
        <v>463</v>
      </c>
      <c r="C118" s="3" t="s">
        <v>464</v>
      </c>
      <c r="D118" s="3" t="s">
        <v>465</v>
      </c>
      <c r="E118" s="3" t="s">
        <v>466</v>
      </c>
      <c r="I118" s="4" t="str">
        <f>IFERROR(__xludf.DUMMYFUNCTION("GOOGLETRANSLATE(A118, ""en"", ""bn"")"),"১১৭")</f>
        <v>১১৭</v>
      </c>
      <c r="J118" s="4" t="str">
        <f>IFERROR(__xludf.DUMMYFUNCTION("GOOGLETRANSLATE(B118, ""en"", ""bn"")"),"দলের পোশাকের নিয়ম কী?")</f>
        <v>দলের পোশাকের নিয়ম কী?</v>
      </c>
      <c r="K118" s="4" t="str">
        <f>IFERROR(__xludf.DUMMYFUNCTION("GOOGLETRANSLATE(C118, ""en"", ""bn"")"),"ক) প্রয়োজন নয়, খ) শনাক্তকরণের জন্য প্রয়োজন, গ) কেবল ক্যাপ্টেনরা পোশাক পরেন, ঘ) স্পন্সর সিদ্ধান্ত নেন")</f>
        <v>ক) প্রয়োজন নয়, খ) শনাক্তকরণের জন্য প্রয়োজন, গ) কেবল ক্যাপ্টেনরা পোশাক পরেন, ঘ) স্পন্সর সিদ্ধান্ত নেন</v>
      </c>
      <c r="L118" s="4" t="str">
        <f>IFERROR(__xludf.DUMMYFUNCTION("GOOGLETRANSLATE(D118, ""en"", ""bn"")"),"খ) শনাক্তকরণের জন্য প্রয়োজনীয়")</f>
        <v>খ) শনাক্তকরণের জন্য প্রয়োজনীয়</v>
      </c>
      <c r="M118" s="4" t="str">
        <f>IFERROR(__xludf.DUMMYFUNCTION("GOOGLETRANSLATE(E118, ""en"", ""bn"")"),"স্পষ্টতার জন্য দলগুলি একই রঙের পোশাক পরে।")</f>
        <v>স্পষ্টতার জন্য দলগুলি একই রঙের পোশাক পরে।</v>
      </c>
    </row>
    <row r="119">
      <c r="A119" s="3">
        <v>118.0</v>
      </c>
      <c r="B119" s="3" t="s">
        <v>467</v>
      </c>
      <c r="C119" s="3" t="s">
        <v>468</v>
      </c>
      <c r="D119" s="3" t="s">
        <v>469</v>
      </c>
      <c r="E119" s="3" t="s">
        <v>470</v>
      </c>
      <c r="I119" s="4" t="str">
        <f>IFERROR(__xludf.DUMMYFUNCTION("GOOGLETRANSLATE(A119, ""en"", ""bn"")"),"১১৮")</f>
        <v>১১৮</v>
      </c>
      <c r="J119" s="4" t="str">
        <f>IFERROR(__xludf.DUMMYFUNCTION("GOOGLETRANSLATE(B119, ""en"", ""bn"")"),"দুই রাউন্ডের মধ্যে সর্বোচ্চ বিশ্রামের সময় কত?")</f>
        <v>দুই রাউন্ডের মধ্যে সর্বোচ্চ বিশ্রামের সময় কত?</v>
      </c>
      <c r="K119" s="4" t="str">
        <f>IFERROR(__xludf.DUMMYFUNCTION("GOOGLETRANSLATE(C119, ""en"", ""bn"")"),"ক) ১ মিনিট, খ) ৩ মিনিট, গ) ৫ মিনিট, ঘ) ১০ মিনিট")</f>
        <v>ক) ১ মিনিট, খ) ৩ মিনিট, গ) ৫ মিনিট, ঘ) ১০ মিনিট</v>
      </c>
      <c r="L119" s="4" t="str">
        <f>IFERROR(__xludf.DUMMYFUNCTION("GOOGLETRANSLATE(D119, ""en"", ""bn"")"),"খ) ৩ মিনিট")</f>
        <v>খ) ৩ মিনিট</v>
      </c>
      <c r="M119" s="4" t="str">
        <f>IFERROR(__xludf.DUMMYFUNCTION("GOOGLETRANSLATE(E119, ""en"", ""bn"")"),"ছোট বিরতি অনুমোদিত কিন্তু ৩ মিনিটের মধ্যে রাখা যেতে পারে।")</f>
        <v>ছোট বিরতি অনুমোদিত কিন্তু ৩ মিনিটের মধ্যে রাখা যেতে পারে।</v>
      </c>
    </row>
    <row r="120">
      <c r="A120" s="3">
        <v>119.0</v>
      </c>
      <c r="B120" s="3" t="s">
        <v>471</v>
      </c>
      <c r="C120" s="3" t="s">
        <v>472</v>
      </c>
      <c r="D120" s="3" t="s">
        <v>473</v>
      </c>
      <c r="E120" s="3" t="s">
        <v>474</v>
      </c>
      <c r="I120" s="4" t="str">
        <f>IFERROR(__xludf.DUMMYFUNCTION("GOOGLETRANSLATE(A120, ""en"", ""bn"")"),"১১৯")</f>
        <v>১১৯</v>
      </c>
      <c r="J120" s="4" t="str">
        <f>IFERROR(__xludf.DUMMYFUNCTION("GOOGLETRANSLATE(B120, ""en"", ""bn"")"),"যদি উভয় দল টাই-ব্রেকারে অস্বীকৃতি জানায় তাহলে কী হবে?")</f>
        <v>যদি উভয় দল টাই-ব্রেকারে অস্বীকৃতি জানায় তাহলে কী হবে?</v>
      </c>
      <c r="K120" s="4" t="str">
        <f>IFERROR(__xludf.DUMMYFUNCTION("GOOGLETRANSLATE(C120, ""en"", ""bn"")"),"ক) ড্র ঘোষিত, খ) টসের সিদ্ধান্ত, গ) রেফারি বিজয়ী নির্ধারণ করেন, ঘ) অন্য একদিন পুনরায় খেলা।")</f>
        <v>ক) ড্র ঘোষিত, খ) টসের সিদ্ধান্ত, গ) রেফারি বিজয়ী নির্ধারণ করেন, ঘ) অন্য একদিন পুনরায় খেলা।</v>
      </c>
      <c r="L120" s="4" t="str">
        <f>IFERROR(__xludf.DUMMYFUNCTION("GOOGLETRANSLATE(D120, ""en"", ""bn"")"),"ক) ঘোষিত ড্র")</f>
        <v>ক) ঘোষিত ড্র</v>
      </c>
      <c r="M120" s="4" t="str">
        <f>IFERROR(__xludf.DUMMYFUNCTION("GOOGLETRANSLATE(E120, ""en"", ""bn"")"),"যদি উভয়েই অস্বীকৃতি জানায়, তাহলে খেলাটিকে ড্র বলা হয়।")</f>
        <v>যদি উভয়েই অস্বীকৃতি জানায়, তাহলে খেলাটিকে ড্র বলা হয়।</v>
      </c>
    </row>
    <row r="121">
      <c r="A121" s="3">
        <v>120.0</v>
      </c>
      <c r="B121" s="3" t="s">
        <v>475</v>
      </c>
      <c r="C121" s="3" t="s">
        <v>476</v>
      </c>
      <c r="D121" s="3" t="s">
        <v>477</v>
      </c>
      <c r="E121" s="3" t="s">
        <v>478</v>
      </c>
      <c r="I121" s="4" t="str">
        <f>IFERROR(__xludf.DUMMYFUNCTION("GOOGLETRANSLATE(A121, ""en"", ""bn"")"),"১২০")</f>
        <v>১২০</v>
      </c>
      <c r="J121" s="4" t="str">
        <f>IFERROR(__xludf.DUMMYFUNCTION("GOOGLETRANSLATE(B121, ""en"", ""bn"")"),"পাথরটি খুব হালকা বা খুব ভারী হলে কী হবে?")</f>
        <v>পাথরটি খুব হালকা বা খুব ভারী হলে কী হবে?</v>
      </c>
      <c r="K121" s="4" t="str">
        <f>IFERROR(__xludf.DUMMYFUNCTION("GOOGLETRANSLATE(C121, ""en"", ""bn"")"),"ক) এখনও ব্যবহৃত, খ) রেফারি দ্বারা সমন্বিত, গ) আদর্শ ওজন দ্বারা প্রতিস্থাপিত, ঘ) দল দ্বারা নির্বাচিত")</f>
        <v>ক) এখনও ব্যবহৃত, খ) রেফারি দ্বারা সমন্বিত, গ) আদর্শ ওজন দ্বারা প্রতিস্থাপিত, ঘ) দল দ্বারা নির্বাচিত</v>
      </c>
      <c r="L121" s="4" t="str">
        <f>IFERROR(__xludf.DUMMYFUNCTION("GOOGLETRANSLATE(D121, ""en"", ""bn"")"),"গ) স্ট্যান্ডার্ড ওজন দিয়ে প্রতিস্থাপিত")</f>
        <v>গ) স্ট্যান্ডার্ড ওজন দিয়ে প্রতিস্থাপিত</v>
      </c>
      <c r="M121" s="4" t="str">
        <f>IFERROR(__xludf.DUMMYFUNCTION("GOOGLETRANSLATE(E121, ""en"", ""bn"")"),"শুধুমাত্র অনুমোদিত ৪-৫ কেজি ওজনের পাথর অনুমোদিত।")</f>
        <v>শুধুমাত্র অনুমোদিত ৪-৫ কেজি ওজনের পাথর অনুমোদিত।</v>
      </c>
    </row>
    <row r="122">
      <c r="A122" s="3">
        <v>121.0</v>
      </c>
      <c r="B122" s="3" t="s">
        <v>479</v>
      </c>
      <c r="C122" s="3" t="s">
        <v>480</v>
      </c>
      <c r="D122" s="3" t="s">
        <v>481</v>
      </c>
      <c r="E122" s="3" t="s">
        <v>482</v>
      </c>
      <c r="I122" s="4" t="str">
        <f>IFERROR(__xludf.DUMMYFUNCTION("GOOGLETRANSLATE(A122, ""en"", ""bn"")"),"১২১")</f>
        <v>১২১</v>
      </c>
      <c r="J122" s="4" t="str">
        <f>IFERROR(__xludf.DUMMYFUNCTION("GOOGLETRANSLATE(B122, ""en"", ""bn"")"),"রেফারির কাউন্টডাউনের মধ্যে যদি পাথরটি তুলে ফেলা হয় কিন্তু ছোড়া না হয়, তাহলে কী হবে?")</f>
        <v>রেফারির কাউন্টডাউনের মধ্যে যদি পাথরটি তুলে ফেলা হয় কিন্তু ছোড়া না হয়, তাহলে কী হবে?</v>
      </c>
      <c r="K122" s="4" t="str">
        <f>IFERROR(__xludf.DUMMYFUNCTION("GOOGLETRANSLATE(C122, ""en"", ""bn"")"),"ক) এটি একটি থ্রো হিসেবে গণ্য হবে, খ) এটি একটি ফাউল হবে, গ) খেলোয়াড় আরেকটি সুযোগ পাবে, ঘ) প্রতিপক্ষ বোনাস পাবে")</f>
        <v>ক) এটি একটি থ্রো হিসেবে গণ্য হবে, খ) এটি একটি ফাউল হবে, গ) খেলোয়াড় আরেকটি সুযোগ পাবে, ঘ) প্রতিপক্ষ বোনাস পাবে</v>
      </c>
      <c r="L122" s="4" t="str">
        <f>IFERROR(__xludf.DUMMYFUNCTION("GOOGLETRANSLATE(D122, ""en"", ""bn"")"),"খ) এটি একটি ফাউল")</f>
        <v>খ) এটি একটি ফাউল</v>
      </c>
      <c r="M122" s="4" t="str">
        <f>IFERROR(__xludf.DUMMYFUNCTION("GOOGLETRANSLATE(E122, ""en"", ""bn"")"),"বল তোলার পর থ্রো বিলম্বিত করলে ফাউল হয়।")</f>
        <v>বল তোলার পর থ্রো বিলম্বিত করলে ফাউল হয়।</v>
      </c>
    </row>
    <row r="123">
      <c r="A123" s="3">
        <v>122.0</v>
      </c>
      <c r="B123" s="3" t="s">
        <v>483</v>
      </c>
      <c r="C123" s="3" t="s">
        <v>484</v>
      </c>
      <c r="D123" s="3" t="s">
        <v>238</v>
      </c>
      <c r="E123" s="3" t="s">
        <v>485</v>
      </c>
      <c r="I123" s="4" t="str">
        <f>IFERROR(__xludf.DUMMYFUNCTION("GOOGLETRANSLATE(A123, ""en"", ""bn"")"),"১২২")</f>
        <v>১২২</v>
      </c>
      <c r="J123" s="4" t="str">
        <f>IFERROR(__xludf.DUMMYFUNCTION("GOOGLETRANSLATE(B123, ""en"", ""bn"")"),"বলি খেলায় সফল নিক্ষেপের জন্য কোন বিষয়টি সবচেয়ে গুরুত্বপূর্ণ?")</f>
        <v>বলি খেলায় সফল নিক্ষেপের জন্য কোন বিষয়টি সবচেয়ে গুরুত্বপূর্ণ?</v>
      </c>
      <c r="K123" s="4" t="str">
        <f>IFERROR(__xludf.DUMMYFUNCTION("GOOGLETRANSLATE(C123, ""en"", ""bn"")"),"ক) শক্তি, খ) ভারসাম্য, গ) সময়, ঘ) উপরের সবগুলো")</f>
        <v>ক) শক্তি, খ) ভারসাম্য, গ) সময়, ঘ) উপরের সবগুলো</v>
      </c>
      <c r="L123" s="4" t="str">
        <f>IFERROR(__xludf.DUMMYFUNCTION("GOOGLETRANSLATE(D123, ""en"", ""bn"")"),"ঘ) উপরের সবগুলো")</f>
        <v>ঘ) উপরের সবগুলো</v>
      </c>
      <c r="M123" s="4" t="str">
        <f>IFERROR(__xludf.DUMMYFUNCTION("GOOGLETRANSLATE(E123, ""en"", ""bn"")"),"নিক্ষেপের জন্য শক্তি, ভারসাম্য এবং সময় একসাথে প্রয়োজন।")</f>
        <v>নিক্ষেপের জন্য শক্তি, ভারসাম্য এবং সময় একসাথে প্রয়োজন।</v>
      </c>
    </row>
    <row r="124">
      <c r="A124" s="3">
        <v>123.0</v>
      </c>
      <c r="B124" s="3" t="s">
        <v>486</v>
      </c>
      <c r="C124" s="3" t="s">
        <v>487</v>
      </c>
      <c r="D124" s="3" t="s">
        <v>488</v>
      </c>
      <c r="E124" s="3" t="s">
        <v>489</v>
      </c>
      <c r="I124" s="4" t="str">
        <f>IFERROR(__xludf.DUMMYFUNCTION("GOOGLETRANSLATE(A124, ""en"", ""bn"")"),"১২৩")</f>
        <v>১২৩</v>
      </c>
      <c r="J124" s="4" t="str">
        <f>IFERROR(__xludf.DUMMYFUNCTION("GOOGLETRANSLATE(B124, ""en"", ""bn"")"),"যদি পাথরটি লক্ষ্যবস্তু এলাকার সীমানা রেখায় আঘাত করে তাহলে কী হবে?")</f>
        <v>যদি পাথরটি লক্ষ্যবস্তু এলাকার সীমানা রেখায় আঘাত করে তাহলে কী হবে?</v>
      </c>
      <c r="K124" s="4" t="str">
        <f>IFERROR(__xludf.DUMMYFUNCTION("GOOGLETRANSLATE(C124, ""en"", ""bn"")"),"ক) এটি গণনা করা হয়, খ) এটি গণনা করা হয় না, গ) অর্ধেক পয়েন্ট দেওয়া হয়, ঘ) থ্রো পুনরাবৃত্তি করা হয়")</f>
        <v>ক) এটি গণনা করা হয়, খ) এটি গণনা করা হয় না, গ) অর্ধেক পয়েন্ট দেওয়া হয়, ঘ) থ্রো পুনরাবৃত্তি করা হয়</v>
      </c>
      <c r="L124" s="4" t="str">
        <f>IFERROR(__xludf.DUMMYFUNCTION("GOOGLETRANSLATE(D124, ""en"", ""bn"")"),"ক) এটি গুরুত্বপূর্ণ")</f>
        <v>ক) এটি গুরুত্বপূর্ণ</v>
      </c>
      <c r="M124" s="4" t="str">
        <f>IFERROR(__xludf.DUMMYFUNCTION("GOOGLETRANSLATE(E124, ""en"", ""bn"")"),"সীমানায় পাথর পড়লে তা বৈধ বলে বিবেচিত হবে।")</f>
        <v>সীমানায় পাথর পড়লে তা বৈধ বলে বিবেচিত হবে।</v>
      </c>
    </row>
    <row r="125">
      <c r="A125" s="3">
        <v>124.0</v>
      </c>
      <c r="B125" s="3" t="s">
        <v>490</v>
      </c>
      <c r="C125" s="3" t="s">
        <v>491</v>
      </c>
      <c r="D125" s="3" t="s">
        <v>492</v>
      </c>
      <c r="E125" s="3" t="s">
        <v>493</v>
      </c>
      <c r="I125" s="4" t="str">
        <f>IFERROR(__xludf.DUMMYFUNCTION("GOOGLETRANSLATE(A125, ""en"", ""bn"")"),"১২৪")</f>
        <v>১২৪</v>
      </c>
      <c r="J125" s="4" t="str">
        <f>IFERROR(__xludf.DUMMYFUNCTION("GOOGLETRANSLATE(B125, ""en"", ""bn"")"),"বলি খেলা বাদকদের সাধারণত কী ধরণের পোশাক পরতে হয়?")</f>
        <v>বলি খেলা বাদকদের সাধারণত কী ধরণের পোশাক পরতে হয়?</v>
      </c>
      <c r="K125" s="4" t="str">
        <f>IFERROR(__xludf.DUMMYFUNCTION("GOOGLETRANSLATE(C125, ""en"", ""bn"")"),"ক) স্পোর্টস জুতা, খ) ঐতিহ্যবাহী লুঙ্গি বা শর্টস, গ) আনুষ্ঠানিক পোশাক, ঘ) খালি পায়ে শুধুমাত্র")</f>
        <v>ক) স্পোর্টস জুতা, খ) ঐতিহ্যবাহী লুঙ্গি বা শর্টস, গ) আনুষ্ঠানিক পোশাক, ঘ) খালি পায়ে শুধুমাত্র</v>
      </c>
      <c r="L125" s="4" t="str">
        <f>IFERROR(__xludf.DUMMYFUNCTION("GOOGLETRANSLATE(D125, ""en"", ""bn"")"),"খ) ঐতিহ্যবাহী লুঙ্গি বা হাফপ্যান্ট")</f>
        <v>খ) ঐতিহ্যবাহী লুঙ্গি বা হাফপ্যান্ট</v>
      </c>
      <c r="M125" s="4" t="str">
        <f>IFERROR(__xludf.DUMMYFUNCTION("GOOGLETRANSLATE(E125, ""en"", ""bn"")"),"খেলোয়াড়রা ঐতিহ্যগতভাবে স্থানীয় পোশাক পরে।")</f>
        <v>খেলোয়াড়রা ঐতিহ্যগতভাবে স্থানীয় পোশাক পরে।</v>
      </c>
    </row>
    <row r="126">
      <c r="A126" s="3">
        <v>125.0</v>
      </c>
      <c r="B126" s="3" t="s">
        <v>494</v>
      </c>
      <c r="C126" s="3" t="s">
        <v>495</v>
      </c>
      <c r="D126" s="3" t="s">
        <v>496</v>
      </c>
      <c r="E126" s="3" t="s">
        <v>497</v>
      </c>
      <c r="I126" s="4" t="str">
        <f>IFERROR(__xludf.DUMMYFUNCTION("GOOGLETRANSLATE(A126, ""en"", ""bn"")"),"১২৫")</f>
        <v>১২৫</v>
      </c>
      <c r="J126" s="4" t="str">
        <f>IFERROR(__xludf.DUMMYFUNCTION("GOOGLETRANSLATE(B126, ""en"", ""bn"")"),"বলি খেলা কোন উৎসবের সাথে সবচেয়ে বেশি জড়িত?")</f>
        <v>বলি খেলা কোন উৎসবের সাথে সবচেয়ে বেশি জড়িত?</v>
      </c>
      <c r="K126" s="4" t="str">
        <f>IFERROR(__xludf.DUMMYFUNCTION("GOOGLETRANSLATE(C126, ""en"", ""bn"")"),"ক) ঈদ, খ) দুর্গাপূজা, গ) বৈশাখী, ঘ) নববর্ষ")</f>
        <v>ক) ঈদ, খ) দুর্গাপূজা, গ) বৈশাখী, ঘ) নববর্ষ</v>
      </c>
      <c r="L126" s="4" t="str">
        <f>IFERROR(__xludf.DUMMYFUNCTION("GOOGLETRANSLATE(D126, ""en"", ""bn"")"),"গ) বৈশাখী")</f>
        <v>গ) বৈশাখী</v>
      </c>
      <c r="M126" s="4" t="str">
        <f>IFERROR(__xludf.DUMMYFUNCTION("GOOGLETRANSLATE(E126, ""en"", ""bn"")"),"বৈশাখী উৎসবের সাথে এই খেলাটি নিবিড়ভাবে জড়িত।")</f>
        <v>বৈশাখী উৎসবের সাথে এই খেলাটি নিবিড়ভাবে জড়িত।</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4.38"/>
    <col customWidth="1" min="5" max="5" width="37.63"/>
    <col customWidth="1" min="11" max="12" width="37.63"/>
    <col customWidth="1" min="13" max="13" width="23.5"/>
    <col customWidth="1" min="14" max="14" width="37.63"/>
  </cols>
  <sheetData>
    <row r="1">
      <c r="A1" s="1" t="s">
        <v>0</v>
      </c>
      <c r="B1" s="1" t="s">
        <v>1</v>
      </c>
      <c r="C1" s="1" t="s">
        <v>2</v>
      </c>
      <c r="D1" s="1" t="s">
        <v>3</v>
      </c>
      <c r="E1" s="1" t="s">
        <v>4</v>
      </c>
      <c r="J1" s="5" t="s">
        <v>5</v>
      </c>
      <c r="K1" s="5" t="s">
        <v>6</v>
      </c>
      <c r="L1" s="5" t="s">
        <v>7</v>
      </c>
      <c r="M1" s="5" t="s">
        <v>8</v>
      </c>
      <c r="N1" s="5" t="s">
        <v>9</v>
      </c>
    </row>
    <row r="2">
      <c r="A2" s="3">
        <v>1.0</v>
      </c>
      <c r="B2" s="3" t="s">
        <v>498</v>
      </c>
      <c r="C2" s="3" t="s">
        <v>499</v>
      </c>
      <c r="D2" s="3" t="s">
        <v>500</v>
      </c>
      <c r="E2" s="3" t="s">
        <v>501</v>
      </c>
      <c r="J2" s="4" t="str">
        <f>IFERROR(__xludf.DUMMYFUNCTION("GOOGLETRANSLATE(A2, ""en"", ""bn"")"),"১")</f>
        <v>১</v>
      </c>
      <c r="K2" s="4" t="str">
        <f>IFERROR(__xludf.DUMMYFUNCTION("GOOGLETRANSLATE(B2, ""en"", ""bn"")"),"দাড়িবান্ধায়, 'রানার' দলের লক্ষ্য কী?")</f>
        <v>দাড়িবান্ধায়, 'রানার' দলের লক্ষ্য কী?</v>
      </c>
      <c r="L2" s="4" t="str">
        <f>IFERROR(__xludf.DUMMYFUNCTION("GOOGLETRANSLATE(C2, ""en"", ""bn"")"),"ক) ডিফেন্ডারদের ট্যাগ করা, খ) ধরা না পড়া এড়াতে, গ) পতাকাটি ধরে রাখা, ঘ) শেষ রেখায় পৌঁছানো")</f>
        <v>ক) ডিফেন্ডারদের ট্যাগ করা, খ) ধরা না পড়া এড়াতে, গ) পতাকাটি ধরে রাখা, ঘ) শেষ রেখায় পৌঁছানো</v>
      </c>
      <c r="M2" s="4" t="str">
        <f>IFERROR(__xludf.DUMMYFUNCTION("GOOGLETRANSLATE(D2, ""en"", ""bn"")"),"খ) ধরা না পড়ার জন্য")</f>
        <v>খ) ধরা না পড়ার জন্য</v>
      </c>
      <c r="N2" s="4" t="str">
        <f>IFERROR(__xludf.DUMMYFUNCTION("GOOGLETRANSLATE(E2, ""en"", ""bn"")"),"রানার দলের প্রাথমিক লক্ষ্য হলো প্রতিপক্ষ দলের হাতে ধরা না পড়া।")</f>
        <v>রানার দলের প্রাথমিক লক্ষ্য হলো প্রতিপক্ষ দলের হাতে ধরা না পড়া।</v>
      </c>
    </row>
    <row r="3">
      <c r="A3" s="3">
        <v>2.0</v>
      </c>
      <c r="B3" s="3" t="s">
        <v>502</v>
      </c>
      <c r="C3" s="3" t="s">
        <v>503</v>
      </c>
      <c r="D3" s="3" t="s">
        <v>504</v>
      </c>
      <c r="E3" s="3" t="s">
        <v>505</v>
      </c>
      <c r="J3" s="4" t="str">
        <f>IFERROR(__xludf.DUMMYFUNCTION("GOOGLETRANSLATE(A3, ""en"", ""bn"")"),"২")</f>
        <v>২</v>
      </c>
      <c r="K3" s="4" t="str">
        <f>IFERROR(__xludf.DUMMYFUNCTION("GOOGLETRANSLATE(B3, ""en"", ""bn"")"),"দাড়িবান্ধায় প্রতিটি দলে সাধারণত কতজন খেলোয়াড় থাকে?")</f>
        <v>দাড়িবান্ধায় প্রতিটি দলে সাধারণত কতজন খেলোয়াড় থাকে?</v>
      </c>
      <c r="L3" s="4" t="str">
        <f>IFERROR(__xludf.DUMMYFUNCTION("GOOGLETRANSLATE(C3, ""en"", ""bn"")"),"ক) ৩-৫, খ) ৫-৭, গ) ৭-৯, ঘ) ১০-১২")</f>
        <v>ক) ৩-৫, খ) ৫-৭, গ) ৭-৯, ঘ) ১০-১২</v>
      </c>
      <c r="M3" s="4" t="str">
        <f>IFERROR(__xludf.DUMMYFUNCTION("GOOGLETRANSLATE(D3, ""en"", ""bn"")"),"খ) ৫-৭")</f>
        <v>খ) ৫-৭</v>
      </c>
      <c r="N3" s="4" t="str">
        <f>IFERROR(__xludf.DUMMYFUNCTION("GOOGLETRANSLATE(E3, ""en"", ""bn"")"),"দাড়িবান্ধা সাধারণত প্রতিটি দলে ৫ থেকে ৭ জন খেলোয়াড় নিয়ে খেলা হয়।")</f>
        <v>দাড়িবান্ধা সাধারণত প্রতিটি দলে ৫ থেকে ৭ জন খেলোয়াড় নিয়ে খেলা হয়।</v>
      </c>
    </row>
    <row r="4">
      <c r="A4" s="3">
        <v>3.0</v>
      </c>
      <c r="B4" s="3" t="s">
        <v>506</v>
      </c>
      <c r="C4" s="3" t="s">
        <v>507</v>
      </c>
      <c r="D4" s="3" t="s">
        <v>508</v>
      </c>
      <c r="E4" s="3" t="s">
        <v>509</v>
      </c>
      <c r="J4" s="4" t="str">
        <f>IFERROR(__xludf.DUMMYFUNCTION("GOOGLETRANSLATE(A4, ""en"", ""bn"")"),"৩")</f>
        <v>৩</v>
      </c>
      <c r="K4" s="4" t="str">
        <f>IFERROR(__xludf.DUMMYFUNCTION("GOOGLETRANSLATE(B4, ""en"", ""bn"")"),"দাড়িয়াবান্ধায় 'রক্ষাকারী' দলের ভূমিকার সবচেয়ে ভালো বর্ণনা কোনটি?")</f>
        <v>দাড়িয়াবান্ধায় 'রক্ষাকারী' দলের ভূমিকার সবচেয়ে ভালো বর্ণনা কোনটি?</v>
      </c>
      <c r="L4" s="4" t="str">
        <f>IFERROR(__xludf.DUMMYFUNCTION("GOOGLETRANSLATE(C4, ""en"", ""bn"")"),"ক) পথ আটকানো, খ) পয়েন্ট অর্জন করা, গ) রানার দলকে ধরে ফেলা, ঘ) ফাঁদ স্থাপন করা")</f>
        <v>ক) পথ আটকানো, খ) পয়েন্ট অর্জন করা, গ) রানার দলকে ধরে ফেলা, ঘ) ফাঁদ স্থাপন করা</v>
      </c>
      <c r="M4" s="4" t="str">
        <f>IFERROR(__xludf.DUMMYFUNCTION("GOOGLETRANSLATE(D4, ""en"", ""bn"")"),"গ) রানার দলকে ধরে ফেলার জন্য")</f>
        <v>গ) রানার দলকে ধরে ফেলার জন্য</v>
      </c>
      <c r="N4" s="4" t="str">
        <f>IFERROR(__xludf.DUMMYFUNCTION("GOOGLETRANSLATE(E4, ""en"", ""bn"")"),"ডিফেন্ডার দলের প্রধান ভূমিকা হলো রানার দলের খেলোয়াড়দের ধরে আনা।")</f>
        <v>ডিফেন্ডার দলের প্রধান ভূমিকা হলো রানার দলের খেলোয়াড়দের ধরে আনা।</v>
      </c>
    </row>
    <row r="5">
      <c r="A5" s="3">
        <v>4.0</v>
      </c>
      <c r="B5" s="3" t="s">
        <v>510</v>
      </c>
      <c r="C5" s="3" t="s">
        <v>511</v>
      </c>
      <c r="D5" s="3" t="s">
        <v>512</v>
      </c>
      <c r="E5" s="3" t="s">
        <v>513</v>
      </c>
      <c r="J5" s="4" t="str">
        <f>IFERROR(__xludf.DUMMYFUNCTION("GOOGLETRANSLATE(A5, ""en"", ""bn"")"),"৪")</f>
        <v>৪</v>
      </c>
      <c r="K5" s="4" t="str">
        <f>IFERROR(__xludf.DUMMYFUNCTION("GOOGLETRANSLATE(B5, ""en"", ""bn"")"),"দাড়িয়াবান্ধায়, দৌড়বিদদের আটকা পড়া এড়াতে 'নিরাপদ অঞ্চল' কী কী?")</f>
        <v>দাড়িয়াবান্ধায়, দৌড়বিদদের আটকা পড়া এড়াতে 'নিরাপদ অঞ্চল' কী কী?</v>
      </c>
      <c r="L5" s="4" t="str">
        <f>IFERROR(__xludf.DUMMYFUNCTION("GOOGLETRANSLATE(C5, ""en"", ""bn"")"),"ক) বৃত্ত, খ) ত্রিভুজ, গ) রেখা, ঘ) বর্গক্ষেত্র")</f>
        <v>ক) বৃত্ত, খ) ত্রিভুজ, গ) রেখা, ঘ) বর্গক্ষেত্র</v>
      </c>
      <c r="M5" s="4" t="str">
        <f>IFERROR(__xludf.DUMMYFUNCTION("GOOGLETRANSLATE(D5, ""en"", ""bn"")"),"গ) লাইন")</f>
        <v>গ) লাইন</v>
      </c>
      <c r="N5" s="4" t="str">
        <f>IFERROR(__xludf.DUMMYFUNCTION("GOOGLETRANSLATE(E5, ""en"", ""bn"")"),"খেলার মাঠটি এমন রেখায় বিভক্ত যা নিরাপদ অঞ্চল হিসেবে কাজ করে যেখানে খেলোয়াড়রা কৌশল তৈরি করতে পারে।")</f>
        <v>খেলার মাঠটি এমন রেখায় বিভক্ত যা নিরাপদ অঞ্চল হিসেবে কাজ করে যেখানে খেলোয়াড়রা কৌশল তৈরি করতে পারে।</v>
      </c>
    </row>
    <row r="6">
      <c r="A6" s="3">
        <v>5.0</v>
      </c>
      <c r="B6" s="3" t="s">
        <v>514</v>
      </c>
      <c r="C6" s="3" t="s">
        <v>515</v>
      </c>
      <c r="D6" s="3" t="s">
        <v>516</v>
      </c>
      <c r="E6" s="3" t="s">
        <v>517</v>
      </c>
      <c r="J6" s="4" t="str">
        <f>IFERROR(__xludf.DUMMYFUNCTION("GOOGLETRANSLATE(A6, ""en"", ""bn"")"),"৫")</f>
        <v>৫</v>
      </c>
      <c r="K6" s="4" t="str">
        <f>IFERROR(__xludf.DUMMYFUNCTION("GOOGLETRANSLATE(B6, ""en"", ""bn"")"),"দারিয়াবান্ধায় কোন পদক্ষেপের ফলে ডিফেন্ডিং টিমের পয়েন্ট হবে?")</f>
        <v>দারিয়াবান্ধায় কোন পদক্ষেপের ফলে ডিফেন্ডিং টিমের পয়েন্ট হবে?</v>
      </c>
      <c r="L6" s="4" t="str">
        <f>IFERROR(__xludf.DUMMYFUNCTION("GOOGLETRANSLATE(C6, ""en"", ""bn"")"),"ক) একটি রেখা অতিক্রম করা, খ) একজন দৌড়বিদকে ধরা, গ) সীমানার বাইরে চলে যাওয়া, ঘ) শুরুর বিন্দু স্পর্শ করা")</f>
        <v>ক) একটি রেখা অতিক্রম করা, খ) একজন দৌড়বিদকে ধরা, গ) সীমানার বাইরে চলে যাওয়া, ঘ) শুরুর বিন্দু স্পর্শ করা</v>
      </c>
      <c r="M6" s="4" t="str">
        <f>IFERROR(__xludf.DUMMYFUNCTION("GOOGLETRANSLATE(D6, ""en"", ""bn"")"),"খ) একজন দৌড়বিদকে ধরা")</f>
        <v>খ) একজন দৌড়বিদকে ধরা</v>
      </c>
      <c r="N6" s="4" t="str">
        <f>IFERROR(__xludf.DUMMYFUNCTION("GOOGLETRANSLATE(E6, ""en"", ""bn"")"),"ডিফেন্ডিং দল রানার দলের সদস্যদের সফলভাবে ধরে পয়েন্ট অর্জন করে।")</f>
        <v>ডিফেন্ডিং দল রানার দলের সদস্যদের সফলভাবে ধরে পয়েন্ট অর্জন করে।</v>
      </c>
    </row>
    <row r="7">
      <c r="A7" s="3">
        <v>6.0</v>
      </c>
      <c r="B7" s="3" t="s">
        <v>518</v>
      </c>
      <c r="C7" s="3" t="s">
        <v>519</v>
      </c>
      <c r="D7" s="3" t="s">
        <v>520</v>
      </c>
      <c r="E7" s="3" t="s">
        <v>521</v>
      </c>
      <c r="J7" s="4" t="str">
        <f>IFERROR(__xludf.DUMMYFUNCTION("GOOGLETRANSLATE(A7, ""en"", ""bn"")"),"৬")</f>
        <v>৬</v>
      </c>
      <c r="K7" s="4" t="str">
        <f>IFERROR(__xludf.DUMMYFUNCTION("GOOGLETRANSLATE(B7, ""en"", ""bn"")"),"দারিয়াবান্ধায় যদি কোন দৌড়বিদ সীমানা অতিক্রম করে তাহলে কী হবে?")</f>
        <v>দারিয়াবান্ধায় যদি কোন দৌড়বিদ সীমানা অতিক্রম করে তাহলে কী হবে?</v>
      </c>
      <c r="L7" s="4" t="str">
        <f>IFERROR(__xludf.DUMMYFUNCTION("GOOGLETRANSLATE(C7, ""en"", ""bn"")"),"ক) তারা একটি পয়েন্ট হারিয়েছে, খ) তারা বাদ পড়েছে, গ) খেলা আবার শুরু হয়েছে, ঘ) তারা পেনাল্টি পেয়েছে")</f>
        <v>ক) তারা একটি পয়েন্ট হারিয়েছে, খ) তারা বাদ পড়েছে, গ) খেলা আবার শুরু হয়েছে, ঘ) তারা পেনাল্টি পেয়েছে</v>
      </c>
      <c r="M7" s="4" t="str">
        <f>IFERROR(__xludf.DUMMYFUNCTION("GOOGLETRANSLATE(D7, ""en"", ""bn"")"),"খ) তাদের বাদ দেওয়া হয়")</f>
        <v>খ) তাদের বাদ দেওয়া হয়</v>
      </c>
      <c r="N7" s="4" t="str">
        <f>IFERROR(__xludf.DUMMYFUNCTION("GOOGLETRANSLATE(E7, ""en"", ""bn"")"),"সীমানা রেখা অতিক্রম করলে রানার খেলোয়াড় বাদ পড়ে যায়।")</f>
        <v>সীমানা রেখা অতিক্রম করলে রানার খেলোয়াড় বাদ পড়ে যায়।</v>
      </c>
    </row>
    <row r="8">
      <c r="A8" s="3">
        <v>7.0</v>
      </c>
      <c r="B8" s="3" t="s">
        <v>522</v>
      </c>
      <c r="C8" s="3" t="s">
        <v>523</v>
      </c>
      <c r="D8" s="3" t="s">
        <v>524</v>
      </c>
      <c r="E8" s="3" t="s">
        <v>525</v>
      </c>
      <c r="J8" s="4" t="str">
        <f>IFERROR(__xludf.DUMMYFUNCTION("GOOGLETRANSLATE(A8, ""en"", ""bn"")"),"৭")</f>
        <v>৭</v>
      </c>
      <c r="K8" s="4" t="str">
        <f>IFERROR(__xludf.DUMMYFUNCTION("GOOGLETRANSLATE(B8, ""en"", ""bn"")"),"দাড়িবান্ধা খেলায় বিজয়ী কীভাবে নির্ধারণ করা হয়?")</f>
        <v>দাড়িবান্ধা খেলায় বিজয়ী কীভাবে নির্ধারণ করা হয়?</v>
      </c>
      <c r="L8" s="4" t="str">
        <f>IFERROR(__xludf.DUMMYFUNCTION("GOOGLETRANSLATE(C8, ""en"", ""bn"")"),"ক) স্কোর অনুসারে, খ) সময়সীমা অনুসারে, গ) অবশিষ্ট খেলোয়াড়দের অনুসারে, ঘ) দর্শকদের ভোট অনুসারে")</f>
        <v>ক) স্কোর অনুসারে, খ) সময়সীমা অনুসারে, গ) অবশিষ্ট খেলোয়াড়দের অনুসারে, ঘ) দর্শকদের ভোট অনুসারে</v>
      </c>
      <c r="M8" s="4" t="str">
        <f>IFERROR(__xludf.DUMMYFUNCTION("GOOGLETRANSLATE(D8, ""en"", ""bn"")"),"ক) স্কোর অনুসারে")</f>
        <v>ক) স্কোর অনুসারে</v>
      </c>
      <c r="N8" s="4" t="str">
        <f>IFERROR(__xludf.DUMMYFUNCTION("GOOGLETRANSLATE(E8, ""en"", ""bn"")"),"খেলা শেষে সর্বোচ্চ স্কোরকারী দল দাড়িয়াবান্ধায় জয়ী হয়।")</f>
        <v>খেলা শেষে সর্বোচ্চ স্কোরকারী দল দাড়িয়াবান্ধায় জয়ী হয়।</v>
      </c>
    </row>
    <row r="9">
      <c r="A9" s="3">
        <v>8.0</v>
      </c>
      <c r="B9" s="3" t="s">
        <v>526</v>
      </c>
      <c r="C9" s="3" t="s">
        <v>527</v>
      </c>
      <c r="D9" s="3" t="s">
        <v>528</v>
      </c>
      <c r="E9" s="3" t="s">
        <v>529</v>
      </c>
      <c r="J9" s="4" t="str">
        <f>IFERROR(__xludf.DUMMYFUNCTION("GOOGLETRANSLATE(A9, ""en"", ""bn"")"),"৮")</f>
        <v>৮</v>
      </c>
      <c r="K9" s="4" t="str">
        <f>IFERROR(__xludf.DUMMYFUNCTION("GOOGLETRANSLATE(B9, ""en"", ""bn"")"),"দাড়িয়াবান্ধায় রক্ষকদের আন্দোলনকে কোন শব্দটি বর্ণনা করে?")</f>
        <v>দাড়িয়াবান্ধায় রক্ষকদের আন্দোলনকে কোন শব্দটি বর্ণনা করে?</v>
      </c>
      <c r="L9" s="4" t="str">
        <f>IFERROR(__xludf.DUMMYFUNCTION("GOOGLETRANSLATE(C9, ""en"", ""bn"")"),"ক) জিগজ্যাগ, খ) রৈখিক, গ) ঘূর্ণনশীল, ঘ) বৃত্তাকার")</f>
        <v>ক) জিগজ্যাগ, খ) রৈখিক, গ) ঘূর্ণনশীল, ঘ) বৃত্তাকার</v>
      </c>
      <c r="M9" s="4" t="str">
        <f>IFERROR(__xludf.DUMMYFUNCTION("GOOGLETRANSLATE(D9, ""en"", ""bn"")"),"খ) রৈখিক")</f>
        <v>খ) রৈখিক</v>
      </c>
      <c r="N9" s="4" t="str">
        <f>IFERROR(__xludf.DUMMYFUNCTION("GOOGLETRANSLATE(E9, ""en"", ""bn"")"),"ডিফেন্ডাররা কেবল রানারদের ধরার জন্য একটি রৈখিক দিকে লাইন ধরে এগিয়ে যেতে পারে।")</f>
        <v>ডিফেন্ডাররা কেবল রানারদের ধরার জন্য একটি রৈখিক দিকে লাইন ধরে এগিয়ে যেতে পারে।</v>
      </c>
    </row>
    <row r="10">
      <c r="A10" s="3">
        <v>9.0</v>
      </c>
      <c r="B10" s="3" t="s">
        <v>530</v>
      </c>
      <c r="C10" s="3" t="s">
        <v>531</v>
      </c>
      <c r="D10" s="3" t="s">
        <v>532</v>
      </c>
      <c r="E10" s="3" t="s">
        <v>533</v>
      </c>
      <c r="J10" s="4" t="str">
        <f>IFERROR(__xludf.DUMMYFUNCTION("GOOGLETRANSLATE(A10, ""en"", ""bn"")"),"৯")</f>
        <v>৯</v>
      </c>
      <c r="K10" s="4" t="str">
        <f>IFERROR(__xludf.DUMMYFUNCTION("GOOGLETRANSLATE(B10, ""en"", ""bn"")"),"দাড়িয়াবান্ধায় একটি আদর্শ রাউন্ডের দৈর্ঘ্য কত?")</f>
        <v>দাড়িয়াবান্ধায় একটি আদর্শ রাউন্ডের দৈর্ঘ্য কত?</v>
      </c>
      <c r="L10" s="4" t="str">
        <f>IFERROR(__xludf.DUMMYFUNCTION("GOOGLETRANSLATE(C10, ""en"", ""bn"")"),"ক) ৫ মিনিট, খ) ১০ মিনিট, গ) ১৫ মিনিট, ঘ) ২০ মিনিট")</f>
        <v>ক) ৫ মিনিট, খ) ১০ মিনিট, গ) ১৫ মিনিট, ঘ) ২০ মিনিট</v>
      </c>
      <c r="M10" s="4" t="str">
        <f>IFERROR(__xludf.DUMMYFUNCTION("GOOGLETRANSLATE(D10, ""en"", ""bn"")"),"খ) ১০ মিনিট")</f>
        <v>খ) ১০ মিনিট</v>
      </c>
      <c r="N10" s="4" t="str">
        <f>IFERROR(__xludf.DUMMYFUNCTION("GOOGLETRANSLATE(E10, ""en"", ""bn"")"),"দাড়িয়াবান্ধায় প্রতিটি রাউন্ড সাধারণত প্রায় ১০ মিনিট সময় ধরে চলে।")</f>
        <v>দাড়িয়াবান্ধায় প্রতিটি রাউন্ড সাধারণত প্রায় ১০ মিনিট সময় ধরে চলে।</v>
      </c>
    </row>
    <row r="11">
      <c r="A11" s="3">
        <v>10.0</v>
      </c>
      <c r="B11" s="3" t="s">
        <v>534</v>
      </c>
      <c r="C11" s="3" t="s">
        <v>535</v>
      </c>
      <c r="D11" s="3" t="s">
        <v>536</v>
      </c>
      <c r="E11" s="3" t="s">
        <v>537</v>
      </c>
      <c r="J11" s="4" t="str">
        <f>IFERROR(__xludf.DUMMYFUNCTION("GOOGLETRANSLATE(A11, ""en"", ""bn"")"),"১০")</f>
        <v>১০</v>
      </c>
      <c r="K11" s="4" t="str">
        <f>IFERROR(__xludf.DUMMYFUNCTION("GOOGLETRANSLATE(B11, ""en"", ""bn"")"),"দাড়িয়াবান্ধায় কোন খেলোয়াড়ের ভূমিকা নির্দিষ্ট সীমার মধ্যে থাকা উচিত?")</f>
        <v>দাড়িয়াবান্ধায় কোন খেলোয়াড়ের ভূমিকা নির্দিষ্ট সীমার মধ্যে থাকা উচিত?</v>
      </c>
      <c r="L11" s="4" t="str">
        <f>IFERROR(__xludf.DUMMYFUNCTION("GOOGLETRANSLATE(C11, ""en"", ""bn"")"),"ক) রানার, খ) ডিফেন্ডার, গ) গোলরক্ষক, ঘ) ক্যাচার")</f>
        <v>ক) রানার, খ) ডিফেন্ডার, গ) গোলরক্ষক, ঘ) ক্যাচার</v>
      </c>
      <c r="M11" s="4" t="str">
        <f>IFERROR(__xludf.DUMMYFUNCTION("GOOGLETRANSLATE(D11, ""en"", ""bn"")"),"খ) ডিফেন্ডার")</f>
        <v>খ) ডিফেন্ডার</v>
      </c>
      <c r="N11" s="4" t="str">
        <f>IFERROR(__xludf.DUMMYFUNCTION("GOOGLETRANSLATE(E11, ""en"", ""bn"")"),"দৌড়বিদদের ধরার চেষ্টা করার সময় ডিফেন্ডাররা নির্দিষ্ট লাইনে সীমাবদ্ধ থাকে।")</f>
        <v>দৌড়বিদদের ধরার চেষ্টা করার সময় ডিফেন্ডাররা নির্দিষ্ট লাইনে সীমাবদ্ধ থাকে।</v>
      </c>
    </row>
    <row r="12">
      <c r="A12" s="3">
        <v>11.0</v>
      </c>
      <c r="B12" s="3" t="s">
        <v>538</v>
      </c>
      <c r="C12" s="3" t="s">
        <v>539</v>
      </c>
      <c r="D12" s="3" t="s">
        <v>540</v>
      </c>
      <c r="E12" s="3" t="s">
        <v>541</v>
      </c>
      <c r="J12" s="4" t="str">
        <f>IFERROR(__xludf.DUMMYFUNCTION("GOOGLETRANSLATE(A12, ""en"", ""bn"")"),"১১")</f>
        <v>১১</v>
      </c>
      <c r="K12" s="4" t="str">
        <f>IFERROR(__xludf.DUMMYFUNCTION("GOOGLETRANSLATE(B12, ""en"", ""bn"")"),"দাড়িবান্ধা ক্ষেত্রকে গ্রিডে ভাগ করার উদ্দেশ্য কী?")</f>
        <v>দাড়িবান্ধা ক্ষেত্রকে গ্রিডে ভাগ করার উদ্দেশ্য কী?</v>
      </c>
      <c r="L12" s="4" t="str">
        <f>IFERROR(__xludf.DUMMYFUNCTION("GOOGLETRANSLATE(C12, ""en"", ""bn"")"),"ক) পয়েন্ট স্কোর করার জন্য, খ) চলাচলের সীমাবদ্ধতার জন্য, গ) সময় নির্ধারণের জন্য, ঘ) সহজে দেখার জন্য")</f>
        <v>ক) পয়েন্ট স্কোর করার জন্য, খ) চলাচলের সীমাবদ্ধতার জন্য, গ) সময় নির্ধারণের জন্য, ঘ) সহজে দেখার জন্য</v>
      </c>
      <c r="M12" s="4" t="str">
        <f>IFERROR(__xludf.DUMMYFUNCTION("GOOGLETRANSLATE(D12, ""en"", ""bn"")"),"খ) চলাচলের সীমাবদ্ধতার জন্য")</f>
        <v>খ) চলাচলের সীমাবদ্ধতার জন্য</v>
      </c>
      <c r="N12" s="4" t="str">
        <f>IFERROR(__xludf.DUMMYFUNCTION("GOOGLETRANSLATE(E12, ""en"", ""bn"")"),"গ্রিড খেলোয়াড়দের চলাচল সীমিত করে, যা খেলার কৌশলে চ্যালেঞ্জ যোগ করে।")</f>
        <v>গ্রিড খেলোয়াড়দের চলাচল সীমিত করে, যা খেলার কৌশলে চ্যালেঞ্জ যোগ করে।</v>
      </c>
    </row>
    <row r="13">
      <c r="A13" s="3">
        <v>12.0</v>
      </c>
      <c r="B13" s="3" t="s">
        <v>542</v>
      </c>
      <c r="C13" s="3" t="s">
        <v>543</v>
      </c>
      <c r="D13" s="3" t="s">
        <v>544</v>
      </c>
      <c r="E13" s="3" t="s">
        <v>545</v>
      </c>
      <c r="J13" s="4" t="str">
        <f>IFERROR(__xludf.DUMMYFUNCTION("GOOGLETRANSLATE(A13, ""en"", ""bn"")"),"১২")</f>
        <v>১২</v>
      </c>
      <c r="K13" s="4" t="str">
        <f>IFERROR(__xludf.DUMMYFUNCTION("GOOGLETRANSLATE(B13, ""en"", ""bn"")"),"দাড়িয়াবান্ধায় ডিফেন্ডিং টিমের পেনাল্টির ফলাফল কী?")</f>
        <v>দাড়িয়াবান্ধায় ডিফেন্ডিং টিমের পেনাল্টির ফলাফল কী?</v>
      </c>
      <c r="L13" s="4" t="str">
        <f>IFERROR(__xludf.DUMMYFUNCTION("GOOGLETRANSLATE(C13, ""en"", ""bn"")"),"ক) গ্রিড ছেড়ে যাওয়া, খ) রানারদের উপর দিয়ে অতিক্রম করা, গ) লাইন ব্লক করা, ঘ) একজন রানার অনুপস্থিত")</f>
        <v>ক) গ্রিড ছেড়ে যাওয়া, খ) রানারদের উপর দিয়ে অতিক্রম করা, গ) লাইন ব্লক করা, ঘ) একজন রানার অনুপস্থিত</v>
      </c>
      <c r="M13" s="4" t="str">
        <f>IFERROR(__xludf.DUMMYFUNCTION("GOOGLETRANSLATE(D13, ""en"", ""bn"")"),"ক) গ্রিড ছেড়ে যাওয়া")</f>
        <v>ক) গ্রিড ছেড়ে যাওয়া</v>
      </c>
      <c r="N13" s="4" t="str">
        <f>IFERROR(__xludf.DUMMYFUNCTION("GOOGLETRANSLATE(E13, ""en"", ""bn"")"),"যদি ডিফেন্ডাররা গ্রিডের বাইরে চলে যায়, তাহলে তাদের দলের জন্য একটি পেনাল্টি হবে।")</f>
        <v>যদি ডিফেন্ডাররা গ্রিডের বাইরে চলে যায়, তাহলে তাদের দলের জন্য একটি পেনাল্টি হবে।</v>
      </c>
    </row>
    <row r="14">
      <c r="A14" s="3">
        <v>13.0</v>
      </c>
      <c r="B14" s="3" t="s">
        <v>546</v>
      </c>
      <c r="C14" s="3" t="s">
        <v>547</v>
      </c>
      <c r="D14" s="3" t="s">
        <v>548</v>
      </c>
      <c r="E14" s="3" t="s">
        <v>549</v>
      </c>
      <c r="J14" s="4" t="str">
        <f>IFERROR(__xludf.DUMMYFUNCTION("GOOGLETRANSLATE(A14, ""en"", ""bn"")"),"১৩")</f>
        <v>১৩</v>
      </c>
      <c r="K14" s="4" t="str">
        <f>IFERROR(__xludf.DUMMYFUNCTION("GOOGLETRANSLATE(B14, ""en"", ""bn"")"),"দারিয়াবান্ধায়, কোন খেলোয়াড় গ্রিড লাইনের মধ্যে অবাধে চলাচল করতে পারে?")</f>
        <v>দারিয়াবান্ধায়, কোন খেলোয়াড় গ্রিড লাইনের মধ্যে অবাধে চলাচল করতে পারে?</v>
      </c>
      <c r="L14" s="4" t="str">
        <f>IFERROR(__xludf.DUMMYFUNCTION("GOOGLETRANSLATE(C14, ""en"", ""bn"")"),"ক) ডিফেন্ডার, খ) রানার, গ) ক্যাপ্টেন, ঘ) ক্যাচার")</f>
        <v>ক) ডিফেন্ডার, খ) রানার, গ) ক্যাপ্টেন, ঘ) ক্যাচার</v>
      </c>
      <c r="M14" s="4" t="str">
        <f>IFERROR(__xludf.DUMMYFUNCTION("GOOGLETRANSLATE(D14, ""en"", ""bn"")"),"খ) দৌড়বিদ")</f>
        <v>খ) দৌড়বিদ</v>
      </c>
      <c r="N14" s="4" t="str">
        <f>IFERROR(__xludf.DUMMYFUNCTION("GOOGLETRANSLATE(E14, ""en"", ""bn"")"),"ধরা এড়াতে দৌড়বিদদের গ্রিড লাইনের মধ্যে চলাফেরা করার স্বাধীনতা রয়েছে।")</f>
        <v>ধরা এড়াতে দৌড়বিদদের গ্রিড লাইনের মধ্যে চলাফেরা করার স্বাধীনতা রয়েছে।</v>
      </c>
    </row>
    <row r="15">
      <c r="A15" s="3">
        <v>14.0</v>
      </c>
      <c r="B15" s="3" t="s">
        <v>550</v>
      </c>
      <c r="C15" s="3" t="s">
        <v>23</v>
      </c>
      <c r="D15" s="3" t="s">
        <v>551</v>
      </c>
      <c r="E15" s="3" t="s">
        <v>552</v>
      </c>
      <c r="J15" s="4" t="str">
        <f>IFERROR(__xludf.DUMMYFUNCTION("GOOGLETRANSLATE(A15, ""en"", ""bn"")"),"১৪")</f>
        <v>১৪</v>
      </c>
      <c r="K15" s="4" t="str">
        <f>IFERROR(__xludf.DUMMYFUNCTION("GOOGLETRANSLATE(B15, ""en"", ""bn"")"),"একটি সাধারণ দড়িবান্ধা খেলায় কয় রাউন্ড থাকে?")</f>
        <v>একটি সাধারণ দড়িবান্ধা খেলায় কয় রাউন্ড থাকে?</v>
      </c>
      <c r="L15" s="4" t="str">
        <f>IFERROR(__xludf.DUMMYFUNCTION("GOOGLETRANSLATE(C15, ""en"", ""bn"")"),"ক) ১, খ) ২, গ) ৩, ঘ) ৪")</f>
        <v>ক) ১, খ) ২, গ) ৩, ঘ) ৪</v>
      </c>
      <c r="M15" s="4" t="str">
        <f>IFERROR(__xludf.DUMMYFUNCTION("GOOGLETRANSLATE(D15, ""en"", ""bn"")"),"গ) ৩")</f>
        <v>গ) ৩</v>
      </c>
      <c r="N15" s="4" t="str">
        <f>IFERROR(__xludf.DUMMYFUNCTION("GOOGLETRANSLATE(E15, ""en"", ""bn"")"),"প্রতিযোগিতামূলক ভারসাম্যের জন্য একটি আদর্শ দাড়িবান্ধা খেলায় তিনটি রাউন্ড থাকে।")</f>
        <v>প্রতিযোগিতামূলক ভারসাম্যের জন্য একটি আদর্শ দাড়িবান্ধা খেলায় তিনটি রাউন্ড থাকে।</v>
      </c>
    </row>
    <row r="16">
      <c r="A16" s="3">
        <v>15.0</v>
      </c>
      <c r="B16" s="3" t="s">
        <v>553</v>
      </c>
      <c r="C16" s="3" t="s">
        <v>554</v>
      </c>
      <c r="D16" s="3" t="s">
        <v>555</v>
      </c>
      <c r="E16" s="3" t="s">
        <v>556</v>
      </c>
      <c r="J16" s="4" t="str">
        <f>IFERROR(__xludf.DUMMYFUNCTION("GOOGLETRANSLATE(A16, ""en"", ""bn"")"),"১৫")</f>
        <v>১৫</v>
      </c>
      <c r="K16" s="4" t="str">
        <f>IFERROR(__xludf.DUMMYFUNCTION("GOOGLETRANSLATE(B16, ""en"", ""bn"")"),"দাড়িয়াবান্ধায় খেলা রেফারির ভূমিকা কী?")</f>
        <v>দাড়িয়াবান্ধায় খেলা রেফারির ভূমিকা কী?</v>
      </c>
      <c r="L16" s="4" t="str">
        <f>IFERROR(__xludf.DUMMYFUNCTION("GOOGLETRANSLATE(C16, ""en"", ""bn"")"),"ক) খেলোয়াড়দের প্রশিক্ষণ দেওয়া, খ) পয়েন্ট অর্জন করা, গ) নিয়মকানুন তদারকি করা, ঘ) দৌড়বিদদের বাধা দেওয়া")</f>
        <v>ক) খেলোয়াড়দের প্রশিক্ষণ দেওয়া, খ) পয়েন্ট অর্জন করা, গ) নিয়মকানুন তদারকি করা, ঘ) দৌড়বিদদের বাধা দেওয়া</v>
      </c>
      <c r="M16" s="4" t="str">
        <f>IFERROR(__xludf.DUMMYFUNCTION("GOOGLETRANSLATE(D16, ""en"", ""bn"")"),"গ) নিয়ম তদারকি করা")</f>
        <v>গ) নিয়ম তদারকি করা</v>
      </c>
      <c r="N16" s="4" t="str">
        <f>IFERROR(__xludf.DUMMYFUNCTION("GOOGLETRANSLATE(E16, ""en"", ""bn"")"),"রেফারি নিশ্চিত করেন যে সমস্ত নিয়ম মেনে চলা হচ্ছে এবং খেলায় ন্যায্যতা বজায় রাখা হচ্ছে।")</f>
        <v>রেফারি নিশ্চিত করেন যে সমস্ত নিয়ম মেনে চলা হচ্ছে এবং খেলায় ন্যায্যতা বজায় রাখা হচ্ছে।</v>
      </c>
    </row>
    <row r="17">
      <c r="A17" s="3">
        <v>16.0</v>
      </c>
      <c r="B17" s="3" t="s">
        <v>557</v>
      </c>
      <c r="C17" s="3" t="s">
        <v>558</v>
      </c>
      <c r="D17" s="3" t="s">
        <v>559</v>
      </c>
      <c r="E17" s="3" t="s">
        <v>560</v>
      </c>
      <c r="J17" s="4" t="str">
        <f>IFERROR(__xludf.DUMMYFUNCTION("GOOGLETRANSLATE(A17, ""en"", ""bn"")"),"১৬")</f>
        <v>১৬</v>
      </c>
      <c r="K17" s="4" t="str">
        <f>IFERROR(__xludf.DUMMYFUNCTION("GOOGLETRANSLATE(B17, ""en"", ""bn"")"),"দারিয়াবান্ধায়, কোন দল আক্রমণাত্মক ভূমিকা দিয়ে শুরু করে?")</f>
        <v>দারিয়াবান্ধায়, কোন দল আক্রমণাত্মক ভূমিকা দিয়ে শুরু করে?</v>
      </c>
      <c r="L17" s="4" t="str">
        <f>IFERROR(__xludf.DUMMYFUNCTION("GOOGLETRANSLATE(C17, ""en"", ""bn"")"),"ক) রানার, খ) ডিফেন্ডার, গ) ক্যাপ্টেন, ঘ) কোচ")</f>
        <v>ক) রানার, খ) ডিফেন্ডার, গ) ক্যাপ্টেন, ঘ) কোচ</v>
      </c>
      <c r="M17" s="4" t="str">
        <f>IFERROR(__xludf.DUMMYFUNCTION("GOOGLETRANSLATE(D17, ""en"", ""bn"")"),"ক) দৌড়বিদ")</f>
        <v>ক) দৌড়বিদ</v>
      </c>
      <c r="N17" s="4" t="str">
        <f>IFERROR(__xludf.DUMMYFUNCTION("GOOGLETRANSLATE(E17, ""en"", ""bn"")"),"রানার দল আক্রমণাত্মক ভূমিকায় শুরু করে, লক্ষ্য ধরা এড়ানো।")</f>
        <v>রানার দল আক্রমণাত্মক ভূমিকায় শুরু করে, লক্ষ্য ধরা এড়ানো।</v>
      </c>
    </row>
    <row r="18">
      <c r="A18" s="3">
        <v>17.0</v>
      </c>
      <c r="B18" s="3" t="s">
        <v>561</v>
      </c>
      <c r="C18" s="3" t="s">
        <v>562</v>
      </c>
      <c r="D18" s="3" t="s">
        <v>563</v>
      </c>
      <c r="E18" s="3" t="s">
        <v>564</v>
      </c>
      <c r="J18" s="4" t="str">
        <f>IFERROR(__xludf.DUMMYFUNCTION("GOOGLETRANSLATE(A18, ""en"", ""bn"")"),"১৭")</f>
        <v>১৭</v>
      </c>
      <c r="K18" s="4" t="str">
        <f>IFERROR(__xludf.DUMMYFUNCTION("GOOGLETRANSLATE(B18, ""en"", ""bn"")"),"দাড়িবান্ধায় একজন খেলোয়াড়ের স্বয়ংক্রিয়ভাবে বাদ পড়ার কারণ কী?")</f>
        <v>দাড়িবান্ধায় একজন খেলোয়াড়ের স্বয়ংক্রিয়ভাবে বাদ পড়ার কারণ কী?</v>
      </c>
      <c r="L18" s="4" t="str">
        <f>IFERROR(__xludf.DUMMYFUNCTION("GOOGLETRANSLATE(C18, ""en"", ""bn"")"),"ক) মাঠ থেকে পালিয়ে যাওয়া, খ) লাইন ক্রস করা, গ) সরঞ্জাম ফেলে দেওয়া, ঘ) ডিফেন্ডারদের সাথে কথা বলা")</f>
        <v>ক) মাঠ থেকে পালিয়ে যাওয়া, খ) লাইন ক্রস করা, গ) সরঞ্জাম ফেলে দেওয়া, ঘ) ডিফেন্ডারদের সাথে কথা বলা</v>
      </c>
      <c r="M18" s="4" t="str">
        <f>IFERROR(__xludf.DUMMYFUNCTION("GOOGLETRANSLATE(D18, ""en"", ""bn"")"),"ক) মাঠ থেকে পালিয়ে যাওয়া")</f>
        <v>ক) মাঠ থেকে পালিয়ে যাওয়া</v>
      </c>
      <c r="N18" s="4" t="str">
        <f>IFERROR(__xludf.DUMMYFUNCTION("GOOGLETRANSLATE(E18, ""en"", ""bn"")"),"নির্ধারিত মাঠের বাইরে দৌড়ানো খেলোয়াড়রা স্বয়ংক্রিয়ভাবে বাদ পড়ে যায়।")</f>
        <v>নির্ধারিত মাঠের বাইরে দৌড়ানো খেলোয়াড়রা স্বয়ংক্রিয়ভাবে বাদ পড়ে যায়।</v>
      </c>
    </row>
    <row r="19">
      <c r="A19" s="3">
        <v>18.0</v>
      </c>
      <c r="B19" s="3" t="s">
        <v>565</v>
      </c>
      <c r="C19" s="3" t="s">
        <v>23</v>
      </c>
      <c r="D19" s="3" t="s">
        <v>566</v>
      </c>
      <c r="E19" s="3" t="s">
        <v>567</v>
      </c>
      <c r="J19" s="4" t="str">
        <f>IFERROR(__xludf.DUMMYFUNCTION("GOOGLETRANSLATE(A19, ""en"", ""bn"")"),"১৮")</f>
        <v>১৮</v>
      </c>
      <c r="K19" s="4" t="str">
        <f>IFERROR(__xludf.DUMMYFUNCTION("GOOGLETRANSLATE(B19, ""en"", ""bn"")"),"দাড়িয়াবান্ধায় প্রতিটি ধরা পড়া দৌড়বিদের জন্য সাধারণত কত পয়েন্ট দেওয়া হয়?")</f>
        <v>দাড়িয়াবান্ধায় প্রতিটি ধরা পড়া দৌড়বিদের জন্য সাধারণত কত পয়েন্ট দেওয়া হয়?</v>
      </c>
      <c r="L19" s="4" t="str">
        <f>IFERROR(__xludf.DUMMYFUNCTION("GOOGLETRANSLATE(C19, ""en"", ""bn"")"),"ক) ১, খ) ২, গ) ৩, ঘ) ৪")</f>
        <v>ক) ১, খ) ২, গ) ৩, ঘ) ৪</v>
      </c>
      <c r="M19" s="4" t="str">
        <f>IFERROR(__xludf.DUMMYFUNCTION("GOOGLETRANSLATE(D19, ""en"", ""bn"")"),"ক) ১")</f>
        <v>ক) ১</v>
      </c>
      <c r="N19" s="4" t="str">
        <f>IFERROR(__xludf.DUMMYFUNCTION("GOOGLETRANSLATE(E19, ""en"", ""bn"")"),"প্রতিটি ধরা পড়া রানার সাধারণত ডিফেন্ডার দলকে ১ পয়েন্ট অর্জন করে।")</f>
        <v>প্রতিটি ধরা পড়া রানার সাধারণত ডিফেন্ডার দলকে ১ পয়েন্ট অর্জন করে।</v>
      </c>
    </row>
    <row r="20">
      <c r="A20" s="3">
        <v>19.0</v>
      </c>
      <c r="B20" s="3" t="s">
        <v>568</v>
      </c>
      <c r="C20" s="3" t="s">
        <v>569</v>
      </c>
      <c r="D20" s="3" t="s">
        <v>570</v>
      </c>
      <c r="E20" s="3" t="s">
        <v>571</v>
      </c>
      <c r="J20" s="4" t="str">
        <f>IFERROR(__xludf.DUMMYFUNCTION("GOOGLETRANSLATE(A20, ""en"", ""bn"")"),"১৯")</f>
        <v>১৯</v>
      </c>
      <c r="K20" s="4" t="str">
        <f>IFERROR(__xludf.DUMMYFUNCTION("GOOGLETRANSLATE(B20, ""en"", ""bn"")"),"দারিয়াবান্ধায়, একজন দৌড়বিদ শেষ রেখা অতিক্রম করে কী অর্জন করেন?")</f>
        <v>দারিয়াবান্ধায়, একজন দৌড়বিদ শেষ রেখা অতিক্রম করে কী অর্জন করেন?</v>
      </c>
      <c r="L20" s="4" t="str">
        <f>IFERROR(__xludf.DUMMYFUNCTION("GOOGLETRANSLATE(C20, ""en"", ""bn"")"),"ক) একটি ফ্রি পাস, খ) বোনাস পয়েন্ট, গ) নিরাপত্তা, ঘ) অতিরিক্ত সময়")</f>
        <v>ক) একটি ফ্রি পাস, খ) বোনাস পয়েন্ট, গ) নিরাপত্তা, ঘ) অতিরিক্ত সময়</v>
      </c>
      <c r="M20" s="4" t="str">
        <f>IFERROR(__xludf.DUMMYFUNCTION("GOOGLETRANSLATE(D20, ""en"", ""bn"")"),"গ) নিরাপত্তা")</f>
        <v>গ) নিরাপত্তা</v>
      </c>
      <c r="N20" s="4" t="str">
        <f>IFERROR(__xludf.DUMMYFUNCTION("GOOGLETRANSLATE(E20, ""en"", ""bn"")"),"শেষ রেখায় পৌঁছানো দৌড়বিদরা ধরা এড়িয়ে নিরাপদে বিশ্রাম নিতে পারেন।")</f>
        <v>শেষ রেখায় পৌঁছানো দৌড়বিদরা ধরা এড়িয়ে নিরাপদে বিশ্রাম নিতে পারেন।</v>
      </c>
    </row>
    <row r="21">
      <c r="A21" s="3">
        <v>20.0</v>
      </c>
      <c r="B21" s="3" t="s">
        <v>572</v>
      </c>
      <c r="C21" s="3" t="s">
        <v>573</v>
      </c>
      <c r="D21" s="3" t="s">
        <v>574</v>
      </c>
      <c r="E21" s="3" t="s">
        <v>575</v>
      </c>
      <c r="J21" s="4" t="str">
        <f>IFERROR(__xludf.DUMMYFUNCTION("GOOGLETRANSLATE(A21, ""en"", ""bn"")"),"২০")</f>
        <v>২০</v>
      </c>
      <c r="K21" s="4" t="str">
        <f>IFERROR(__xludf.DUMMYFUNCTION("GOOGLETRANSLATE(B21, ""en"", ""bn"")"),"দাড়িবান্ধায় খেলা পুনরায় শুরু করার জন্য কোন পদক্ষেপ নেওয়া হয়?")</f>
        <v>দাড়িবান্ধায় খেলা পুনরায় শুরু করার জন্য কোন পদক্ষেপ নেওয়া হয়?</v>
      </c>
      <c r="L21" s="4" t="str">
        <f>IFERROR(__xludf.DUMMYFUNCTION("GOOGLETRANSLATE(C21, ""en"", ""bn"")"),"ক) রানার এলিমিনেশন, খ) ডিফেন্ডার ক্রসিং লাইন, গ) সময়সীমায় পৌঁছানো, ঘ) নিরাপত্তায় পৌঁছানো")</f>
        <v>ক) রানার এলিমিনেশন, খ) ডিফেন্ডার ক্রসিং লাইন, গ) সময়সীমায় পৌঁছানো, ঘ) নিরাপত্তায় পৌঁছানো</v>
      </c>
      <c r="M21" s="4" t="str">
        <f>IFERROR(__xludf.DUMMYFUNCTION("GOOGLETRANSLATE(D21, ""en"", ""bn"")"),"ক) রানার এলিমিনেশন")</f>
        <v>ক) রানার এলিমিনেশন</v>
      </c>
      <c r="N21" s="4" t="str">
        <f>IFERROR(__xludf.DUMMYFUNCTION("GOOGLETRANSLATE(E21, ""en"", ""bn"")"),"সকল রানারকে বাদ দেওয়া মানে রাউন্ডের সমাপ্তি, খেলাটি পুনরায় সেট করা।")</f>
        <v>সকল রানারকে বাদ দেওয়া মানে রাউন্ডের সমাপ্তি, খেলাটি পুনরায় সেট করা।</v>
      </c>
    </row>
    <row r="22">
      <c r="A22" s="3">
        <v>21.0</v>
      </c>
      <c r="B22" s="3" t="s">
        <v>576</v>
      </c>
      <c r="C22" s="3" t="s">
        <v>577</v>
      </c>
      <c r="D22" s="3" t="s">
        <v>578</v>
      </c>
      <c r="E22" s="3" t="s">
        <v>579</v>
      </c>
      <c r="J22" s="4" t="str">
        <f>IFERROR(__xludf.DUMMYFUNCTION("GOOGLETRANSLATE(A22, ""en"", ""bn"")"),"২১")</f>
        <v>২১</v>
      </c>
      <c r="K22" s="4" t="str">
        <f>IFERROR(__xludf.DUMMYFUNCTION("GOOGLETRANSLATE(B22, ""en"", ""bn"")"),"যদি সব দৌড়বিদ দারিয়াবান্ধায় ধরা পড়ে তাহলে কী হবে?")</f>
        <v>যদি সব দৌড়বিদ দারিয়াবান্ধায় ধরা পড়ে তাহলে কী হবে?</v>
      </c>
      <c r="L22" s="4" t="str">
        <f>IFERROR(__xludf.DUMMYFUNCTION("GOOGLETRANSLATE(C22, ""en"", ""bn"")"),"ক) ডিফেন্ডাররা পয়েন্ট হারায়, খ) খেলা পুনরায় সেট করে, গ) নতুন রানাররা প্রবেশ করে, ঘ) খেলা শেষ হয়")</f>
        <v>ক) ডিফেন্ডাররা পয়েন্ট হারায়, খ) খেলা পুনরায় সেট করে, গ) নতুন রানাররা প্রবেশ করে, ঘ) খেলা শেষ হয়</v>
      </c>
      <c r="M22" s="4" t="str">
        <f>IFERROR(__xludf.DUMMYFUNCTION("GOOGLETRANSLATE(D22, ""en"", ""bn"")"),"খ) গেম রিসেট")</f>
        <v>খ) গেম রিসেট</v>
      </c>
      <c r="N22" s="4" t="str">
        <f>IFERROR(__xludf.DUMMYFUNCTION("GOOGLETRANSLATE(E22, ""en"", ""bn"")"),"একবার সমস্ত দৌড়বিদ ধরা পড়লে, খেলাটি পরবর্তী রাউন্ডের জন্য পুনরায় সেট করা হয়।")</f>
        <v>একবার সমস্ত দৌড়বিদ ধরা পড়লে, খেলাটি পরবর্তী রাউন্ডের জন্য পুনরায় সেট করা হয়।</v>
      </c>
    </row>
    <row r="23">
      <c r="A23" s="3">
        <v>22.0</v>
      </c>
      <c r="B23" s="3" t="s">
        <v>580</v>
      </c>
      <c r="C23" s="3" t="s">
        <v>581</v>
      </c>
      <c r="D23" s="3" t="s">
        <v>582</v>
      </c>
      <c r="E23" s="3" t="s">
        <v>583</v>
      </c>
      <c r="J23" s="4" t="str">
        <f>IFERROR(__xludf.DUMMYFUNCTION("GOOGLETRANSLATE(A23, ""en"", ""bn"")"),"২২")</f>
        <v>২২</v>
      </c>
      <c r="K23" s="4" t="str">
        <f>IFERROR(__xludf.DUMMYFUNCTION("GOOGLETRANSLATE(B23, ""en"", ""bn"")"),"দারিয়াবান্ধায়, পেনাল্টি এড়াতে ডিফেন্ডারদের হাত কোথায় রাখতে হবে?")</f>
        <v>দারিয়াবান্ধায়, পেনাল্টি এড়াতে ডিফেন্ডারদের হাত কোথায় রাখতে হবে?</v>
      </c>
      <c r="L23" s="4" t="str">
        <f>IFERROR(__xludf.DUMMYFUNCTION("GOOGLETRANSLATE(C23, ""en"", ""bn"")"),"ক) তাদের পাশে, খ) তাদের মাথার উপরে, গ) তাদের পিঠের পিছনে, ঘ) লাইনের উপর")</f>
        <v>ক) তাদের পাশে, খ) তাদের মাথার উপরে, গ) তাদের পিঠের পিছনে, ঘ) লাইনের উপর</v>
      </c>
      <c r="M23" s="4" t="str">
        <f>IFERROR(__xludf.DUMMYFUNCTION("GOOGLETRANSLATE(D23, ""en"", ""bn"")"),"ঘ) লাইনে")</f>
        <v>ঘ) লাইনে</v>
      </c>
      <c r="N23" s="4" t="str">
        <f>IFERROR(__xludf.DUMMYFUNCTION("GOOGLETRANSLATE(E23, ""en"", ""bn"")"),"পেনাল্টি এড়াতে ডিফেন্ডারদের অবশ্যই হাতের উপর রাখতে হবে।")</f>
        <v>পেনাল্টি এড়াতে ডিফেন্ডারদের অবশ্যই হাতের উপর রাখতে হবে।</v>
      </c>
    </row>
    <row r="24">
      <c r="A24" s="3">
        <v>23.0</v>
      </c>
      <c r="B24" s="3" t="s">
        <v>584</v>
      </c>
      <c r="C24" s="3" t="s">
        <v>585</v>
      </c>
      <c r="D24" s="3" t="s">
        <v>586</v>
      </c>
      <c r="E24" s="3" t="s">
        <v>587</v>
      </c>
      <c r="J24" s="4" t="str">
        <f>IFERROR(__xludf.DUMMYFUNCTION("GOOGLETRANSLATE(A24, ""en"", ""bn"")"),"২৩")</f>
        <v>২৩</v>
      </c>
      <c r="K24" s="4" t="str">
        <f>IFERROR(__xludf.DUMMYFUNCTION("GOOGLETRANSLATE(B24, ""en"", ""bn"")"),"দাড়িয়াবান্ধায় ডিফেন্ডিং দলের মূল কৌশল কী?")</f>
        <v>দাড়িয়াবান্ধায় ডিফেন্ডিং দলের মূল কৌশল কী?</v>
      </c>
      <c r="L24" s="4" t="str">
        <f>IFERROR(__xludf.DUMMYFUNCTION("GOOGLETRANSLATE(C24, ""en"", ""bn"")"),"ক) ট্র্যাপ রানার, খ) রানারদের অনুসরণ করো, গ) গ্রিড লাইন ব্লক করো, ঘ) লাইনের পিছনে লুকোও")</f>
        <v>ক) ট্র্যাপ রানার, খ) রানারদের অনুসরণ করো, গ) গ্রিড লাইন ব্লক করো, ঘ) লাইনের পিছনে লুকোও</v>
      </c>
      <c r="M24" s="4" t="str">
        <f>IFERROR(__xludf.DUMMYFUNCTION("GOOGLETRANSLATE(D24, ""en"", ""bn"")"),"ক) ট্র্যাপ রানার")</f>
        <v>ক) ট্র্যাপ রানার</v>
      </c>
      <c r="N24" s="4" t="str">
        <f>IFERROR(__xludf.DUMMYFUNCTION("GOOGLETRANSLATE(E24, ""en"", ""bn"")"),"ডিফেন্ডিং দল নির্দিষ্ট গ্রিড এলাকার মধ্যে দৌড়বিদদের আটকাতে একটি কৌশল ব্যবহার করে।")</f>
        <v>ডিফেন্ডিং দল নির্দিষ্ট গ্রিড এলাকার মধ্যে দৌড়বিদদের আটকাতে একটি কৌশল ব্যবহার করে।</v>
      </c>
    </row>
    <row r="25">
      <c r="A25" s="3">
        <v>24.0</v>
      </c>
      <c r="B25" s="3" t="s">
        <v>588</v>
      </c>
      <c r="C25" s="3" t="s">
        <v>589</v>
      </c>
      <c r="D25" s="3" t="s">
        <v>590</v>
      </c>
      <c r="E25" s="3" t="s">
        <v>591</v>
      </c>
      <c r="J25" s="4" t="str">
        <f>IFERROR(__xludf.DUMMYFUNCTION("GOOGLETRANSLATE(A25, ""en"", ""bn"")"),"২৪")</f>
        <v>২৪</v>
      </c>
      <c r="K25" s="4" t="str">
        <f>IFERROR(__xludf.DUMMYFUNCTION("GOOGLETRANSLATE(B25, ""en"", ""bn"")"),"দারিয়াবান্ধায় একজন ডিফেন্ডার কীভাবে অতিরিক্ত পয়েন্ট অর্জন করে?")</f>
        <v>দারিয়াবান্ধায় একজন ডিফেন্ডার কীভাবে অতিরিক্ত পয়েন্ট অর্জন করে?</v>
      </c>
      <c r="L25" s="4" t="str">
        <f>IFERROR(__xludf.DUMMYFUNCTION("GOOGLETRANSLATE(C25, ""en"", ""bn"")"),"ক) গ্রিড লাইন অতিক্রম করে, খ) একাধিক রানার বাদ দিয়ে, গ) সমস্ত লাইন স্পর্শ করে, ঘ) শেষ লাইনে পৌঁছানোর মাধ্যমে")</f>
        <v>ক) গ্রিড লাইন অতিক্রম করে, খ) একাধিক রানার বাদ দিয়ে, গ) সমস্ত লাইন স্পর্শ করে, ঘ) শেষ লাইনে পৌঁছানোর মাধ্যমে</v>
      </c>
      <c r="M25" s="4" t="str">
        <f>IFERROR(__xludf.DUMMYFUNCTION("GOOGLETRANSLATE(D25, ""en"", ""bn"")"),"খ) একাধিক দৌড়বিদকে বাদ দিয়ে")</f>
        <v>খ) একাধিক দৌড়বিদকে বাদ দিয়ে</v>
      </c>
      <c r="N25" s="4" t="str">
        <f>IFERROR(__xludf.DUMMYFUNCTION("GOOGLETRANSLATE(E25, ""en"", ""bn"")"),"এক রাউন্ডে একাধিক রানারকে ধরে রাখার জন্য ডিফেন্ডাররা বোনাস পয়েন্ট অর্জন করে।")</f>
        <v>এক রাউন্ডে একাধিক রানারকে ধরে রাখার জন্য ডিফেন্ডাররা বোনাস পয়েন্ট অর্জন করে।</v>
      </c>
    </row>
    <row r="26">
      <c r="A26" s="3">
        <v>25.0</v>
      </c>
      <c r="B26" s="3" t="s">
        <v>592</v>
      </c>
      <c r="C26" s="3" t="s">
        <v>593</v>
      </c>
      <c r="D26" s="3" t="s">
        <v>594</v>
      </c>
      <c r="E26" s="3" t="s">
        <v>595</v>
      </c>
      <c r="J26" s="4" t="str">
        <f>IFERROR(__xludf.DUMMYFUNCTION("GOOGLETRANSLATE(A26, ""en"", ""bn"")"),"২৫")</f>
        <v>২৫</v>
      </c>
      <c r="K26" s="4" t="str">
        <f>IFERROR(__xludf.DUMMYFUNCTION("GOOGLETRANSLATE(B26, ""en"", ""bn"")"),"দাড়িবান্ধায় দৌড়বিদদের প্রাথমিক দক্ষতা কী কী?")</f>
        <v>দাড়িবান্ধায় দৌড়বিদদের প্রাথমিক দক্ষতা কী কী?</v>
      </c>
      <c r="L26" s="4" t="str">
        <f>IFERROR(__xludf.DUMMYFUNCTION("GOOGLETRANSLATE(C26, ""en"", ""bn"")"),"ক) ধৈর্য, ​​খ) তত্পরতা, গ) শক্তি, ঘ) নমনীয়তা")</f>
        <v>ক) ধৈর্য, ​​খ) তত্পরতা, গ) শক্তি, ঘ) নমনীয়তা</v>
      </c>
      <c r="M26" s="4" t="str">
        <f>IFERROR(__xludf.DUMMYFUNCTION("GOOGLETRANSLATE(D26, ""en"", ""bn"")"),"খ) তত্পরতা")</f>
        <v>খ) তত্পরতা</v>
      </c>
      <c r="N26" s="4" t="str">
        <f>IFERROR(__xludf.DUMMYFUNCTION("GOOGLETRANSLATE(E26, ""en"", ""bn"")"),"দৌড়বিদরা দ্রুত গ্রিডের মধ্যে চলে যাওয়ার মাধ্যমে ধরা এড়াতে তত্পরতার উপর নির্ভর করে।")</f>
        <v>দৌড়বিদরা দ্রুত গ্রিডের মধ্যে চলে যাওয়ার মাধ্যমে ধরা এড়াতে তত্পরতার উপর নির্ভর করে।</v>
      </c>
    </row>
    <row r="27">
      <c r="A27" s="3">
        <v>26.0</v>
      </c>
      <c r="B27" s="3" t="s">
        <v>596</v>
      </c>
      <c r="C27" s="3" t="s">
        <v>597</v>
      </c>
      <c r="D27" s="3" t="s">
        <v>598</v>
      </c>
      <c r="E27" s="3" t="s">
        <v>599</v>
      </c>
      <c r="J27" s="4" t="str">
        <f>IFERROR(__xludf.DUMMYFUNCTION("GOOGLETRANSLATE(A27, ""en"", ""bn"")"),"২৬")</f>
        <v>২৬</v>
      </c>
      <c r="K27" s="4" t="str">
        <f>IFERROR(__xludf.DUMMYFUNCTION("GOOGLETRANSLATE(B27, ""en"", ""bn"")"),"দারিয়াবান্ধায়, যদি একজন ডিফেন্ডার গ্রিড লাইন থেকে বেরিয়ে আসে তাহলে কী হবে?")</f>
        <v>দারিয়াবান্ধায়, যদি একজন ডিফেন্ডার গ্রিড লাইন থেকে বেরিয়ে আসে তাহলে কী হবে?</v>
      </c>
      <c r="L27" s="4" t="str">
        <f>IFERROR(__xludf.DUMMYFUNCTION("GOOGLETRANSLATE(C27, ""en"", ""bn"")"),"ক) তারা অযোগ্য ঘোষণা করা হয়েছে, খ) তারা একটি পয়েন্ট হারায়, গ) খেলা বিরতি দেওয়া হয়, ঘ) রাউন্ড পুনরায় সেট করা হয়")</f>
        <v>ক) তারা অযোগ্য ঘোষণা করা হয়েছে, খ) তারা একটি পয়েন্ট হারায়, গ) খেলা বিরতি দেওয়া হয়, ঘ) রাউন্ড পুনরায় সেট করা হয়</v>
      </c>
      <c r="M27" s="4" t="str">
        <f>IFERROR(__xludf.DUMMYFUNCTION("GOOGLETRANSLATE(D27, ""en"", ""bn"")"),"ক) তারা অযোগ্য ঘোষণা করা হয়েছে")</f>
        <v>ক) তারা অযোগ্য ঘোষণা করা হয়েছে</v>
      </c>
      <c r="N27" s="4" t="str">
        <f>IFERROR(__xludf.DUMMYFUNCTION("GOOGLETRANSLATE(E27, ""en"", ""bn"")"),"গ্রিড লাইন থেকে বেরিয়ে আসা একজন ডিফেন্ডারের ফলাফল সেই রাউন্ড থেকে অযোগ্য ঘোষণা করা হবে।")</f>
        <v>গ্রিড লাইন থেকে বেরিয়ে আসা একজন ডিফেন্ডারের ফলাফল সেই রাউন্ড থেকে অযোগ্য ঘোষণা করা হবে।</v>
      </c>
    </row>
    <row r="28">
      <c r="A28" s="3">
        <v>27.0</v>
      </c>
      <c r="B28" s="3" t="s">
        <v>600</v>
      </c>
      <c r="C28" s="3" t="s">
        <v>601</v>
      </c>
      <c r="D28" s="3" t="s">
        <v>602</v>
      </c>
      <c r="E28" s="3" t="s">
        <v>603</v>
      </c>
      <c r="J28" s="4" t="str">
        <f>IFERROR(__xludf.DUMMYFUNCTION("GOOGLETRANSLATE(A28, ""en"", ""bn"")"),"২৭")</f>
        <v>২৭</v>
      </c>
      <c r="K28" s="4" t="str">
        <f>IFERROR(__xludf.DUMMYFUNCTION("GOOGLETRANSLATE(B28, ""en"", ""bn"")"),"দাড়িবান্ধায় একজন দৌড়বিদ কীভাবে সুবিধা পান?")</f>
        <v>দাড়িবান্ধায় একজন দৌড়বিদ কীভাবে সুবিধা পান?</v>
      </c>
      <c r="L28" s="4" t="str">
        <f>IFERROR(__xludf.DUMMYFUNCTION("GOOGLETRANSLATE(C28, ""en"", ""bn"")"),"ক) ডিফেন্ডারদের অতিক্রম করে, খ) শেষ অঞ্চলে পৌঁছানোর মাধ্যমে, গ) ডিফেন্ডারদের ট্যাগ করে, ঘ) মাঠের বাইরে পা রেখে")</f>
        <v>ক) ডিফেন্ডারদের অতিক্রম করে, খ) শেষ অঞ্চলে পৌঁছানোর মাধ্যমে, গ) ডিফেন্ডারদের ট্যাগ করে, ঘ) মাঠের বাইরে পা রেখে</v>
      </c>
      <c r="M28" s="4" t="str">
        <f>IFERROR(__xludf.DUMMYFUNCTION("GOOGLETRANSLATE(D28, ""en"", ""bn"")"),"খ) শেষ অঞ্চলে পৌঁছে")</f>
        <v>খ) শেষ অঞ্চলে পৌঁছে</v>
      </c>
      <c r="N28" s="4" t="str">
        <f>IFERROR(__xludf.DUMMYFUNCTION("GOOGLETRANSLATE(E28, ""en"", ""bn"")"),"শেষ অঞ্চলে পৌঁছানো দৌড়বিদদের জন্য নিরাপত্তা এবং কৌশলগত সুবিধা প্রদান করে।")</f>
        <v>শেষ অঞ্চলে পৌঁছানো দৌড়বিদদের জন্য নিরাপত্তা এবং কৌশলগত সুবিধা প্রদান করে।</v>
      </c>
    </row>
    <row r="29">
      <c r="A29" s="3">
        <v>28.0</v>
      </c>
      <c r="B29" s="3" t="s">
        <v>604</v>
      </c>
      <c r="C29" s="3" t="s">
        <v>605</v>
      </c>
      <c r="D29" s="3" t="s">
        <v>606</v>
      </c>
      <c r="E29" s="3" t="s">
        <v>607</v>
      </c>
      <c r="J29" s="4" t="str">
        <f>IFERROR(__xludf.DUMMYFUNCTION("GOOGLETRANSLATE(A29, ""en"", ""bn"")"),"২৮")</f>
        <v>২৮</v>
      </c>
      <c r="K29" s="4" t="str">
        <f>IFERROR(__xludf.DUMMYFUNCTION("GOOGLETRANSLATE(B29, ""en"", ""bn"")"),"দাড়িবান্ধায় গ্রিড লাইন চিহ্নিত করতে সাধারণত কোন জিনিসটি ব্যবহৃত হয়?")</f>
        <v>দাড়িবান্ধায় গ্রিড লাইন চিহ্নিত করতে সাধারণত কোন জিনিসটি ব্যবহৃত হয়?</v>
      </c>
      <c r="L29" s="4" t="str">
        <f>IFERROR(__xludf.DUMMYFUNCTION("GOOGLETRANSLATE(C29, ""en"", ""bn"")"),"ক) চক, খ) দড়ি, গ) পাথর, ঘ) লাঠি")</f>
        <v>ক) চক, খ) দড়ি, গ) পাথর, ঘ) লাঠি</v>
      </c>
      <c r="M29" s="4" t="str">
        <f>IFERROR(__xludf.DUMMYFUNCTION("GOOGLETRANSLATE(D29, ""en"", ""bn"")"),"ক) চক")</f>
        <v>ক) চক</v>
      </c>
      <c r="N29" s="4" t="str">
        <f>IFERROR(__xludf.DUMMYFUNCTION("GOOGLETRANSLATE(E29, ""en"", ""bn"")"),"দাড়িবান্ধায় মাটিতে গ্রিড লাইন আঁকতে সাধারণত চক ব্যবহার করা হয়।")</f>
        <v>দাড়িবান্ধায় মাটিতে গ্রিড লাইন আঁকতে সাধারণত চক ব্যবহার করা হয়।</v>
      </c>
    </row>
    <row r="30">
      <c r="A30" s="3">
        <v>29.0</v>
      </c>
      <c r="B30" s="3" t="s">
        <v>608</v>
      </c>
      <c r="C30" s="3" t="s">
        <v>609</v>
      </c>
      <c r="D30" s="3" t="s">
        <v>610</v>
      </c>
      <c r="E30" s="3" t="s">
        <v>611</v>
      </c>
      <c r="J30" s="4" t="str">
        <f>IFERROR(__xludf.DUMMYFUNCTION("GOOGLETRANSLATE(A30, ""en"", ""bn"")"),"২৯")</f>
        <v>২৯</v>
      </c>
      <c r="K30" s="4" t="str">
        <f>IFERROR(__xludf.DUMMYFUNCTION("GOOGLETRANSLATE(B30, ""en"", ""bn"")"),"ঐতিহ্যগতভাবে দাড়িবান্ধা কোন ধরণের পৃষ্ঠে খেলা হয়?")</f>
        <v>ঐতিহ্যগতভাবে দাড়িবান্ধা কোন ধরণের পৃষ্ঠে খেলা হয়?</v>
      </c>
      <c r="L30" s="4" t="str">
        <f>IFERROR(__xludf.DUMMYFUNCTION("GOOGLETRANSLATE(C30, ""en"", ""bn"")"),"ক) ঘাস, খ) কাদা, গ) বালি, ঘ) কংক্রিট")</f>
        <v>ক) ঘাস, খ) কাদা, গ) বালি, ঘ) কংক্রিট</v>
      </c>
      <c r="M30" s="4" t="str">
        <f>IFERROR(__xludf.DUMMYFUNCTION("GOOGLETRANSLATE(D30, ""en"", ""bn"")"),"খ) কাদা")</f>
        <v>খ) কাদা</v>
      </c>
      <c r="N30" s="4" t="str">
        <f>IFERROR(__xludf.DUMMYFUNCTION("GOOGLETRANSLATE(E30, ""en"", ""bn"")"),"ভালো ট্র্যাকশন এবং নিরাপত্তার জন্য দাড়িবান্ধা প্রায়শই কাদা পৃষ্ঠে বাজানো হয়।")</f>
        <v>ভালো ট্র্যাকশন এবং নিরাপত্তার জন্য দাড়িবান্ধা প্রায়শই কাদা পৃষ্ঠে বাজানো হয়।</v>
      </c>
    </row>
    <row r="31">
      <c r="A31" s="3">
        <v>30.0</v>
      </c>
      <c r="B31" s="3" t="s">
        <v>612</v>
      </c>
      <c r="C31" s="3" t="s">
        <v>613</v>
      </c>
      <c r="D31" s="3" t="s">
        <v>614</v>
      </c>
      <c r="E31" s="3" t="s">
        <v>615</v>
      </c>
      <c r="J31" s="4" t="str">
        <f>IFERROR(__xludf.DUMMYFUNCTION("GOOGLETRANSLATE(A31, ""en"", ""bn"")"),"৩০")</f>
        <v>৩০</v>
      </c>
      <c r="K31" s="4" t="str">
        <f>IFERROR(__xludf.DUMMYFUNCTION("GOOGLETRANSLATE(B31, ""en"", ""bn"")"),"দারিয়াবান্ধার শুরুতে ডিফেন্ডিং দল সাধারণত কীভাবে নিজেদের অবস্থান করে?")</f>
        <v>দারিয়াবান্ধার শুরুতে ডিফেন্ডিং দল সাধারণত কীভাবে নিজেদের অবস্থান করে?</v>
      </c>
      <c r="L31" s="4" t="str">
        <f>IFERROR(__xludf.DUMMYFUNCTION("GOOGLETRANSLATE(C31, ""en"", ""bn"")"),"ক) এলোমেলোভাবে, খ) একটি রেখায়, গ) জোড়ায় জোড়ায়, ঘ) গ্রিড রেখা বরাবর")</f>
        <v>ক) এলোমেলোভাবে, খ) একটি রেখায়, গ) জোড়ায় জোড়ায়, ঘ) গ্রিড রেখা বরাবর</v>
      </c>
      <c r="M31" s="4" t="str">
        <f>IFERROR(__xludf.DUMMYFUNCTION("GOOGLETRANSLATE(D31, ""en"", ""bn"")"),"ঘ) গ্রিড লাইন বরাবর")</f>
        <v>ঘ) গ্রিড লাইন বরাবর</v>
      </c>
      <c r="N31" s="4" t="str">
        <f>IFERROR(__xludf.DUMMYFUNCTION("GOOGLETRANSLATE(E31, ""en"", ""bn"")"),"মাঠ নিয়ন্ত্রণের জন্য শুরুতে ডিফেন্ডারদের গ্রিড লাইন বরাবর অবস্থান করা হয়।")</f>
        <v>মাঠ নিয়ন্ত্রণের জন্য শুরুতে ডিফেন্ডারদের গ্রিড লাইন বরাবর অবস্থান করা হয়।</v>
      </c>
    </row>
    <row r="32">
      <c r="A32" s="3">
        <v>31.0</v>
      </c>
      <c r="B32" s="3" t="s">
        <v>616</v>
      </c>
      <c r="C32" s="3" t="s">
        <v>617</v>
      </c>
      <c r="D32" s="3" t="s">
        <v>618</v>
      </c>
      <c r="E32" s="3" t="s">
        <v>619</v>
      </c>
      <c r="J32" s="4" t="str">
        <f>IFERROR(__xludf.DUMMYFUNCTION("GOOGLETRANSLATE(A32, ""en"", ""bn"")"),"৩১")</f>
        <v>৩১</v>
      </c>
      <c r="K32" s="4" t="str">
        <f>IFERROR(__xludf.DUMMYFUNCTION("GOOGLETRANSLATE(B32, ""en"", ""bn"")"),"দারিয়াবান্ধায় যদি একজন রানার একজন ডিফেন্ডারের সাথে ধাক্কা খায় তাহলে কী হবে?")</f>
        <v>দারিয়াবান্ধায় যদি একজন রানার একজন ডিফেন্ডারের সাথে ধাক্কা খায় তাহলে কী হবে?</v>
      </c>
      <c r="L32" s="4" t="str">
        <f>IFERROR(__xludf.DUMMYFUNCTION("GOOGLETRANSLATE(C32, ""en"", ""bn"")"),"ক) ডিফেন্ডার এক পয়েন্ট জিতেছে, খ) রানার আউট হয়ে গেছে, গ) খেলা পুনরায় শুরু হয়েছে, ঘ) রানার দল পরিবর্তন করেছে")</f>
        <v>ক) ডিফেন্ডার এক পয়েন্ট জিতেছে, খ) রানার আউট হয়ে গেছে, গ) খেলা পুনরায় শুরু হয়েছে, ঘ) রানার দল পরিবর্তন করেছে</v>
      </c>
      <c r="M32" s="4" t="str">
        <f>IFERROR(__xludf.DUMMYFUNCTION("GOOGLETRANSLATE(D32, ""en"", ""bn"")"),"খ) রানার আউট হয়ে গেছে")</f>
        <v>খ) রানার আউট হয়ে গেছে</v>
      </c>
      <c r="N32" s="4" t="str">
        <f>IFERROR(__xludf.DUMMYFUNCTION("GOOGLETRANSLATE(E32, ""en"", ""bn"")"),"একজন ডিফেন্ডারের সাথে সংঘর্ষের ফলে রানার রাউন্ড থেকে বাদ পড়ে যায়।")</f>
        <v>একজন ডিফেন্ডারের সাথে সংঘর্ষের ফলে রানার রাউন্ড থেকে বাদ পড়ে যায়।</v>
      </c>
    </row>
    <row r="33">
      <c r="A33" s="3">
        <v>32.0</v>
      </c>
      <c r="B33" s="3" t="s">
        <v>620</v>
      </c>
      <c r="C33" s="3" t="s">
        <v>621</v>
      </c>
      <c r="D33" s="3" t="s">
        <v>548</v>
      </c>
      <c r="E33" s="3" t="s">
        <v>622</v>
      </c>
      <c r="J33" s="4" t="str">
        <f>IFERROR(__xludf.DUMMYFUNCTION("GOOGLETRANSLATE(A33, ""en"", ""bn"")"),"৩২")</f>
        <v>৩২</v>
      </c>
      <c r="K33" s="4" t="str">
        <f>IFERROR(__xludf.DUMMYFUNCTION("GOOGLETRANSLATE(B33, ""en"", ""bn"")"),"দাড়িবান্ধায় কোন খেলোয়াড়ের ভূমিকায় প্রধান কাজ হলো এড়িয়ে চলা?")</f>
        <v>দাড়িবান্ধায় কোন খেলোয়াড়ের ভূমিকায় প্রধান কাজ হলো এড়িয়ে চলা?</v>
      </c>
      <c r="L33" s="4" t="str">
        <f>IFERROR(__xludf.DUMMYFUNCTION("GOOGLETRANSLATE(C33, ""en"", ""bn"")"),"ক) ডিফেন্ডার, খ) রানার, গ) গোলরক্ষক, ঘ) ব্লকার")</f>
        <v>ক) ডিফেন্ডার, খ) রানার, গ) গোলরক্ষক, ঘ) ব্লকার</v>
      </c>
      <c r="M33" s="4" t="str">
        <f>IFERROR(__xludf.DUMMYFUNCTION("GOOGLETRANSLATE(D33, ""en"", ""bn"")"),"খ) দৌড়বিদ")</f>
        <v>খ) দৌড়বিদ</v>
      </c>
      <c r="N33" s="4" t="str">
        <f>IFERROR(__xludf.DUMMYFUNCTION("GOOGLETRANSLATE(E33, ""en"", ""bn"")"),"রানারদের প্রধান ভূমিকা হল ডিফেন্ডারদের এড়িয়ে যাওয়া এবং গ্রিড লাইনের মধ্যে থাকা।")</f>
        <v>রানারদের প্রধান ভূমিকা হল ডিফেন্ডারদের এড়িয়ে যাওয়া এবং গ্রিড লাইনের মধ্যে থাকা।</v>
      </c>
    </row>
    <row r="34">
      <c r="A34" s="3">
        <v>33.0</v>
      </c>
      <c r="B34" s="3" t="s">
        <v>623</v>
      </c>
      <c r="C34" s="3" t="s">
        <v>624</v>
      </c>
      <c r="D34" s="3" t="s">
        <v>625</v>
      </c>
      <c r="E34" s="3" t="s">
        <v>626</v>
      </c>
      <c r="J34" s="4" t="str">
        <f>IFERROR(__xludf.DUMMYFUNCTION("GOOGLETRANSLATE(A34, ""en"", ""bn"")"),"৩৩")</f>
        <v>৩৩</v>
      </c>
      <c r="K34" s="4" t="str">
        <f>IFERROR(__xludf.DUMMYFUNCTION("GOOGLETRANSLATE(B34, ""en"", ""bn"")"),"দারিয়াবান্ধায় যদি সব ডিফেন্ডাররা বিভ্রান্ত হয় তাহলে কী হবে?")</f>
        <v>দারিয়াবান্ধায় যদি সব ডিফেন্ডাররা বিভ্রান্ত হয় তাহলে কী হবে?</v>
      </c>
      <c r="L34" s="4" t="str">
        <f>IFERROR(__xludf.DUMMYFUNCTION("GOOGLETRANSLATE(C34, ""en"", ""bn"")"),"ক) দৌড়বিদরা স্বয়ংক্রিয়ভাবে জয়ী হয়, খ) দৌড়বিদরা স্বাধীনভাবে স্কোর করতে পারে, গ) খেলা বিরতি, ঘ) দৌড়বিদরা একটি পেনাল্টি পায়")</f>
        <v>ক) দৌড়বিদরা স্বয়ংক্রিয়ভাবে জয়ী হয়, খ) দৌড়বিদরা স্বাধীনভাবে স্কোর করতে পারে, গ) খেলা বিরতি, ঘ) দৌড়বিদরা একটি পেনাল্টি পায়</v>
      </c>
      <c r="M34" s="4" t="str">
        <f>IFERROR(__xludf.DUMMYFUNCTION("GOOGLETRANSLATE(D34, ""en"", ""bn"")"),"খ) দৌড়বিদরা স্বাধীনভাবে গোল করতে পারবেন")</f>
        <v>খ) দৌড়বিদরা স্বাধীনভাবে গোল করতে পারবেন</v>
      </c>
      <c r="N34" s="4" t="str">
        <f>IFERROR(__xludf.DUMMYFUNCTION("GOOGLETRANSLATE(E34, ""en"", ""bn"")"),"যদি ডিফেন্ডাররা মনোযোগ হারিয়ে ফেলে, তাহলে রানাররা পয়েন্টের জন্য অবাধে শেষ অঞ্চলে যেতে পারবে।")</f>
        <v>যদি ডিফেন্ডাররা মনোযোগ হারিয়ে ফেলে, তাহলে রানাররা পয়েন্টের জন্য অবাধে শেষ অঞ্চলে যেতে পারবে।</v>
      </c>
    </row>
    <row r="35">
      <c r="A35" s="3">
        <v>34.0</v>
      </c>
      <c r="B35" s="3" t="s">
        <v>627</v>
      </c>
      <c r="C35" s="3" t="s">
        <v>628</v>
      </c>
      <c r="D35" s="3" t="s">
        <v>629</v>
      </c>
      <c r="E35" s="3" t="s">
        <v>630</v>
      </c>
      <c r="J35" s="4" t="str">
        <f>IFERROR(__xludf.DUMMYFUNCTION("GOOGLETRANSLATE(A35, ""en"", ""bn"")"),"৩৪")</f>
        <v>৩৪</v>
      </c>
      <c r="K35" s="4" t="str">
        <f>IFERROR(__xludf.DUMMYFUNCTION("GOOGLETRANSLATE(B35, ""en"", ""bn"")"),"দাড়িবান্ধায় ডিফেন্ডাররা সাধারণত কোন দিকে সীমাবদ্ধ থাকে?")</f>
        <v>দাড়িবান্ধায় ডিফেন্ডাররা সাধারণত কোন দিকে সীমাবদ্ধ থাকে?</v>
      </c>
      <c r="L35" s="4" t="str">
        <f>IFERROR(__xludf.DUMMYFUNCTION("GOOGLETRANSLATE(C35, ""en"", ""bn"")"),"ক) অনুভূমিক, খ) তির্যক, গ) উল্লম্ব, ঘ) বৃত্তাকার")</f>
        <v>ক) অনুভূমিক, খ) তির্যক, গ) উল্লম্ব, ঘ) বৃত্তাকার</v>
      </c>
      <c r="M35" s="4" t="str">
        <f>IFERROR(__xludf.DUMMYFUNCTION("GOOGLETRANSLATE(D35, ""en"", ""bn"")"),"গ) উল্লম্ব")</f>
        <v>গ) উল্লম্ব</v>
      </c>
      <c r="N35" s="4" t="str">
        <f>IFERROR(__xludf.DUMMYFUNCTION("GOOGLETRANSLATE(E35, ""en"", ""bn"")"),"ডিফেন্ডাররা প্রায়শই গ্রিডের নির্দিষ্ট লাইন বরাবর উল্লম্বভাবে চলাফেরা করতে সীমাবদ্ধ থাকে।")</f>
        <v>ডিফেন্ডাররা প্রায়শই গ্রিডের নির্দিষ্ট লাইন বরাবর উল্লম্বভাবে চলাফেরা করতে সীমাবদ্ধ থাকে।</v>
      </c>
    </row>
    <row r="36">
      <c r="A36" s="3">
        <v>35.0</v>
      </c>
      <c r="B36" s="3" t="s">
        <v>631</v>
      </c>
      <c r="C36" s="3" t="s">
        <v>632</v>
      </c>
      <c r="D36" s="3" t="s">
        <v>633</v>
      </c>
      <c r="E36" s="3" t="s">
        <v>634</v>
      </c>
      <c r="J36" s="4" t="str">
        <f>IFERROR(__xludf.DUMMYFUNCTION("GOOGLETRANSLATE(A36, ""en"", ""bn"")"),"৩৫")</f>
        <v>৩৫</v>
      </c>
      <c r="K36" s="4" t="str">
        <f>IFERROR(__xludf.DUMMYFUNCTION("GOOGLETRANSLATE(B36, ""en"", ""bn"")"),"দাড়িবান্ধায় একটি রাউন্ড কীভাবে শেষ হয়?")</f>
        <v>দাড়িবান্ধায় একটি রাউন্ড কীভাবে শেষ হয়?</v>
      </c>
      <c r="L36" s="4" t="str">
        <f>IFERROR(__xludf.DUMMYFUNCTION("GOOGLETRANSLATE(C36, ""en"", ""bn"")"),"ক) সকল ডিফেন্ডার ধরা পড়ে, খ) সময়সীমা শেষ হয়ে যায়, গ) সকল রানার ধরা পড়ে, ঘ) ডিফেন্ডার শেষ অঞ্চলে পৌঁছায়")</f>
        <v>ক) সকল ডিফেন্ডার ধরা পড়ে, খ) সময়সীমা শেষ হয়ে যায়, গ) সকল রানার ধরা পড়ে, ঘ) ডিফেন্ডার শেষ অঞ্চলে পৌঁছায়</v>
      </c>
      <c r="M36" s="4" t="str">
        <f>IFERROR(__xludf.DUMMYFUNCTION("GOOGLETRANSLATE(D36, ""en"", ""bn"")"),"গ) সকল দৌড়বিদকে বন্দী করা হয়")</f>
        <v>গ) সকল দৌড়বিদকে বন্দী করা হয়</v>
      </c>
      <c r="N36" s="4" t="str">
        <f>IFERROR(__xludf.DUMMYFUNCTION("GOOGLETRANSLATE(E36, ""en"", ""bn"")"),"রাউন্ডটি শেষ হয় যখন সমস্ত রানার ডিফেন্ডারদের দ্বারা বন্দী হয়।")</f>
        <v>রাউন্ডটি শেষ হয় যখন সমস্ত রানার ডিফেন্ডারদের দ্বারা বন্দী হয়।</v>
      </c>
    </row>
    <row r="37">
      <c r="A37" s="3">
        <v>36.0</v>
      </c>
      <c r="B37" s="3" t="s">
        <v>635</v>
      </c>
      <c r="C37" s="3" t="s">
        <v>636</v>
      </c>
      <c r="D37" s="3" t="s">
        <v>637</v>
      </c>
      <c r="E37" s="6" t="s">
        <v>638</v>
      </c>
      <c r="J37" s="4" t="str">
        <f>IFERROR(__xludf.DUMMYFUNCTION("GOOGLETRANSLATE(A37, ""en"", ""bn"")"),"৩৬")</f>
        <v>৩৬</v>
      </c>
      <c r="K37" s="4" t="str">
        <f>IFERROR(__xludf.DUMMYFUNCTION("GOOGLETRANSLATE(B37, ""en"", ""bn"")"),"'দারিবান্ধা' শব্দটির ইংরেজিতে কী অর্থ হয়?")</f>
        <v>'দারিবান্ধা' শব্দটির ইংরেজিতে কী অর্থ হয়?</v>
      </c>
      <c r="L37" s="4" t="str">
        <f>IFERROR(__xludf.DUMMYFUNCTION("GOOGLETRANSLATE(C37, ""en"", ""bn"")"),"ক) নিরাপত্তা রেখা, খ) পথ অবরুদ্ধ করা, গ) রক্ষকদের বৃত্ত, ঘ) সীমানা খেলা")</f>
        <v>ক) নিরাপত্তা রেখা, খ) পথ অবরুদ্ধ করা, গ) রক্ষকদের বৃত্ত, ঘ) সীমানা খেলা</v>
      </c>
      <c r="M37" s="4" t="str">
        <f>IFERROR(__xludf.DUMMYFUNCTION("GOOGLETRANSLATE(D37, ""en"", ""bn"")"),"খ) পথ বন্ধ করুন")</f>
        <v>খ) পথ বন্ধ করুন</v>
      </c>
      <c r="N37" s="4" t="str">
        <f>IFERROR(__xludf.DUMMYFUNCTION("GOOGLETRANSLATE(E37, ""en"", ""bn"")"),"'দারিবান্ধা' শব্দটির মোটামুটি অর্থ 'পথ অবরোধ', যা খেলার উদ্দেশ্য নির্দেশ করে।")</f>
        <v>'দারিবান্ধা' শব্দটির মোটামুটি অর্থ 'পথ অবরোধ', যা খেলার উদ্দেশ্য নির্দেশ করে।</v>
      </c>
    </row>
    <row r="38">
      <c r="A38" s="3">
        <v>37.0</v>
      </c>
      <c r="B38" s="3" t="s">
        <v>639</v>
      </c>
      <c r="C38" s="3" t="s">
        <v>640</v>
      </c>
      <c r="D38" s="3" t="s">
        <v>641</v>
      </c>
      <c r="E38" s="3" t="s">
        <v>642</v>
      </c>
      <c r="J38" s="4" t="str">
        <f>IFERROR(__xludf.DUMMYFUNCTION("GOOGLETRANSLATE(A38, ""en"", ""bn"")"),"৩৭")</f>
        <v>৩৭</v>
      </c>
      <c r="K38" s="4" t="str">
        <f>IFERROR(__xludf.DUMMYFUNCTION("GOOGLETRANSLATE(B38, ""en"", ""bn"")"),"দারিয়াবান্ধায় ডিফেন্ডারদের জন্য মূল দক্ষতা কী?")</f>
        <v>দারিয়াবান্ধায় ডিফেন্ডারদের জন্য মূল দক্ষতা কী?</v>
      </c>
      <c r="L38" s="4" t="str">
        <f>IFERROR(__xludf.DUMMYFUNCTION("GOOGLETRANSLATE(C38, ""en"", ""bn"")"),"ক) গতি, খ) ধৈর্য, ​​গ) শক্তি, ঘ) লাফানো")</f>
        <v>ক) গতি, খ) ধৈর্য, ​​গ) শক্তি, ঘ) লাফানো</v>
      </c>
      <c r="M38" s="4" t="str">
        <f>IFERROR(__xludf.DUMMYFUNCTION("GOOGLETRANSLATE(D38, ""en"", ""bn"")"),"খ) ধৈর্য")</f>
        <v>খ) ধৈর্য</v>
      </c>
      <c r="N38" s="4" t="str">
        <f>IFERROR(__xludf.DUMMYFUNCTION("GOOGLETRANSLATE(E38, ""en"", ""bn"")"),"রানারদের ধরে ফেলার জন্য ডিফেন্ডারদের সঠিক মুহূর্তের জন্য অপেক্ষা করার জন্য ধৈর্যের প্রয়োজন।")</f>
        <v>রানারদের ধরে ফেলার জন্য ডিফেন্ডারদের সঠিক মুহূর্তের জন্য অপেক্ষা করার জন্য ধৈর্যের প্রয়োজন।</v>
      </c>
    </row>
    <row r="39">
      <c r="A39" s="3">
        <v>38.0</v>
      </c>
      <c r="B39" s="3" t="s">
        <v>643</v>
      </c>
      <c r="C39" s="3" t="s">
        <v>644</v>
      </c>
      <c r="D39" s="3" t="s">
        <v>645</v>
      </c>
      <c r="E39" s="3" t="s">
        <v>646</v>
      </c>
      <c r="J39" s="4" t="str">
        <f>IFERROR(__xludf.DUMMYFUNCTION("GOOGLETRANSLATE(A39, ""en"", ""bn"")"),"৩৮")</f>
        <v>৩৮</v>
      </c>
      <c r="K39" s="4" t="str">
        <f>IFERROR(__xludf.DUMMYFUNCTION("GOOGLETRANSLATE(B39, ""en"", ""bn"")"),"বারবার নিরাপদ অঞ্চলে পৌঁছানোর মাধ্যমে একজন দৌড়বিদ কী সুবিধা লাভ করেন?")</f>
        <v>বারবার নিরাপদ অঞ্চলে পৌঁছানোর মাধ্যমে একজন দৌড়বিদ কী সুবিধা লাভ করেন?</v>
      </c>
      <c r="L39" s="4" t="str">
        <f>IFERROR(__xludf.DUMMYFUNCTION("GOOGLETRANSLATE(C39, ""en"", ""bn"")"),"ক) অতিরিক্ত পয়েন্ট, খ) অতিরিক্ত খেলোয়াড়, গ) সময় বোনাস, ঘ) কম ডিফেন্ডার")</f>
        <v>ক) অতিরিক্ত পয়েন্ট, খ) অতিরিক্ত খেলোয়াড়, গ) সময় বোনাস, ঘ) কম ডিফেন্ডার</v>
      </c>
      <c r="M39" s="4" t="str">
        <f>IFERROR(__xludf.DUMMYFUNCTION("GOOGLETRANSLATE(D39, ""en"", ""bn"")"),"ক) অতিরিক্ত পয়েন্ট")</f>
        <v>ক) অতিরিক্ত পয়েন্ট</v>
      </c>
      <c r="N39" s="4" t="str">
        <f>IFERROR(__xludf.DUMMYFUNCTION("GOOGLETRANSLATE(E39, ""en"", ""bn"")"),"একাধিকবার নিরাপদ অঞ্চলে পৌঁছালে রানাররা অতিরিক্ত পয়েন্ট অর্জন করতে পারে।")</f>
        <v>একাধিকবার নিরাপদ অঞ্চলে পৌঁছালে রানাররা অতিরিক্ত পয়েন্ট অর্জন করতে পারে।</v>
      </c>
    </row>
    <row r="40">
      <c r="A40" s="3">
        <v>39.0</v>
      </c>
      <c r="B40" s="3" t="s">
        <v>647</v>
      </c>
      <c r="C40" s="3" t="s">
        <v>648</v>
      </c>
      <c r="D40" s="3" t="s">
        <v>649</v>
      </c>
      <c r="E40" s="3" t="s">
        <v>650</v>
      </c>
      <c r="J40" s="4" t="str">
        <f>IFERROR(__xludf.DUMMYFUNCTION("GOOGLETRANSLATE(A40, ""en"", ""bn"")"),"৩৯")</f>
        <v>৩৯</v>
      </c>
      <c r="K40" s="4" t="str">
        <f>IFERROR(__xludf.DUMMYFUNCTION("GOOGLETRANSLATE(B40, ""en"", ""bn"")"),"দাড়িবান্ধার দৌড়বিদদের জন্য এর মধ্যে কোনটি একটি গুরুত্বপূর্ণ কৌশল?")</f>
        <v>দাড়িবান্ধার দৌড়বিদদের জন্য এর মধ্যে কোনটি একটি গুরুত্বপূর্ণ কৌশল?</v>
      </c>
      <c r="L40" s="4" t="str">
        <f>IFERROR(__xludf.DUMMYFUNCTION("GOOGLETRANSLATE(C40, ""en"", ""bn"")"),"ক) বৃত্তাকারে দৌড়ানো, খ) লুকিয়ে থাকা, গ) জিগজ্যাগ নড়াচড়া, ঘ) ডিফেন্ডারদের উপর দিয়ে লাফানো")</f>
        <v>ক) বৃত্তাকারে দৌড়ানো, খ) লুকিয়ে থাকা, গ) জিগজ্যাগ নড়াচড়া, ঘ) ডিফেন্ডারদের উপর দিয়ে লাফানো</v>
      </c>
      <c r="M40" s="4" t="str">
        <f>IFERROR(__xludf.DUMMYFUNCTION("GOOGLETRANSLATE(D40, ""en"", ""bn"")"),"গ) জিগজ্যাগ চলাচল")</f>
        <v>গ) জিগজ্যাগ চলাচল</v>
      </c>
      <c r="N40" s="4" t="str">
        <f>IFERROR(__xludf.DUMMYFUNCTION("GOOGLETRANSLATE(E40, ""en"", ""bn"")"),"জিগজ্যাগ মুভমেন্ট দৌড়বিদদের অনুমানযোগ্য পথ এড়াতে এবং ডিফেন্ডারদের এড়াতে সাহায্য করে।")</f>
        <v>জিগজ্যাগ মুভমেন্ট দৌড়বিদদের অনুমানযোগ্য পথ এড়াতে এবং ডিফেন্ডারদের এড়াতে সাহায্য করে।</v>
      </c>
    </row>
    <row r="41">
      <c r="A41" s="3">
        <v>40.0</v>
      </c>
      <c r="B41" s="3" t="s">
        <v>651</v>
      </c>
      <c r="C41" s="3" t="s">
        <v>652</v>
      </c>
      <c r="D41" s="3" t="s">
        <v>653</v>
      </c>
      <c r="E41" s="3" t="s">
        <v>654</v>
      </c>
      <c r="J41" s="4" t="str">
        <f>IFERROR(__xludf.DUMMYFUNCTION("GOOGLETRANSLATE(A41, ""en"", ""bn"")"),"৪০")</f>
        <v>৪০</v>
      </c>
      <c r="K41" s="4" t="str">
        <f>IFERROR(__xludf.DUMMYFUNCTION("GOOGLETRANSLATE(B41, ""en"", ""bn"")"),"দাড়িয়াবান্ধায় খেলার সমাপ্তির ইঙ্গিত কী?")</f>
        <v>দাড়িয়াবান্ধায় খেলার সমাপ্তির ইঙ্গিত কী?</v>
      </c>
      <c r="L41" s="4" t="str">
        <f>IFERROR(__xludf.DUMMYFUNCTION("GOOGLETRANSLATE(C41, ""en"", ""bn"")"),"ক) টাইমারের মেয়াদ শেষ হয়ে যায়, খ) সর্বোচ্চ স্কোর পৌঁছে যায়, গ) সকল রানার ধরা পড়ে, ঘ) ডিফেন্ডার রানারকে ধরে ফেলে")</f>
        <v>ক) টাইমারের মেয়াদ শেষ হয়ে যায়, খ) সর্বোচ্চ স্কোর পৌঁছে যায়, গ) সকল রানার ধরা পড়ে, ঘ) ডিফেন্ডার রানারকে ধরে ফেলে</v>
      </c>
      <c r="M41" s="4" t="str">
        <f>IFERROR(__xludf.DUMMYFUNCTION("GOOGLETRANSLATE(D41, ""en"", ""bn"")"),"খ) সর্বোচ্চ স্কোর পৌঁছেছে")</f>
        <v>খ) সর্বোচ্চ স্কোর পৌঁছেছে</v>
      </c>
      <c r="N41" s="4" t="str">
        <f>IFERROR(__xludf.DUMMYFUNCTION("GOOGLETRANSLATE(E41, ""en"", ""bn"")"),"খেলার আগে নির্ধারিত সর্বোচ্চ স্কোরের সীমায় পৌঁছালে খেলাটি শেষ হয়।")</f>
        <v>খেলার আগে নির্ধারিত সর্বোচ্চ স্কোরের সীমায় পৌঁছালে খেলাটি শেষ হয়।</v>
      </c>
    </row>
    <row r="42">
      <c r="A42" s="3">
        <v>41.0</v>
      </c>
      <c r="B42" s="3" t="s">
        <v>655</v>
      </c>
      <c r="C42" s="3" t="s">
        <v>656</v>
      </c>
      <c r="D42" s="3" t="s">
        <v>657</v>
      </c>
      <c r="E42" s="3" t="s">
        <v>658</v>
      </c>
      <c r="J42" s="4" t="str">
        <f>IFERROR(__xludf.DUMMYFUNCTION("GOOGLETRANSLATE(A42, ""en"", ""bn"")"),"৪১")</f>
        <v>৪১</v>
      </c>
      <c r="K42" s="4" t="str">
        <f>IFERROR(__xludf.DUMMYFUNCTION("GOOGLETRANSLATE(B42, ""en"", ""bn"")"),"দাড়িবান্ধায়, কীভাবে দল নির্বাচন করা হয়?")</f>
        <v>দাড়িবান্ধায়, কীভাবে দল নির্বাচন করা হয়?</v>
      </c>
      <c r="L42" s="4" t="str">
        <f>IFERROR(__xludf.DUMMYFUNCTION("GOOGLETRANSLATE(C42, ""en"", ""bn"")"),"ক) এলোমেলোভাবে, খ) দক্ষতা অনুসারে, গ) বয়স অনুসারে, ঘ) খেলোয়াড়রা বেছে নেয়")</f>
        <v>ক) এলোমেলোভাবে, খ) দক্ষতা অনুসারে, গ) বয়স অনুসারে, ঘ) খেলোয়াড়রা বেছে নেয়</v>
      </c>
      <c r="M42" s="4" t="str">
        <f>IFERROR(__xludf.DUMMYFUNCTION("GOOGLETRANSLATE(D42, ""en"", ""bn"")"),"ক) এলোমেলোভাবে")</f>
        <v>ক) এলোমেলোভাবে</v>
      </c>
      <c r="N42" s="4" t="str">
        <f>IFERROR(__xludf.DUMMYFUNCTION("GOOGLETRANSLATE(E42, ""en"", ""bn"")"),"সুষ্ঠু খেলা এবং ভারসাম্য নিশ্চিত করার জন্য দলগুলি সাধারণত এলোমেলোভাবে গঠিত হয়।")</f>
        <v>সুষ্ঠু খেলা এবং ভারসাম্য নিশ্চিত করার জন্য দলগুলি সাধারণত এলোমেলোভাবে গঠিত হয়।</v>
      </c>
    </row>
    <row r="43">
      <c r="A43" s="3">
        <v>42.0</v>
      </c>
      <c r="B43" s="3" t="s">
        <v>659</v>
      </c>
      <c r="C43" s="3" t="s">
        <v>660</v>
      </c>
      <c r="D43" s="3" t="s">
        <v>661</v>
      </c>
      <c r="E43" s="3" t="s">
        <v>662</v>
      </c>
      <c r="J43" s="4" t="str">
        <f>IFERROR(__xludf.DUMMYFUNCTION("GOOGLETRANSLATE(A43, ""en"", ""bn"")"),"৪২")</f>
        <v>৪২</v>
      </c>
      <c r="K43" s="4" t="str">
        <f>IFERROR(__xludf.DUMMYFUNCTION("GOOGLETRANSLATE(B43, ""en"", ""bn"")"),"দাড়িবান্ধায় কোন প্রতিরক্ষামূলক কৌশল সবচেয়ে কার্যকর?")</f>
        <v>দাড়িবান্ধায় কোন প্রতিরক্ষামূলক কৌশল সবচেয়ে কার্যকর?</v>
      </c>
      <c r="L43" s="4" t="str">
        <f>IFERROR(__xludf.DUMMYFUNCTION("GOOGLETRANSLATE(C43, ""en"", ""bn"")"),"ক) একটি রেখা তৈরি করা, খ) এলোমেলোভাবে চলাফেরা করা, গ) নিরাপদ অঞ্চল অবরুদ্ধ করা, ঘ) দৌড়বিদদের তাড়া করা")</f>
        <v>ক) একটি রেখা তৈরি করা, খ) এলোমেলোভাবে চলাফেরা করা, গ) নিরাপদ অঞ্চল অবরুদ্ধ করা, ঘ) দৌড়বিদদের তাড়া করা</v>
      </c>
      <c r="M43" s="4" t="str">
        <f>IFERROR(__xludf.DUMMYFUNCTION("GOOGLETRANSLATE(D43, ""en"", ""bn"")"),"গ) নিরাপদ অঞ্চল ব্লক করা")</f>
        <v>গ) নিরাপদ অঞ্চল ব্লক করা</v>
      </c>
      <c r="N43" s="4" t="str">
        <f>IFERROR(__xludf.DUMMYFUNCTION("GOOGLETRANSLATE(E43, ""en"", ""bn"")"),"নিরাপদ অঞ্চলগুলি অবরুদ্ধ করলে দৌড়বিদদের চলাচল সীমিত হয় এবং ধরা পড়ার সম্ভাবনা বৃদ্ধি পায়।")</f>
        <v>নিরাপদ অঞ্চলগুলি অবরুদ্ধ করলে দৌড়বিদদের চলাচল সীমিত হয় এবং ধরা পড়ার সম্ভাবনা বৃদ্ধি পায়।</v>
      </c>
    </row>
    <row r="44">
      <c r="A44" s="3">
        <v>43.0</v>
      </c>
      <c r="B44" s="3" t="s">
        <v>663</v>
      </c>
      <c r="C44" s="3" t="s">
        <v>664</v>
      </c>
      <c r="D44" s="3" t="s">
        <v>665</v>
      </c>
      <c r="E44" s="3" t="s">
        <v>666</v>
      </c>
      <c r="J44" s="4" t="str">
        <f>IFERROR(__xludf.DUMMYFUNCTION("GOOGLETRANSLATE(A44, ""en"", ""bn"")"),"৪৩")</f>
        <v>৪৩</v>
      </c>
      <c r="K44" s="4" t="str">
        <f>IFERROR(__xludf.DUMMYFUNCTION("GOOGLETRANSLATE(B44, ""en"", ""bn"")"),"একজন ডিফেন্ডার কীভাবে আইনত একজন রানারকে শেষ অঞ্চলে পৌঁছাতে বাধা দিতে পারে?")</f>
        <v>একজন ডিফেন্ডার কীভাবে আইনত একজন রানারকে শেষ অঞ্চলে পৌঁছাতে বাধা দিতে পারে?</v>
      </c>
      <c r="L44" s="4" t="str">
        <f>IFERROR(__xludf.DUMMYFUNCTION("GOOGLETRANSLATE(C44, ""en"", ""bn"")"),"ক) রেখা অতিক্রম করে, খ) দ্রুত গতিতে চলাফেরা করে, গ) পথ আটকে দিয়ে, ঘ) লুকিয়ে থেকে")</f>
        <v>ক) রেখা অতিক্রম করে, খ) দ্রুত গতিতে চলাফেরা করে, গ) পথ আটকে দিয়ে, ঘ) লুকিয়ে থেকে</v>
      </c>
      <c r="M44" s="4" t="str">
        <f>IFERROR(__xludf.DUMMYFUNCTION("GOOGLETRANSLATE(D44, ""en"", ""bn"")"),"গ) পথ অবরুদ্ধ করে")</f>
        <v>গ) পথ অবরুদ্ধ করে</v>
      </c>
      <c r="N44" s="4" t="str">
        <f>IFERROR(__xludf.DUMMYFUNCTION("GOOGLETRANSLATE(E44, ""en"", ""bn"")"),"ডিফেন্ডাররা গ্রিড থেকে না বেরিয়েই দৌড়বিদদের পথ আটকে আইনত বাধা দেয়।")</f>
        <v>ডিফেন্ডাররা গ্রিড থেকে না বেরিয়েই দৌড়বিদদের পথ আটকে আইনত বাধা দেয়।</v>
      </c>
    </row>
    <row r="45">
      <c r="A45" s="3">
        <v>44.0</v>
      </c>
      <c r="B45" s="3" t="s">
        <v>667</v>
      </c>
      <c r="C45" s="3" t="s">
        <v>668</v>
      </c>
      <c r="D45" s="3" t="s">
        <v>669</v>
      </c>
      <c r="E45" s="3" t="s">
        <v>670</v>
      </c>
      <c r="J45" s="4" t="str">
        <f>IFERROR(__xludf.DUMMYFUNCTION("GOOGLETRANSLATE(A45, ""en"", ""bn"")"),"৪৪")</f>
        <v>৪৪</v>
      </c>
      <c r="K45" s="4" t="str">
        <f>IFERROR(__xludf.DUMMYFUNCTION("GOOGLETRANSLATE(B45, ""en"", ""bn"")"),"দাড়িবান্ধায় কোন দক্ষতা সবচেয়ে কম গুরুত্বপূর্ণ?")</f>
        <v>দাড়িবান্ধায় কোন দক্ষতা সবচেয়ে কম গুরুত্বপূর্ণ?</v>
      </c>
      <c r="L45" s="4" t="str">
        <f>IFERROR(__xludf.DUMMYFUNCTION("GOOGLETRANSLATE(C45, ""en"", ""bn"")"),"ক) ধৈর্য, ​​খ) তত্পরতা, গ) নমনীয়তা, ঘ) লাফানো")</f>
        <v>ক) ধৈর্য, ​​খ) তত্পরতা, গ) নমনীয়তা, ঘ) লাফানো</v>
      </c>
      <c r="M45" s="4" t="str">
        <f>IFERROR(__xludf.DUMMYFUNCTION("GOOGLETRANSLATE(D45, ""en"", ""bn"")"),"ঘ) লাফানো")</f>
        <v>ঘ) লাফানো</v>
      </c>
      <c r="N45" s="4" t="str">
        <f>IFERROR(__xludf.DUMMYFUNCTION("GOOGLETRANSLATE(E45, ""en"", ""bn"")"),"তত্পরতা এবং সহনশীলতার তুলনায় দারিয়াবান্ধায় লাফ দেওয়ার প্রয়োজন খুব কমই।")</f>
        <v>তত্পরতা এবং সহনশীলতার তুলনায় দারিয়াবান্ধায় লাফ দেওয়ার প্রয়োজন খুব কমই।</v>
      </c>
    </row>
    <row r="46">
      <c r="A46" s="3">
        <v>45.0</v>
      </c>
      <c r="B46" s="3" t="s">
        <v>671</v>
      </c>
      <c r="C46" s="3" t="s">
        <v>672</v>
      </c>
      <c r="D46" s="3" t="s">
        <v>673</v>
      </c>
      <c r="E46" s="3" t="s">
        <v>674</v>
      </c>
      <c r="J46" s="4" t="str">
        <f>IFERROR(__xludf.DUMMYFUNCTION("GOOGLETRANSLATE(A46, ""en"", ""bn"")"),"৪৫")</f>
        <v>৪৫</v>
      </c>
      <c r="K46" s="4" t="str">
        <f>IFERROR(__xludf.DUMMYFUNCTION("GOOGLETRANSLATE(B46, ""en"", ""bn"")"),"দরিয়াবান্ধায় ধরা না পড়ে একজন দৌড়বিদ কতবার শেষ রেখায় পৌঁছাতে পারে?")</f>
        <v>দরিয়াবান্ধায় ধরা না পড়ে একজন দৌড়বিদ কতবার শেষ রেখায় পৌঁছাতে পারে?</v>
      </c>
      <c r="L46" s="4" t="str">
        <f>IFERROR(__xludf.DUMMYFUNCTION("GOOGLETRANSLATE(C46, ""en"", ""bn"")"),"ক) একবার, খ) দুবার, গ) তিনবার, ঘ) সীমাহীন")</f>
        <v>ক) একবার, খ) দুবার, গ) তিনবার, ঘ) সীমাহীন</v>
      </c>
      <c r="M46" s="4" t="str">
        <f>IFERROR(__xludf.DUMMYFUNCTION("GOOGLETRANSLATE(D46, ""en"", ""bn"")"),"ঘ) সীমাহীন")</f>
        <v>ঘ) সীমাহীন</v>
      </c>
      <c r="N46" s="4" t="str">
        <f>IFERROR(__xludf.DUMMYFUNCTION("GOOGLETRANSLATE(E46, ""en"", ""bn"")"),"দৌড়বিদরা যতবার ধরা এড়াতে পারে ততবার শেষ রেখায় পৌঁছাতে পারে।")</f>
        <v>দৌড়বিদরা যতবার ধরা এড়াতে পারে ততবার শেষ রেখায় পৌঁছাতে পারে।</v>
      </c>
    </row>
    <row r="47">
      <c r="A47" s="3">
        <v>46.0</v>
      </c>
      <c r="B47" s="3" t="s">
        <v>675</v>
      </c>
      <c r="C47" s="3" t="s">
        <v>676</v>
      </c>
      <c r="D47" s="3" t="s">
        <v>677</v>
      </c>
      <c r="E47" s="3" t="s">
        <v>678</v>
      </c>
      <c r="J47" s="4" t="str">
        <f>IFERROR(__xludf.DUMMYFUNCTION("GOOGLETRANSLATE(A47, ""en"", ""bn"")"),"৪৬")</f>
        <v>৪৬</v>
      </c>
      <c r="K47" s="4" t="str">
        <f>IFERROR(__xludf.DUMMYFUNCTION("GOOGLETRANSLATE(B47, ""en"", ""bn"")"),"দাড়িয়াবান্ধায় ডিফেন্ডারদের মনোযোগ আকর্ষণের জন্য রানাররা কী কৌশল অবলম্বন করতে পারে?")</f>
        <v>দাড়িয়াবান্ধায় ডিফেন্ডারদের মনোযোগ আকর্ষণের জন্য রানাররা কী কৌশল অবলম্বন করতে পারে?</v>
      </c>
      <c r="L47" s="4" t="str">
        <f>IFERROR(__xludf.DUMMYFUNCTION("GOOGLETRANSLATE(C47, ""en"", ""bn"")"),"ক) দলবদ্ধভাবে চলাফেরা করা, খ) চিৎকার করা, গ) বৃত্তাকারে দৌড়ানো, ঘ) স্থির থাকা")</f>
        <v>ক) দলবদ্ধভাবে চলাফেরা করা, খ) চিৎকার করা, গ) বৃত্তাকারে দৌড়ানো, ঘ) স্থির থাকা</v>
      </c>
      <c r="M47" s="4" t="str">
        <f>IFERROR(__xludf.DUMMYFUNCTION("GOOGLETRANSLATE(D47, ""en"", ""bn"")"),"ক) দলবদ্ধভাবে চলাফেরা")</f>
        <v>ক) দলবদ্ধভাবে চলাফেরা</v>
      </c>
      <c r="N47" s="4" t="str">
        <f>IFERROR(__xludf.DUMMYFUNCTION("GOOGLETRANSLATE(E47, ""en"", ""bn"")"),"দৌড়বিদরা ডিফেন্ডারদের বিভ্রান্ত করতে এবং খোলা জায়গা তৈরি করতে গ্রুপ মুভমেন্ট ব্যবহার করতে পারে।")</f>
        <v>দৌড়বিদরা ডিফেন্ডারদের বিভ্রান্ত করতে এবং খোলা জায়গা তৈরি করতে গ্রুপ মুভমেন্ট ব্যবহার করতে পারে।</v>
      </c>
    </row>
    <row r="48">
      <c r="A48" s="3">
        <v>47.0</v>
      </c>
      <c r="B48" s="3" t="s">
        <v>679</v>
      </c>
      <c r="C48" s="3" t="s">
        <v>680</v>
      </c>
      <c r="D48" s="3" t="s">
        <v>681</v>
      </c>
      <c r="E48" s="3" t="s">
        <v>682</v>
      </c>
      <c r="J48" s="4" t="str">
        <f>IFERROR(__xludf.DUMMYFUNCTION("GOOGLETRANSLATE(A48, ""en"", ""bn"")"),"৪৭")</f>
        <v>৪৭</v>
      </c>
      <c r="K48" s="4" t="str">
        <f>IFERROR(__xludf.DUMMYFUNCTION("GOOGLETRANSLATE(B48, ""en"", ""bn"")"),"দাড়িয়াবান্ধায় একজন ডিফেন্ডার কীভাবে বোনাস পান?")</f>
        <v>দাড়িয়াবান্ধায় একজন ডিফেন্ডার কীভাবে বোনাস পান?</v>
      </c>
      <c r="L48" s="4" t="str">
        <f>IFERROR(__xludf.DUMMYFUNCTION("GOOGLETRANSLATE(C48, ""en"", ""bn"")"),"ক) একাধিক দৌড়বিদকে ধরে, খ) একটি শেষ অঞ্চল ব্লক করে, গ) শুরুর লাইনে পৌঁছানোর মাধ্যমে, ঘ) একা স্কোর করার মাধ্যমে")</f>
        <v>ক) একাধিক দৌড়বিদকে ধরে, খ) একটি শেষ অঞ্চল ব্লক করে, গ) শুরুর লাইনে পৌঁছানোর মাধ্যমে, ঘ) একা স্কোর করার মাধ্যমে</v>
      </c>
      <c r="M48" s="4" t="str">
        <f>IFERROR(__xludf.DUMMYFUNCTION("GOOGLETRANSLATE(D48, ""en"", ""bn"")"),"ক) একাধিক দৌড়বিদকে ধরে")</f>
        <v>ক) একাধিক দৌড়বিদকে ধরে</v>
      </c>
      <c r="N48" s="4" t="str">
        <f>IFERROR(__xludf.DUMMYFUNCTION("GOOGLETRANSLATE(E48, ""en"", ""bn"")"),"দ্রুত পরপর একাধিক রানারকে ধরা প্রায়শই ডিফেন্ডারদের বোনাস দেয়।")</f>
        <v>দ্রুত পরপর একাধিক রানারকে ধরা প্রায়শই ডিফেন্ডারদের বোনাস দেয়।</v>
      </c>
    </row>
    <row r="49">
      <c r="A49" s="3">
        <v>48.0</v>
      </c>
      <c r="B49" s="3" t="s">
        <v>683</v>
      </c>
      <c r="C49" s="3" t="s">
        <v>684</v>
      </c>
      <c r="D49" s="3" t="s">
        <v>685</v>
      </c>
      <c r="E49" s="3" t="s">
        <v>686</v>
      </c>
      <c r="J49" s="4" t="str">
        <f>IFERROR(__xludf.DUMMYFUNCTION("GOOGLETRANSLATE(A49, ""en"", ""bn"")"),"৪৮")</f>
        <v>৪৮</v>
      </c>
      <c r="K49" s="4" t="str">
        <f>IFERROR(__xludf.DUMMYFUNCTION("GOOGLETRANSLATE(B49, ""en"", ""bn"")"),"দাড়িয়াবান্ধায় ডিফেন্ডিং টিম কোনটির উপর সবচেয়ে বেশি নির্ভর করে?")</f>
        <v>দাড়িয়াবান্ধায় ডিফেন্ডিং টিম কোনটির উপর সবচেয়ে বেশি নির্ভর করে?</v>
      </c>
      <c r="L49" s="4" t="str">
        <f>IFERROR(__xludf.DUMMYFUNCTION("GOOGLETRANSLATE(C49, ""en"", ""bn"")"),"ক) গতি, খ) ব্লকিং, গ) তত্পরতা, ঘ) দলবদ্ধ কাজ")</f>
        <v>ক) গতি, খ) ব্লকিং, গ) তত্পরতা, ঘ) দলবদ্ধ কাজ</v>
      </c>
      <c r="M49" s="4" t="str">
        <f>IFERROR(__xludf.DUMMYFUNCTION("GOOGLETRANSLATE(D49, ""en"", ""bn"")"),"ঘ) দলবদ্ধভাবে কাজ করা")</f>
        <v>ঘ) দলবদ্ধভাবে কাজ করা</v>
      </c>
      <c r="N49" s="4" t="str">
        <f>IFERROR(__xludf.DUMMYFUNCTION("GOOGLETRANSLATE(E49, ""en"", ""bn"")"),"গ্রিড কভার করতে এবং রানারদের ধরতে ডিফেন্ডারদের জন্য কার্যকর টিমওয়ার্ক অত্যন্ত গুরুত্বপূর্ণ।")</f>
        <v>গ্রিড কভার করতে এবং রানারদের ধরতে ডিফেন্ডারদের জন্য কার্যকর টিমওয়ার্ক অত্যন্ত গুরুত্বপূর্ণ।</v>
      </c>
    </row>
    <row r="50">
      <c r="A50" s="3">
        <v>49.0</v>
      </c>
      <c r="B50" s="3" t="s">
        <v>687</v>
      </c>
      <c r="C50" s="3" t="s">
        <v>688</v>
      </c>
      <c r="D50" s="3" t="s">
        <v>689</v>
      </c>
      <c r="E50" s="3" t="s">
        <v>690</v>
      </c>
      <c r="J50" s="4" t="str">
        <f>IFERROR(__xludf.DUMMYFUNCTION("GOOGLETRANSLATE(A50, ""en"", ""bn"")"),"৪৯")</f>
        <v>৪৯</v>
      </c>
      <c r="K50" s="4" t="str">
        <f>IFERROR(__xludf.DUMMYFUNCTION("GOOGLETRANSLATE(B50, ""en"", ""bn"")"),"দারিয়াবান্ধায় ধরা পড়ার পর একজন দৌড়ায় কীভাবে আবার খেলায় প্রবেশ করতে পারে?")</f>
        <v>দারিয়াবান্ধায় ধরা পড়ার পর একজন দৌড়ায় কীভাবে আবার খেলায় প্রবেশ করতে পারে?</v>
      </c>
      <c r="L50" s="4" t="str">
        <f>IFERROR(__xludf.DUMMYFUNCTION("GOOGLETRANSLATE(C50, ""en"", ""bn"")"),"ক) একটি বিন্দু অর্জন করে, খ) একটি রেখা অতিক্রম করে, গ) তারা পারে না, ঘ) শেষ রেখায় পৌঁছানোর মাধ্যমে")</f>
        <v>ক) একটি বিন্দু অর্জন করে, খ) একটি রেখা অতিক্রম করে, গ) তারা পারে না, ঘ) শেষ রেখায় পৌঁছানোর মাধ্যমে</v>
      </c>
      <c r="M50" s="4" t="str">
        <f>IFERROR(__xludf.DUMMYFUNCTION("GOOGLETRANSLATE(D50, ""en"", ""bn"")"),"গ) তারা পারবে না")</f>
        <v>গ) তারা পারবে না</v>
      </c>
      <c r="N50" s="4" t="str">
        <f>IFERROR(__xludf.DUMMYFUNCTION("GOOGLETRANSLATE(E50, ""en"", ""bn"")"),"একবার ধরা পড়লে, দৌড়বিদরা পরবর্তী রাউন্ড পর্যন্ত পুনরায় প্রবেশ করতে পারবেন না।")</f>
        <v>একবার ধরা পড়লে, দৌড়বিদরা পরবর্তী রাউন্ড পর্যন্ত পুনরায় প্রবেশ করতে পারবেন না।</v>
      </c>
    </row>
    <row r="51">
      <c r="A51" s="3">
        <v>50.0</v>
      </c>
      <c r="B51" s="3" t="s">
        <v>691</v>
      </c>
      <c r="C51" s="3" t="s">
        <v>692</v>
      </c>
      <c r="D51" s="3" t="s">
        <v>693</v>
      </c>
      <c r="E51" s="3" t="s">
        <v>694</v>
      </c>
      <c r="J51" s="4" t="str">
        <f>IFERROR(__xludf.DUMMYFUNCTION("GOOGLETRANSLATE(A51, ""en"", ""bn"")"),"৫০")</f>
        <v>৫০</v>
      </c>
      <c r="K51" s="4" t="str">
        <f>IFERROR(__xludf.DUMMYFUNCTION("GOOGLETRANSLATE(B51, ""en"", ""bn"")"),"দাড়িবান্ধায় কোন কোন কাজ অনুমোদিত?")</f>
        <v>দাড়িবান্ধায় কোন কোন কাজ অনুমোদিত?</v>
      </c>
      <c r="L51" s="4" t="str">
        <f>IFERROR(__xludf.DUMMYFUNCTION("GOOGLETRANSLATE(C51, ""en"", ""bn"")"),"ক) প্রতিপক্ষকে স্পর্শ করা, খ) রেখা অতিক্রম করা, গ) সীমানার বাইরে দৌড়ানো, ঘ) রক্ষণভাগ এড়িয়ে যাওয়া")</f>
        <v>ক) প্রতিপক্ষকে স্পর্শ করা, খ) রেখা অতিক্রম করা, গ) সীমানার বাইরে দৌড়ানো, ঘ) রক্ষণভাগ এড়িয়ে যাওয়া</v>
      </c>
      <c r="M51" s="4" t="str">
        <f>IFERROR(__xludf.DUMMYFUNCTION("GOOGLETRANSLATE(D51, ""en"", ""bn"")"),"ঘ) এড়িয়ে যাওয়া রক্ষকরা")</f>
        <v>ঘ) এড়িয়ে যাওয়া রক্ষকরা</v>
      </c>
      <c r="N51" s="4" t="str">
        <f>IFERROR(__xludf.DUMMYFUNCTION("GOOGLETRANSLATE(E51, ""en"", ""bn"")"),"দাড়িয়াবান্ধার দৌড়বিদদের জন্য ডিফেন্ডারদের এড়িয়ে চলা একটি আইনি এবং অপরিহার্য পদক্ষেপ।")</f>
        <v>দাড়িয়াবান্ধার দৌড়বিদদের জন্য ডিফেন্ডারদের এড়িয়ে চলা একটি আইনি এবং অপরিহার্য পদক্ষেপ।</v>
      </c>
    </row>
    <row r="52">
      <c r="A52" s="3">
        <v>51.0</v>
      </c>
      <c r="B52" s="3" t="s">
        <v>695</v>
      </c>
      <c r="C52" s="3" t="s">
        <v>696</v>
      </c>
      <c r="D52" s="3" t="s">
        <v>697</v>
      </c>
      <c r="E52" s="3" t="s">
        <v>698</v>
      </c>
      <c r="J52" s="4" t="str">
        <f>IFERROR(__xludf.DUMMYFUNCTION("GOOGLETRANSLATE(A52, ""en"", ""bn"")"),"৫১")</f>
        <v>৫১</v>
      </c>
      <c r="K52" s="4" t="str">
        <f>IFERROR(__xludf.DUMMYFUNCTION("GOOGLETRANSLATE(B52, ""en"", ""bn"")"),"যদি একজন রানার একাধিক ডিফেন্ডারকে অতিক্রম করে তাহলে কী হবে?")</f>
        <v>যদি একজন রানার একাধিক ডিফেন্ডারকে অতিক্রম করে তাহলে কী হবে?</v>
      </c>
      <c r="L52" s="4" t="str">
        <f>IFERROR(__xludf.DUMMYFUNCTION("GOOGLETRANSLATE(C52, ""en"", ""bn"")"),"ক) খেলা পুনরায় শুরু হয়, খ) পয়েন্ট পাওয়া যায়, গ) রানার আউট হয়, ঘ) রানার অতিরিক্ত সময় পায়")</f>
        <v>ক) খেলা পুনরায় শুরু হয়, খ) পয়েন্ট পাওয়া যায়, গ) রানার আউট হয়, ঘ) রানার অতিরিক্ত সময় পায়</v>
      </c>
      <c r="M52" s="4" t="str">
        <f>IFERROR(__xludf.DUMMYFUNCTION("GOOGLETRANSLATE(D52, ""en"", ""bn"")"),"খ) পয়েন্ট স্কোর করা হয়")</f>
        <v>খ) পয়েন্ট স্কোর করা হয়</v>
      </c>
      <c r="N52" s="4" t="str">
        <f>IFERROR(__xludf.DUMMYFUNCTION("GOOGLETRANSLATE(E52, ""en"", ""bn"")"),"একাধিক ডিফেন্ডারকে সফলভাবে অতিক্রম করলে রানাররা অতিরিক্ত পয়েন্ট অর্জন করে।")</f>
        <v>একাধিক ডিফেন্ডারকে সফলভাবে অতিক্রম করলে রানাররা অতিরিক্ত পয়েন্ট অর্জন করে।</v>
      </c>
    </row>
    <row r="53">
      <c r="A53" s="3">
        <v>52.0</v>
      </c>
      <c r="B53" s="3" t="s">
        <v>699</v>
      </c>
      <c r="C53" s="3" t="s">
        <v>700</v>
      </c>
      <c r="D53" s="3" t="s">
        <v>701</v>
      </c>
      <c r="E53" s="3" t="s">
        <v>702</v>
      </c>
      <c r="J53" s="4" t="str">
        <f>IFERROR(__xludf.DUMMYFUNCTION("GOOGLETRANSLATE(A53, ""en"", ""bn"")"),"৫২")</f>
        <v>৫২</v>
      </c>
      <c r="K53" s="4" t="str">
        <f>IFERROR(__xludf.DUMMYFUNCTION("GOOGLETRANSLATE(B53, ""en"", ""bn"")"),"দাড়িয়াবান্ধার দৌড়বিদদের প্রাথমিক লক্ষ্য কী?")</f>
        <v>দাড়িয়াবান্ধার দৌড়বিদদের প্রাথমিক লক্ষ্য কী?</v>
      </c>
      <c r="L53" s="4" t="str">
        <f>IFERROR(__xludf.DUMMYFUNCTION("GOOGLETRANSLATE(C53, ""en"", ""bn"")"),"ক) ডিফেন্ডারদের এড়িয়ে যাওয়া, খ) গোল করা, গ) সেন্টার লাইনে পৌঁছানো, ঘ) এক জায়গায় থাকা")</f>
        <v>ক) ডিফেন্ডারদের এড়িয়ে যাওয়া, খ) গোল করা, গ) সেন্টার লাইনে পৌঁছানো, ঘ) এক জায়গায় থাকা</v>
      </c>
      <c r="M53" s="4" t="str">
        <f>IFERROR(__xludf.DUMMYFUNCTION("GOOGLETRANSLATE(D53, ""en"", ""bn"")"),"ক) রক্ষকদের এড়িয়ে চলুন")</f>
        <v>ক) রক্ষকদের এড়িয়ে চলুন</v>
      </c>
      <c r="N53" s="4" t="str">
        <f>IFERROR(__xludf.DUMMYFUNCTION("GOOGLETRANSLATE(E53, ""en"", ""bn"")"),"রানারদের মূল লক্ষ্য হল গ্রিড জুড়ে চলার সময় ডিফেন্ডারদের এড়িয়ে চলা।")</f>
        <v>রানারদের মূল লক্ষ্য হল গ্রিড জুড়ে চলার সময় ডিফেন্ডারদের এড়িয়ে চলা।</v>
      </c>
    </row>
    <row r="54">
      <c r="A54" s="3">
        <v>53.0</v>
      </c>
      <c r="B54" s="3" t="s">
        <v>703</v>
      </c>
      <c r="C54" s="3" t="s">
        <v>328</v>
      </c>
      <c r="D54" s="3" t="s">
        <v>281</v>
      </c>
      <c r="E54" s="3" t="s">
        <v>704</v>
      </c>
      <c r="J54" s="4" t="str">
        <f>IFERROR(__xludf.DUMMYFUNCTION("GOOGLETRANSLATE(A54, ""en"", ""bn"")"),"৫৩")</f>
        <v>৫৩</v>
      </c>
      <c r="K54" s="4" t="str">
        <f>IFERROR(__xludf.DUMMYFUNCTION("GOOGLETRANSLATE(B54, ""en"", ""bn"")"),"দাড়িয়াবান্ধায় একই লাইনে কয়জন ডিফেন্ডারকে খেলতে দেওয়া হয়?")</f>
        <v>দাড়িয়াবান্ধায় একই লাইনে কয়জন ডিফেন্ডারকে খেলতে দেওয়া হয়?</v>
      </c>
      <c r="L54" s="4" t="str">
        <f>IFERROR(__xludf.DUMMYFUNCTION("GOOGLETRANSLATE(C54, ""en"", ""bn"")"),"ক) এক, খ) দুই, গ) তিন, ঘ) সীমাহীন")</f>
        <v>ক) এক, খ) দুই, গ) তিন, ঘ) সীমাহীন</v>
      </c>
      <c r="M54" s="4" t="str">
        <f>IFERROR(__xludf.DUMMYFUNCTION("GOOGLETRANSLATE(D54, ""en"", ""bn"")"),"ক) এক")</f>
        <v>ক) এক</v>
      </c>
      <c r="N54" s="4" t="str">
        <f>IFERROR(__xludf.DUMMYFUNCTION("GOOGLETRANSLATE(E54, ""en"", ""bn"")"),"দৌড়বিদদের জন্য ন্যায্য খেলা এবং চলাচল নিশ্চিত করার জন্য প্রতি লাইনে কেবল একজন ডিফেন্ডারকে খেলার অনুমতি দেওয়া হয়।")</f>
        <v>দৌড়বিদদের জন্য ন্যায্য খেলা এবং চলাচল নিশ্চিত করার জন্য প্রতি লাইনে কেবল একজন ডিফেন্ডারকে খেলার অনুমতি দেওয়া হয়।</v>
      </c>
    </row>
    <row r="55">
      <c r="A55" s="3">
        <v>54.0</v>
      </c>
      <c r="B55" s="3" t="s">
        <v>705</v>
      </c>
      <c r="C55" s="3" t="s">
        <v>706</v>
      </c>
      <c r="D55" s="3" t="s">
        <v>707</v>
      </c>
      <c r="E55" s="3" t="s">
        <v>708</v>
      </c>
      <c r="J55" s="4" t="str">
        <f>IFERROR(__xludf.DUMMYFUNCTION("GOOGLETRANSLATE(A55, ""en"", ""bn"")"),"৫৪")</f>
        <v>৫৪</v>
      </c>
      <c r="K55" s="4" t="str">
        <f>IFERROR(__xludf.DUMMYFUNCTION("GOOGLETRANSLATE(B55, ""en"", ""bn"")"),"অবস্থানে থাকাকালীন ডিফেন্ডারদের জন্য কোন কাজ নিষিদ্ধ?")</f>
        <v>অবস্থানে থাকাকালীন ডিফেন্ডারদের জন্য কোন কাজ নিষিদ্ধ?</v>
      </c>
      <c r="L55" s="4" t="str">
        <f>IFERROR(__xludf.DUMMYFUNCTION("GOOGLETRANSLATE(C55, ""en"", ""bn"")"),"ক) পাশে সরে যাওয়া, খ) স্থির থাকা, গ) রেখা অতিক্রম করা, ঘ) দৌড়বিদদের বাধা দেওয়া")</f>
        <v>ক) পাশে সরে যাওয়া, খ) স্থির থাকা, গ) রেখা অতিক্রম করা, ঘ) দৌড়বিদদের বাধা দেওয়া</v>
      </c>
      <c r="M55" s="4" t="str">
        <f>IFERROR(__xludf.DUMMYFUNCTION("GOOGLETRANSLATE(D55, ""en"", ""bn"")"),"গ) সীমানা অতিক্রম করা")</f>
        <v>গ) সীমানা অতিক্রম করা</v>
      </c>
      <c r="N55" s="4" t="str">
        <f>IFERROR(__xludf.DUMMYFUNCTION("GOOGLETRANSLATE(E55, ""en"", ""bn"")"),"ডিফেন্ডারদের অবশ্যই তাদের নির্ধারিত লাইনে থাকতে হবে এবং অন্যদের মধ্যে প্রবেশ করতে পারবে না।")</f>
        <v>ডিফেন্ডারদের অবশ্যই তাদের নির্ধারিত লাইনে থাকতে হবে এবং অন্যদের মধ্যে প্রবেশ করতে পারবে না।</v>
      </c>
    </row>
    <row r="56">
      <c r="A56" s="3">
        <v>55.0</v>
      </c>
      <c r="B56" s="3" t="s">
        <v>709</v>
      </c>
      <c r="C56" s="3" t="s">
        <v>710</v>
      </c>
      <c r="D56" s="3" t="s">
        <v>618</v>
      </c>
      <c r="E56" s="3" t="s">
        <v>711</v>
      </c>
      <c r="J56" s="4" t="str">
        <f>IFERROR(__xludf.DUMMYFUNCTION("GOOGLETRANSLATE(A56, ""en"", ""bn"")"),"৫৫")</f>
        <v>৫৫</v>
      </c>
      <c r="K56" s="4" t="str">
        <f>IFERROR(__xludf.DUMMYFUNCTION("GOOGLETRANSLATE(B56, ""en"", ""bn"")"),"যদি একজন রানারকে একজন ডিফেন্ডার ট্যাগ করে, তাহলে কী হবে?")</f>
        <v>যদি একজন রানারকে একজন ডিফেন্ডার ট্যাগ করে, তাহলে কী হবে?</v>
      </c>
      <c r="L56" s="4" t="str">
        <f>IFERROR(__xludf.DUMMYFUNCTION("GOOGLETRANSLATE(C56, ""en"", ""bn"")"),"ক) রানার একটি পয়েন্ট পেয়েছে, খ) রানার আউট হয়েছে, গ) ডিফেন্ডার একটি পয়েন্ট পেয়েছে, ঘ) খেলা রিসেট করেছে")</f>
        <v>ক) রানার একটি পয়েন্ট পেয়েছে, খ) রানার আউট হয়েছে, গ) ডিফেন্ডার একটি পয়েন্ট পেয়েছে, ঘ) খেলা রিসেট করেছে</v>
      </c>
      <c r="M56" s="4" t="str">
        <f>IFERROR(__xludf.DUMMYFUNCTION("GOOGLETRANSLATE(D56, ""en"", ""bn"")"),"খ) রানার আউট হয়ে গেছে")</f>
        <v>খ) রানার আউট হয়ে গেছে</v>
      </c>
      <c r="N56" s="4" t="str">
        <f>IFERROR(__xludf.DUMMYFUNCTION("GOOGLETRANSLATE(E56, ""en"", ""bn"")"),"যখন একজন রানারকে ট্যাগ করা হয়, তখন তাকে বাকি রাউন্ডের জন্য 'আউট' বলে বিবেচনা করা হয়।")</f>
        <v>যখন একজন রানারকে ট্যাগ করা হয়, তখন তাকে বাকি রাউন্ডের জন্য 'আউট' বলে বিবেচনা করা হয়।</v>
      </c>
    </row>
    <row r="57">
      <c r="A57" s="3">
        <v>56.0</v>
      </c>
      <c r="B57" s="3" t="s">
        <v>712</v>
      </c>
      <c r="C57" s="3" t="s">
        <v>713</v>
      </c>
      <c r="D57" s="3" t="s">
        <v>714</v>
      </c>
      <c r="E57" s="3" t="s">
        <v>715</v>
      </c>
      <c r="J57" s="4" t="str">
        <f>IFERROR(__xludf.DUMMYFUNCTION("GOOGLETRANSLATE(A57, ""en"", ""bn"")"),"৫৬")</f>
        <v>৫৬</v>
      </c>
      <c r="K57" s="4" t="str">
        <f>IFERROR(__xludf.DUMMYFUNCTION("GOOGLETRANSLATE(B57, ""en"", ""bn"")"),"দাড়িয়াবান্ধায় একটি দল কীভাবে জয়লাভ করে?")</f>
        <v>দাড়িয়াবান্ধায় একটি দল কীভাবে জয়লাভ করে?</v>
      </c>
      <c r="L57" s="4" t="str">
        <f>IFERROR(__xludf.DUMMYFUNCTION("GOOGLETRANSLATE(C57, ""en"", ""bn"")"),"ক) ডিফেন্ডারদের বাদ দিয়ে, খ) সর্বাধিক পয়েন্ট অর্জন করে, গ) মাঠ দখল করে, ঘ) সমস্ত রানারকে ট্যাগ করে")</f>
        <v>ক) ডিফেন্ডারদের বাদ দিয়ে, খ) সর্বাধিক পয়েন্ট অর্জন করে, গ) মাঠ দখল করে, ঘ) সমস্ত রানারকে ট্যাগ করে</v>
      </c>
      <c r="M57" s="4" t="str">
        <f>IFERROR(__xludf.DUMMYFUNCTION("GOOGLETRANSLATE(D57, ""en"", ""bn"")"),"খ) সর্বাধিক পয়েন্ট অর্জন করে")</f>
        <v>খ) সর্বাধিক পয়েন্ট অর্জন করে</v>
      </c>
      <c r="N57" s="4" t="str">
        <f>IFERROR(__xludf.DUMMYFUNCTION("GOOGLETRANSLATE(E57, ""en"", ""bn"")"),"খেলা শেষে সর্বোচ্চ স্কোরকারী দলটি জয়ী হয়।")</f>
        <v>খেলা শেষে সর্বোচ্চ স্কোরকারী দলটি জয়ী হয়।</v>
      </c>
    </row>
    <row r="58">
      <c r="A58" s="3">
        <v>57.0</v>
      </c>
      <c r="B58" s="3" t="s">
        <v>716</v>
      </c>
      <c r="C58" s="3" t="s">
        <v>717</v>
      </c>
      <c r="D58" s="3" t="s">
        <v>718</v>
      </c>
      <c r="E58" s="3" t="s">
        <v>719</v>
      </c>
      <c r="J58" s="4" t="str">
        <f>IFERROR(__xludf.DUMMYFUNCTION("GOOGLETRANSLATE(A58, ""en"", ""bn"")"),"৫৭")</f>
        <v>৫৭</v>
      </c>
      <c r="K58" s="4" t="str">
        <f>IFERROR(__xludf.DUMMYFUNCTION("GOOGLETRANSLATE(B58, ""en"", ""bn"")"),"দাড়িয়াবান্ধায় ডিফেন্ডিং দলের মূল ভূমিকা কী?")</f>
        <v>দাড়িয়াবান্ধায় ডিফেন্ডিং দলের মূল ভূমিকা কী?</v>
      </c>
      <c r="L58" s="4" t="str">
        <f>IFERROR(__xludf.DUMMYFUNCTION("GOOGLETRANSLATE(C58, ""en"", ""bn"")"),"ক) দৌড়বিদদের তাড়া করা, খ) পথ আটকানো, গ) শেষ অঞ্চল দখল করা, ঘ) অবস্থান পরিবর্তন করা")</f>
        <v>ক) দৌড়বিদদের তাড়া করা, খ) পথ আটকানো, গ) শেষ অঞ্চল দখল করা, ঘ) অবস্থান পরিবর্তন করা</v>
      </c>
      <c r="M58" s="4" t="str">
        <f>IFERROR(__xludf.DUMMYFUNCTION("GOOGLETRANSLATE(D58, ""en"", ""bn"")"),"খ) পথ বন্ধ করা")</f>
        <v>খ) পথ বন্ধ করা</v>
      </c>
      <c r="N58" s="4" t="str">
        <f>IFERROR(__xludf.DUMMYFUNCTION("GOOGLETRANSLATE(E58, ""en"", ""bn"")"),"ডিফেন্ডাররা রানারদের গ্রিড অতিক্রম করতে বাধা দেওয়ার জন্য পথ আটকানোর উপর মনোযোগ দেয়।")</f>
        <v>ডিফেন্ডাররা রানারদের গ্রিড অতিক্রম করতে বাধা দেওয়ার জন্য পথ আটকানোর উপর মনোযোগ দেয়।</v>
      </c>
    </row>
    <row r="59">
      <c r="A59" s="3">
        <v>58.0</v>
      </c>
      <c r="B59" s="3" t="s">
        <v>720</v>
      </c>
      <c r="C59" s="3" t="s">
        <v>721</v>
      </c>
      <c r="D59" s="3" t="s">
        <v>722</v>
      </c>
      <c r="E59" s="3" t="s">
        <v>723</v>
      </c>
      <c r="J59" s="4" t="str">
        <f>IFERROR(__xludf.DUMMYFUNCTION("GOOGLETRANSLATE(A59, ""en"", ""bn"")"),"৫৮")</f>
        <v>৫৮</v>
      </c>
      <c r="K59" s="4" t="str">
        <f>IFERROR(__xludf.DUMMYFUNCTION("GOOGLETRANSLATE(B59, ""en"", ""bn"")"),"দরিয়াবান্ধায় সফল হওয়ার জন্য দৌড়বিদদের কোন দক্ষতা অত্যন্ত গুরুত্বপূর্ণ?")</f>
        <v>দরিয়াবান্ধায় সফল হওয়ার জন্য দৌড়বিদদের কোন দক্ষতা অত্যন্ত গুরুত্বপূর্ণ?</v>
      </c>
      <c r="L59" s="4" t="str">
        <f>IFERROR(__xludf.DUMMYFUNCTION("GOOGLETRANSLATE(C59, ""en"", ""bn"")"),"ক) লাফানো, খ) নমনীয়তা, গ) তত্পরতা, ঘ) শক্তি")</f>
        <v>ক) লাফানো, খ) নমনীয়তা, গ) তত্পরতা, ঘ) শক্তি</v>
      </c>
      <c r="M59" s="4" t="str">
        <f>IFERROR(__xludf.DUMMYFUNCTION("GOOGLETRANSLATE(D59, ""en"", ""bn"")"),"গ) তত্পরতা")</f>
        <v>গ) তত্পরতা</v>
      </c>
      <c r="N59" s="4" t="str">
        <f>IFERROR(__xludf.DUMMYFUNCTION("GOOGLETRANSLATE(E59, ""en"", ""bn"")"),"ডিফেন্ডারদের দ্রুত এড়িয়ে গ্রিডে নেভিগেট করার জন্য দৌড়বিদদের জন্য তত্পরতা অপরিহার্য।")</f>
        <v>ডিফেন্ডারদের দ্রুত এড়িয়ে গ্রিডে নেভিগেট করার জন্য দৌড়বিদদের জন্য তত্পরতা অপরিহার্য।</v>
      </c>
    </row>
    <row r="60">
      <c r="A60" s="3">
        <v>59.0</v>
      </c>
      <c r="B60" s="3" t="s">
        <v>724</v>
      </c>
      <c r="C60" s="3" t="s">
        <v>725</v>
      </c>
      <c r="D60" s="3" t="s">
        <v>726</v>
      </c>
      <c r="E60" s="3" t="s">
        <v>727</v>
      </c>
      <c r="J60" s="4" t="str">
        <f>IFERROR(__xludf.DUMMYFUNCTION("GOOGLETRANSLATE(A60, ""en"", ""bn"")"),"৫৯")</f>
        <v>৫৯</v>
      </c>
      <c r="K60" s="4" t="str">
        <f>IFERROR(__xludf.DUMMYFUNCTION("GOOGLETRANSLATE(B60, ""en"", ""bn"")"),"যদি একজন দৌড়বিদ ট্যাগ না করেই শেষ অঞ্চলে পৌঁছায় তাহলে কী হবে?")</f>
        <v>যদি একজন দৌড়বিদ ট্যাগ না করেই শেষ অঞ্চলে পৌঁছায় তাহলে কী হবে?</v>
      </c>
      <c r="L60" s="4" t="str">
        <f>IFERROR(__xludf.DUMMYFUNCTION("GOOGLETRANSLATE(C60, ""en"", ""bn"")"),"ক) তারা দল বদল করে, খ) তারা একটি পয়েন্ট অর্জন করে, গ) খেলা বিরতি দেয়, ঘ) ডিফেন্ডার বাইরে থাকে")</f>
        <v>ক) তারা দল বদল করে, খ) তারা একটি পয়েন্ট অর্জন করে, গ) খেলা বিরতি দেয়, ঘ) ডিফেন্ডার বাইরে থাকে</v>
      </c>
      <c r="M60" s="4" t="str">
        <f>IFERROR(__xludf.DUMMYFUNCTION("GOOGLETRANSLATE(D60, ""en"", ""bn"")"),"খ) তারা একটি পয়েন্ট অর্জন করে")</f>
        <v>খ) তারা একটি পয়েন্ট অর্জন করে</v>
      </c>
      <c r="N60" s="4" t="str">
        <f>IFERROR(__xludf.DUMMYFUNCTION("GOOGLETRANSLATE(E60, ""en"", ""bn"")"),"ট্যাগ না করেই শেষ অঞ্চলে পৌঁছালে রানারের দল একটি পয়েন্ট অর্জন করে।")</f>
        <v>ট্যাগ না করেই শেষ অঞ্চলে পৌঁছালে রানারের দল একটি পয়েন্ট অর্জন করে।</v>
      </c>
    </row>
    <row r="61">
      <c r="A61" s="3">
        <v>60.0</v>
      </c>
      <c r="B61" s="3" t="s">
        <v>728</v>
      </c>
      <c r="C61" s="3" t="s">
        <v>729</v>
      </c>
      <c r="D61" s="3" t="s">
        <v>730</v>
      </c>
      <c r="E61" s="3" t="s">
        <v>731</v>
      </c>
      <c r="J61" s="4" t="str">
        <f>IFERROR(__xludf.DUMMYFUNCTION("GOOGLETRANSLATE(A61, ""en"", ""bn"")"),"৬০")</f>
        <v>৬০</v>
      </c>
      <c r="K61" s="4" t="str">
        <f>IFERROR(__xludf.DUMMYFUNCTION("GOOGLETRANSLATE(B61, ""en"", ""bn"")"),"দাড়িবান্ধায়, রক্ষকদের জন্য সাধারণত কোন চলাচল নিষিদ্ধ?")</f>
        <v>দাড়িবান্ধায়, রক্ষকদের জন্য সাধারণত কোন চলাচল নিষিদ্ধ?</v>
      </c>
      <c r="L61" s="4" t="str">
        <f>IFERROR(__xludf.DUMMYFUNCTION("GOOGLETRANSLATE(C61, ""en"", ""bn"")"),"ক) সামনের দিকে, খ) পিছনের দিকে, গ) তির্যক দিকে, ঘ) উল্লম্ব দিকে")</f>
        <v>ক) সামনের দিকে, খ) পিছনের দিকে, গ) তির্যক দিকে, ঘ) উল্লম্ব দিকে</v>
      </c>
      <c r="M61" s="4" t="str">
        <f>IFERROR(__xludf.DUMMYFUNCTION("GOOGLETRANSLATE(D61, ""en"", ""bn"")"),"গ) তির্যক")</f>
        <v>গ) তির্যক</v>
      </c>
      <c r="N61" s="4" t="str">
        <f>IFERROR(__xludf.DUMMYFUNCTION("GOOGLETRANSLATE(E61, ""en"", ""bn"")"),"ডিফেন্ডাররা সাধারণত তির্যকভাবে নড়াচড়া করতে পারে না, তাদের নড়াচড়ার বিকল্প সীমিত করে।")</f>
        <v>ডিফেন্ডাররা সাধারণত তির্যকভাবে নড়াচড়া করতে পারে না, তাদের নড়াচড়ার বিকল্প সীমিত করে।</v>
      </c>
    </row>
    <row r="62">
      <c r="A62" s="3">
        <v>61.0</v>
      </c>
      <c r="B62" s="3" t="s">
        <v>732</v>
      </c>
      <c r="C62" s="3" t="s">
        <v>733</v>
      </c>
      <c r="D62" s="3" t="s">
        <v>566</v>
      </c>
      <c r="E62" s="3" t="s">
        <v>734</v>
      </c>
      <c r="J62" s="4" t="str">
        <f>IFERROR(__xludf.DUMMYFUNCTION("GOOGLETRANSLATE(A62, ""en"", ""bn"")"),"৬১")</f>
        <v>৬১</v>
      </c>
      <c r="K62" s="4" t="str">
        <f>IFERROR(__xludf.DUMMYFUNCTION("GOOGLETRANSLATE(B62, ""en"", ""bn"")"),"দাড়িয়াবান্ধায় গ্রিডের এক সারিতে সর্বোচ্চ কত সংখ্যক ডিফেন্ডার রাখা যাবে?")</f>
        <v>দাড়িয়াবান্ধায় গ্রিডের এক সারিতে সর্বোচ্চ কত সংখ্যক ডিফেন্ডার রাখা যাবে?</v>
      </c>
      <c r="L62" s="4" t="str">
        <f>IFERROR(__xludf.DUMMYFUNCTION("GOOGLETRANSLATE(C62, ""en"", ""bn"")"),"ক) ১, খ) ২, গ) ৩, ঘ) সীমাহীন")</f>
        <v>ক) ১, খ) ২, গ) ৩, ঘ) সীমাহীন</v>
      </c>
      <c r="M62" s="4" t="str">
        <f>IFERROR(__xludf.DUMMYFUNCTION("GOOGLETRANSLATE(D62, ""en"", ""bn"")"),"ক) ১")</f>
        <v>ক) ১</v>
      </c>
      <c r="N62" s="4" t="str">
        <f>IFERROR(__xludf.DUMMYFUNCTION("GOOGLETRANSLATE(E62, ""en"", ""bn"")"),"সুষ্ঠু খেলা বজায় রাখার জন্য শুধুমাত্র একজন ডিফেন্ডার এক সারিতে খেলতে পারবেন।")</f>
        <v>সুষ্ঠু খেলা বজায় রাখার জন্য শুধুমাত্র একজন ডিফেন্ডার এক সারিতে খেলতে পারবেন।</v>
      </c>
    </row>
    <row r="63">
      <c r="A63" s="3">
        <v>62.0</v>
      </c>
      <c r="B63" s="3" t="s">
        <v>735</v>
      </c>
      <c r="C63" s="3" t="s">
        <v>736</v>
      </c>
      <c r="D63" s="3" t="s">
        <v>737</v>
      </c>
      <c r="E63" s="3" t="s">
        <v>738</v>
      </c>
      <c r="J63" s="4" t="str">
        <f>IFERROR(__xludf.DUMMYFUNCTION("GOOGLETRANSLATE(A63, ""en"", ""bn"")"),"৬২")</f>
        <v>৬২</v>
      </c>
      <c r="K63" s="4" t="str">
        <f>IFERROR(__xludf.DUMMYFUNCTION("GOOGLETRANSLATE(B63, ""en"", ""bn"")"),"দাড়িয়াবান্ধার গ্রিডে প্রবেশের আগে দৌড়বিদদের কী করতে হবে?")</f>
        <v>দাড়িয়াবান্ধার গ্রিডে প্রবেশের আগে দৌড়বিদদের কী করতে হবে?</v>
      </c>
      <c r="L63" s="4" t="str">
        <f>IFERROR(__xludf.DUMMYFUNCTION("GOOGLETRANSLATE(C63, ""en"", ""bn"")"),"ক) রেফারির সংকেতের জন্য অপেক্ষা করুন, খ) তাৎক্ষণিকভাবে দৌড়ান, গ) ডিফেন্ডারদের স্পর্শ করুন, ঘ) গ্রিডে ঝাঁপ দিন")</f>
        <v>ক) রেফারির সংকেতের জন্য অপেক্ষা করুন, খ) তাৎক্ষণিকভাবে দৌড়ান, গ) ডিফেন্ডারদের স্পর্শ করুন, ঘ) গ্রিডে ঝাঁপ দিন</v>
      </c>
      <c r="M63" s="4" t="str">
        <f>IFERROR(__xludf.DUMMYFUNCTION("GOOGLETRANSLATE(D63, ""en"", ""bn"")"),"ক) রেফারির সংকেতের জন্য অপেক্ষা করুন")</f>
        <v>ক) রেফারির সংকেতের জন্য অপেক্ষা করুন</v>
      </c>
      <c r="N63" s="4" t="str">
        <f>IFERROR(__xludf.DUMMYFUNCTION("GOOGLETRANSLATE(E63, ""en"", ""bn"")"),"রেফারি যখন শুরুর সংকেত দেবেন তখনই কেবল দৌড়বিদরা খেলা শুরু করতে পারবেন।")</f>
        <v>রেফারি যখন শুরুর সংকেত দেবেন তখনই কেবল দৌড়বিদরা খেলা শুরু করতে পারবেন।</v>
      </c>
    </row>
    <row r="64">
      <c r="A64" s="3">
        <v>63.0</v>
      </c>
      <c r="B64" s="3" t="s">
        <v>739</v>
      </c>
      <c r="C64" s="3" t="s">
        <v>740</v>
      </c>
      <c r="D64" s="3" t="s">
        <v>741</v>
      </c>
      <c r="E64" s="3" t="s">
        <v>742</v>
      </c>
      <c r="J64" s="4" t="str">
        <f>IFERROR(__xludf.DUMMYFUNCTION("GOOGLETRANSLATE(A64, ""en"", ""bn"")"),"৬৩")</f>
        <v>৬৩</v>
      </c>
      <c r="K64" s="4" t="str">
        <f>IFERROR(__xludf.DUMMYFUNCTION("GOOGLETRANSLATE(B64, ""en"", ""bn"")"),"রেফারির বাঁশির আগে ডিফেন্ডারদের খেলা শুরু করার শাস্তি কী?")</f>
        <v>রেফারির বাঁশির আগে ডিফেন্ডারদের খেলা শুরু করার শাস্তি কী?</v>
      </c>
      <c r="L64" s="4" t="str">
        <f>IFERROR(__xludf.DUMMYFUNCTION("GOOGLETRANSLATE(C64, ""en"", ""bn"")"),"ক) অযোগ্যতা, খ) সতর্কতা, গ) দৌড়বিদরা বিনামূল্যে পাস পান, ঘ) রাউন্ড পুনরায় শুরু হয়")</f>
        <v>ক) অযোগ্যতা, খ) সতর্কতা, গ) দৌড়বিদরা বিনামূল্যে পাস পান, ঘ) রাউন্ড পুনরায় শুরু হয়</v>
      </c>
      <c r="M64" s="4" t="str">
        <f>IFERROR(__xludf.DUMMYFUNCTION("GOOGLETRANSLATE(D64, ""en"", ""bn"")"),"গ) দৌড়বিদরা বিনামূল্যে পাস পান")</f>
        <v>গ) দৌড়বিদরা বিনামূল্যে পাস পান</v>
      </c>
      <c r="N64" s="4" t="str">
        <f>IFERROR(__xludf.DUMMYFUNCTION("GOOGLETRANSLATE(E64, ""en"", ""bn"")"),"ডিফেন্ডারদের শুরুর দিকের নড়াচড়া রানারদের একটি বিনামূল্যের সুবিধা দেয়।")</f>
        <v>ডিফেন্ডারদের শুরুর দিকের নড়াচড়া রানারদের একটি বিনামূল্যের সুবিধা দেয়।</v>
      </c>
    </row>
    <row r="65">
      <c r="A65" s="3">
        <v>64.0</v>
      </c>
      <c r="B65" s="3" t="s">
        <v>743</v>
      </c>
      <c r="C65" s="3" t="s">
        <v>744</v>
      </c>
      <c r="D65" s="3" t="s">
        <v>745</v>
      </c>
      <c r="E65" s="3" t="s">
        <v>746</v>
      </c>
      <c r="J65" s="4" t="str">
        <f>IFERROR(__xludf.DUMMYFUNCTION("GOOGLETRANSLATE(A65, ""en"", ""bn"")"),"৬৪")</f>
        <v>৬৪</v>
      </c>
      <c r="K65" s="4" t="str">
        <f>IFERROR(__xludf.DUMMYFUNCTION("GOOGLETRANSLATE(B65, ""en"", ""bn"")"),"দাড়িবান্ধায় সমান্তরাল রেখাগুলি সাধারণত কত দূরে টানা হয়?")</f>
        <v>দাড়িবান্ধায় সমান্তরাল রেখাগুলি সাধারণত কত দূরে টানা হয়?</v>
      </c>
      <c r="L65" s="4" t="str">
        <f>IFERROR(__xludf.DUMMYFUNCTION("GOOGLETRANSLATE(C65, ""en"", ""bn"")"),"ক) ১ ফুট, খ) ২ ফুট, গ) ৩ ফুট, ঘ) ৪ ফুট")</f>
        <v>ক) ১ ফুট, খ) ২ ফুট, গ) ৩ ফুট, ঘ) ৪ ফুট</v>
      </c>
      <c r="M65" s="4" t="str">
        <f>IFERROR(__xludf.DUMMYFUNCTION("GOOGLETRANSLATE(D65, ""en"", ""bn"")"),"গ) ৩ ফুট")</f>
        <v>গ) ৩ ফুট</v>
      </c>
      <c r="N65" s="4" t="str">
        <f>IFERROR(__xludf.DUMMYFUNCTION("GOOGLETRANSLATE(E65, ""en"", ""bn"")"),"সমান্তরাল রেখাগুলি সাধারণত ন্যায্য খেলার জন্য প্রায় 3 ফুট দূরে রাখা হয়।")</f>
        <v>সমান্তরাল রেখাগুলি সাধারণত ন্যায্য খেলার জন্য প্রায় 3 ফুট দূরে রাখা হয়।</v>
      </c>
    </row>
    <row r="66">
      <c r="A66" s="3">
        <v>65.0</v>
      </c>
      <c r="B66" s="3" t="s">
        <v>747</v>
      </c>
      <c r="C66" s="3" t="s">
        <v>748</v>
      </c>
      <c r="D66" s="3" t="s">
        <v>749</v>
      </c>
      <c r="E66" s="3" t="s">
        <v>750</v>
      </c>
      <c r="J66" s="4" t="str">
        <f>IFERROR(__xludf.DUMMYFUNCTION("GOOGLETRANSLATE(A66, ""en"", ""bn"")"),"৬৫")</f>
        <v>৬৫</v>
      </c>
      <c r="K66" s="4" t="str">
        <f>IFERROR(__xludf.DUMMYFUNCTION("GOOGLETRANSLATE(B66, ""en"", ""bn"")"),"দাড়িয়াবান্ধায় প্রতিটি রাউন্ডের পর কোন দল ভূমিকা পরিবর্তন করে?")</f>
        <v>দাড়িয়াবান্ধায় প্রতিটি রাউন্ডের পর কোন দল ভূমিকা পরিবর্তন করে?</v>
      </c>
      <c r="L66" s="4" t="str">
        <f>IFERROR(__xludf.DUMMYFUNCTION("GOOGLETRANSLATE(C66, ""en"", ""bn"")"),"ক) রানার, খ) ডিফেন্ডার, গ) উভয়ই, ঘ) কোনটিই নয়")</f>
        <v>ক) রানার, খ) ডিফেন্ডার, গ) উভয়ই, ঘ) কোনটিই নয়</v>
      </c>
      <c r="M66" s="4" t="str">
        <f>IFERROR(__xludf.DUMMYFUNCTION("GOOGLETRANSLATE(D66, ""en"", ""bn"")"),"গ) উভয়ই")</f>
        <v>গ) উভয়ই</v>
      </c>
      <c r="N66" s="4" t="str">
        <f>IFERROR(__xludf.DUMMYFUNCTION("GOOGLETRANSLATE(E66, ""en"", ""bn"")"),"ভারসাম্যের জন্য প্রতি রাউন্ডের পর উভয় দলই ভূমিকা পরিবর্তন করে।")</f>
        <v>ভারসাম্যের জন্য প্রতি রাউন্ডের পর উভয় দলই ভূমিকা পরিবর্তন করে।</v>
      </c>
    </row>
    <row r="67">
      <c r="A67" s="3">
        <v>66.0</v>
      </c>
      <c r="B67" s="3" t="s">
        <v>751</v>
      </c>
      <c r="C67" s="3" t="s">
        <v>752</v>
      </c>
      <c r="D67" s="3" t="s">
        <v>753</v>
      </c>
      <c r="E67" s="3" t="s">
        <v>754</v>
      </c>
      <c r="J67" s="4" t="str">
        <f>IFERROR(__xludf.DUMMYFUNCTION("GOOGLETRANSLATE(A67, ""en"", ""bn"")"),"৬৬")</f>
        <v>৬৬</v>
      </c>
      <c r="K67" s="4" t="str">
        <f>IFERROR(__xludf.DUMMYFUNCTION("GOOGLETRANSLATE(B67, ""en"", ""bn"")"),"রানারদের ট্যাগ করার চেষ্টা করার সময় ডিফেন্ডারদের কী এড়ানো উচিত?")</f>
        <v>রানারদের ট্যাগ করার চেষ্টা করার সময় ডিফেন্ডারদের কী এড়ানো উচিত?</v>
      </c>
      <c r="L67" s="4" t="str">
        <f>IFERROR(__xludf.DUMMYFUNCTION("GOOGLETRANSLATE(C67, ""en"", ""bn"")"),"ক) রেখা অতিক্রম করা, খ) স্থির দাঁড়িয়ে থাকা, গ) চিৎকার করা, ঘ) দ্রুত চলাফেরা করা")</f>
        <v>ক) রেখা অতিক্রম করা, খ) স্থির দাঁড়িয়ে থাকা, গ) চিৎকার করা, ঘ) দ্রুত চলাফেরা করা</v>
      </c>
      <c r="M67" s="4" t="str">
        <f>IFERROR(__xludf.DUMMYFUNCTION("GOOGLETRANSLATE(D67, ""en"", ""bn"")"),"ক) সীমানা অতিক্রম করা")</f>
        <v>ক) সীমানা অতিক্রম করা</v>
      </c>
      <c r="N67" s="4" t="str">
        <f>IFERROR(__xludf.DUMMYFUNCTION("GOOGLETRANSLATE(E67, ""en"", ""bn"")"),"ডিফেন্ডারদের তাদের নির্ধারিত রেখা ছেড়ে যেতে বা অতিক্রম করতে দেওয়া হয় না।")</f>
        <v>ডিফেন্ডারদের তাদের নির্ধারিত রেখা ছেড়ে যেতে বা অতিক্রম করতে দেওয়া হয় না।</v>
      </c>
    </row>
    <row r="68">
      <c r="A68" s="3">
        <v>67.0</v>
      </c>
      <c r="B68" s="3" t="s">
        <v>755</v>
      </c>
      <c r="C68" s="3" t="s">
        <v>756</v>
      </c>
      <c r="D68" s="3" t="s">
        <v>757</v>
      </c>
      <c r="E68" s="3" t="s">
        <v>758</v>
      </c>
      <c r="J68" s="4" t="str">
        <f>IFERROR(__xludf.DUMMYFUNCTION("GOOGLETRANSLATE(A68, ""en"", ""bn"")"),"৬৭")</f>
        <v>৬৭</v>
      </c>
      <c r="K68" s="4" t="str">
        <f>IFERROR(__xludf.DUMMYFUNCTION("GOOGLETRANSLATE(B68, ""en"", ""bn"")"),"সমস্ত রাউন্ডের পরে যদি টাই হয়, তাহলে বিজয়ী কীভাবে নির্ধারণ করা হয়?")</f>
        <v>সমস্ত রাউন্ডের পরে যদি টাই হয়, তাহলে বিজয়ী কীভাবে নির্ধারণ করা হয়?</v>
      </c>
      <c r="L68" s="4" t="str">
        <f>IFERROR(__xludf.DUMMYFUNCTION("GOOGLETRANSLATE(C68, ""en"", ""bn"")"),"ক) কয়েন টস, খ) অতিরিক্ত রাউন্ড, গ) সময় রিপ্লে, ঘ) কোন ফলাফল নেই")</f>
        <v>ক) কয়েন টস, খ) অতিরিক্ত রাউন্ড, গ) সময় রিপ্লে, ঘ) কোন ফলাফল নেই</v>
      </c>
      <c r="M68" s="4" t="str">
        <f>IFERROR(__xludf.DUMMYFUNCTION("GOOGLETRANSLATE(D68, ""en"", ""bn"")"),"খ) অতিরিক্ত রাউন্ড")</f>
        <v>খ) অতিরিক্ত রাউন্ড</v>
      </c>
      <c r="N68" s="4" t="str">
        <f>IFERROR(__xludf.DUMMYFUNCTION("GOOGLETRANSLATE(E68, ""en"", ""bn"")"),"টাই ভাঙার জন্য একটি অতিরিক্ত রাউন্ড খেলা হয়।")</f>
        <v>টাই ভাঙার জন্য একটি অতিরিক্ত রাউন্ড খেলা হয়।</v>
      </c>
    </row>
    <row r="69">
      <c r="A69" s="3">
        <v>68.0</v>
      </c>
      <c r="B69" s="3" t="s">
        <v>759</v>
      </c>
      <c r="C69" s="3" t="s">
        <v>760</v>
      </c>
      <c r="D69" s="3" t="s">
        <v>761</v>
      </c>
      <c r="E69" s="3" t="s">
        <v>762</v>
      </c>
      <c r="J69" s="4" t="str">
        <f>IFERROR(__xludf.DUMMYFUNCTION("GOOGLETRANSLATE(A69, ""en"", ""bn"")"),"৬৮")</f>
        <v>৬৮</v>
      </c>
      <c r="K69" s="4" t="str">
        <f>IFERROR(__xludf.DUMMYFUNCTION("GOOGLETRANSLATE(B69, ""en"", ""bn"")"),"খেলা শুরু করার জন্য রেফারির সংকেত কী?")</f>
        <v>খেলা শুরু করার জন্য রেফারির সংকেত কী?</v>
      </c>
      <c r="L69" s="4" t="str">
        <f>IFERROR(__xludf.DUMMYFUNCTION("GOOGLETRANSLATE(C69, ""en"", ""bn"")"),"ক) হাত তোলা, খ) বাঁশি বাজানো, গ) পতাকা নামান, ঘ) হাততালি")</f>
        <v>ক) হাত তোলা, খ) বাঁশি বাজানো, গ) পতাকা নামান, ঘ) হাততালি</v>
      </c>
      <c r="M69" s="4" t="str">
        <f>IFERROR(__xludf.DUMMYFUNCTION("GOOGLETRANSLATE(D69, ""en"", ""bn"")"),"খ) বাঁশি")</f>
        <v>খ) বাঁশি</v>
      </c>
      <c r="N69" s="4" t="str">
        <f>IFERROR(__xludf.DUMMYFUNCTION("GOOGLETRANSLATE(E69, ""en"", ""bn"")"),"সাধারণত বাঁশি খেলার শুরুর ইঙ্গিত দেয়।")</f>
        <v>সাধারণত বাঁশি খেলার শুরুর ইঙ্গিত দেয়।</v>
      </c>
    </row>
    <row r="70">
      <c r="A70" s="3">
        <v>69.0</v>
      </c>
      <c r="B70" s="3" t="s">
        <v>763</v>
      </c>
      <c r="C70" s="3" t="s">
        <v>202</v>
      </c>
      <c r="D70" s="3" t="s">
        <v>764</v>
      </c>
      <c r="E70" s="3" t="s">
        <v>765</v>
      </c>
      <c r="J70" s="4" t="str">
        <f>IFERROR(__xludf.DUMMYFUNCTION("GOOGLETRANSLATE(A70, ""en"", ""bn"")"),"৬৯")</f>
        <v>৬৯</v>
      </c>
      <c r="K70" s="4" t="str">
        <f>IFERROR(__xludf.DUMMYFUNCTION("GOOGLETRANSLATE(B70, ""en"", ""bn"")"),"একটি দাড়িবান্ধা ক্ষেত্র আঁকতে সর্বনিম্ন কত সংখ্যক রেখা প্রয়োজন?")</f>
        <v>একটি দাড়িবান্ধা ক্ষেত্র আঁকতে সর্বনিম্ন কত সংখ্যক রেখা প্রয়োজন?</v>
      </c>
      <c r="L70" s="4" t="str">
        <f>IFERROR(__xludf.DUMMYFUNCTION("GOOGLETRANSLATE(C70, ""en"", ""bn"")"),"ক) ২, খ) ৩, গ) ৪, ঘ) ৫")</f>
        <v>ক) ২, খ) ৩, গ) ৪, ঘ) ৫</v>
      </c>
      <c r="M70" s="4" t="str">
        <f>IFERROR(__xludf.DUMMYFUNCTION("GOOGLETRANSLATE(D70, ""en"", ""bn"")"),"গ) ৪")</f>
        <v>গ) ৪</v>
      </c>
      <c r="N70" s="4" t="str">
        <f>IFERROR(__xludf.DUMMYFUNCTION("GOOGLETRANSLATE(E70, ""en"", ""bn"")"),"একটি খেলার যোগ্য গ্রিড তৈরি করতে কমপক্ষে চারটি লাইন প্রয়োজন।")</f>
        <v>একটি খেলার যোগ্য গ্রিড তৈরি করতে কমপক্ষে চারটি লাইন প্রয়োজন।</v>
      </c>
    </row>
    <row r="71">
      <c r="A71" s="3">
        <v>70.0</v>
      </c>
      <c r="B71" s="3" t="s">
        <v>766</v>
      </c>
      <c r="C71" s="3" t="s">
        <v>767</v>
      </c>
      <c r="D71" s="3" t="s">
        <v>768</v>
      </c>
      <c r="E71" s="3" t="s">
        <v>769</v>
      </c>
      <c r="J71" s="4" t="str">
        <f>IFERROR(__xludf.DUMMYFUNCTION("GOOGLETRANSLATE(A71, ""en"", ""bn"")"),"৭০")</f>
        <v>৭০</v>
      </c>
      <c r="K71" s="4" t="str">
        <f>IFERROR(__xludf.DUMMYFUNCTION("GOOGLETRANSLATE(B71, ""en"", ""bn"")"),"দৌড়বিদরা সাধারণত মাঠের কোন দিক থেকে শুরু করে?")</f>
        <v>দৌড়বিদরা সাধারণত মাঠের কোন দিক থেকে শুরু করে?</v>
      </c>
      <c r="L71" s="4" t="str">
        <f>IFERROR(__xludf.DUMMYFUNCTION("GOOGLETRANSLATE(C71, ""en"", ""bn"")"),"ক) বাম দিক, খ) ডান দিক, গ) এক প্রান্ত, ঘ) কেন্দ্র")</f>
        <v>ক) বাম দিক, খ) ডান দিক, গ) এক প্রান্ত, ঘ) কেন্দ্র</v>
      </c>
      <c r="M71" s="4" t="str">
        <f>IFERROR(__xludf.DUMMYFUNCTION("GOOGLETRANSLATE(D71, ""en"", ""bn"")"),"গ) এক প্রান্ত")</f>
        <v>গ) এক প্রান্ত</v>
      </c>
      <c r="N71" s="4" t="str">
        <f>IFERROR(__xludf.DUMMYFUNCTION("GOOGLETRANSLATE(E71, ""en"", ""bn"")"),"দৌড়বিদরা গ্রিডের এক নির্ধারিত প্রান্ত থেকে শুরু করে।")</f>
        <v>দৌড়বিদরা গ্রিডের এক নির্ধারিত প্রান্ত থেকে শুরু করে।</v>
      </c>
    </row>
    <row r="72">
      <c r="A72" s="3">
        <v>71.0</v>
      </c>
      <c r="B72" s="3" t="s">
        <v>770</v>
      </c>
      <c r="C72" s="3" t="s">
        <v>771</v>
      </c>
      <c r="D72" s="3" t="s">
        <v>772</v>
      </c>
      <c r="E72" s="3" t="s">
        <v>773</v>
      </c>
      <c r="J72" s="4" t="str">
        <f>IFERROR(__xludf.DUMMYFUNCTION("GOOGLETRANSLATE(A72, ""en"", ""bn"")"),"৭১")</f>
        <v>৭১</v>
      </c>
      <c r="K72" s="4" t="str">
        <f>IFERROR(__xludf.DUMMYFUNCTION("GOOGLETRANSLATE(B72, ""en"", ""bn"")"),"একজন দৌড়বিদ সর্বোচ্চ কত সময় ধরে একটি নিরাপদ অঞ্চলে থাকতে পারেন?")</f>
        <v>একজন দৌড়বিদ সর্বোচ্চ কত সময় ধরে একটি নিরাপদ অঞ্চলে থাকতে পারেন?</v>
      </c>
      <c r="L72" s="4" t="str">
        <f>IFERROR(__xludf.DUMMYFUNCTION("GOOGLETRANSLATE(C72, ""en"", ""bn"")"),"ক) ৫ সেকেন্ড, খ) ১০ সেকেন্ড, গ) ১৫ সেকেন্ড, ঘ) সীমাহীন")</f>
        <v>ক) ৫ সেকেন্ড, খ) ১০ সেকেন্ড, গ) ১৫ সেকেন্ড, ঘ) সীমাহীন</v>
      </c>
      <c r="M72" s="4" t="str">
        <f>IFERROR(__xludf.DUMMYFUNCTION("GOOGLETRANSLATE(D72, ""en"", ""bn"")"),"খ) ১০ সেকেন্ড")</f>
        <v>খ) ১০ সেকেন্ড</v>
      </c>
      <c r="N72" s="4" t="str">
        <f>IFERROR(__xludf.DUMMYFUNCTION("GOOGLETRANSLATE(E72, ""en"", ""bn"")"),"এক জোনে বেশিক্ষণ থাকার ফলে জরিমানা হতে পারে।")</f>
        <v>এক জোনে বেশিক্ষণ থাকার ফলে জরিমানা হতে পারে।</v>
      </c>
    </row>
    <row r="73">
      <c r="A73" s="3">
        <v>72.0</v>
      </c>
      <c r="B73" s="3" t="s">
        <v>774</v>
      </c>
      <c r="C73" s="3" t="s">
        <v>775</v>
      </c>
      <c r="D73" s="3" t="s">
        <v>776</v>
      </c>
      <c r="E73" s="3" t="s">
        <v>777</v>
      </c>
      <c r="J73" s="4" t="str">
        <f>IFERROR(__xludf.DUMMYFUNCTION("GOOGLETRANSLATE(A73, ""en"", ""bn"")"),"৭২")</f>
        <v>৭২</v>
      </c>
      <c r="K73" s="4" t="str">
        <f>IFERROR(__xludf.DUMMYFUNCTION("GOOGLETRANSLATE(B73, ""en"", ""bn"")"),"খেলা শুরুর আগে মাঠের রেখা আঁকার জন্য কোন দল দায়ী?")</f>
        <v>খেলা শুরুর আগে মাঠের রেখা আঁকার জন্য কোন দল দায়ী?</v>
      </c>
      <c r="L73" s="4" t="str">
        <f>IFERROR(__xludf.DUMMYFUNCTION("GOOGLETRANSLATE(C73, ""en"", ""bn"")"),"ক) রানার দল, খ) ডিফেন্ডার দল, গ) উভয় দল, ঘ) রেফারি")</f>
        <v>ক) রানার দল, খ) ডিফেন্ডার দল, গ) উভয় দল, ঘ) রেফারি</v>
      </c>
      <c r="M73" s="4" t="str">
        <f>IFERROR(__xludf.DUMMYFUNCTION("GOOGLETRANSLATE(D73, ""en"", ""bn"")"),"ঘ) রেফারি")</f>
        <v>ঘ) রেফারি</v>
      </c>
      <c r="N73" s="4" t="str">
        <f>IFERROR(__xludf.DUMMYFUNCTION("GOOGLETRANSLATE(E73, ""en"", ""bn"")"),"রেফারি বা আয়োজকরা নিশ্চিত করেন যে গ্রিডটি সঠিকভাবে চিহ্নিত করা হয়েছে।")</f>
        <v>রেফারি বা আয়োজকরা নিশ্চিত করেন যে গ্রিডটি সঠিকভাবে চিহ্নিত করা হয়েছে।</v>
      </c>
    </row>
    <row r="74">
      <c r="A74" s="3">
        <v>73.0</v>
      </c>
      <c r="B74" s="3" t="s">
        <v>778</v>
      </c>
      <c r="C74" s="3" t="s">
        <v>779</v>
      </c>
      <c r="D74" s="3" t="s">
        <v>780</v>
      </c>
      <c r="E74" s="3" t="s">
        <v>781</v>
      </c>
      <c r="J74" s="4" t="str">
        <f>IFERROR(__xludf.DUMMYFUNCTION("GOOGLETRANSLATE(A74, ""en"", ""bn"")"),"৭৩")</f>
        <v>৭৩</v>
      </c>
      <c r="K74" s="4" t="str">
        <f>IFERROR(__xludf.DUMMYFUNCTION("GOOGLETRANSLATE(B74, ""en"", ""bn"")"),"যদি ডিফেন্ডাররা একই সময়ে একাধিক গ্রিড ব্লক করে তাহলে কী হবে?")</f>
        <v>যদি ডিফেন্ডাররা একই সময়ে একাধিক গ্রিড ব্লক করে তাহলে কী হবে?</v>
      </c>
      <c r="L74" s="4" t="str">
        <f>IFERROR(__xludf.DUMMYFUNCTION("GOOGLETRANSLATE(C74, ""en"", ""bn"")"),"ক) বোনাস পয়েন্ট, খ) সতর্কীকরণ, গ) পেনাল্টি, ঘ) খেলা শেষ")</f>
        <v>ক) বোনাস পয়েন্ট, খ) সতর্কীকরণ, গ) পেনাল্টি, ঘ) খেলা শেষ</v>
      </c>
      <c r="M74" s="4" t="str">
        <f>IFERROR(__xludf.DUMMYFUNCTION("GOOGLETRANSLATE(D74, ""en"", ""bn"")"),"গ) জরিমানা")</f>
        <v>গ) জরিমানা</v>
      </c>
      <c r="N74" s="4" t="str">
        <f>IFERROR(__xludf.DUMMYFUNCTION("GOOGLETRANSLATE(E74, ""en"", ""bn"")"),"ডিফেন্ডারদের অবশ্যই তাদের নির্ধারিত সারিতে থাকতে হবে, একাধিক গ্রিড ব্লক করা একটি ফাউল।")</f>
        <v>ডিফেন্ডারদের অবশ্যই তাদের নির্ধারিত সারিতে থাকতে হবে, একাধিক গ্রিড ব্লক করা একটি ফাউল।</v>
      </c>
    </row>
    <row r="75">
      <c r="A75" s="3">
        <v>74.0</v>
      </c>
      <c r="B75" s="3" t="s">
        <v>782</v>
      </c>
      <c r="C75" s="3" t="s">
        <v>783</v>
      </c>
      <c r="D75" s="3" t="s">
        <v>784</v>
      </c>
      <c r="E75" s="3" t="s">
        <v>785</v>
      </c>
      <c r="J75" s="4" t="str">
        <f>IFERROR(__xludf.DUMMYFUNCTION("GOOGLETRANSLATE(A75, ""en"", ""bn"")"),"৭৪")</f>
        <v>৭৪</v>
      </c>
      <c r="K75" s="4" t="str">
        <f>IFERROR(__xludf.DUMMYFUNCTION("GOOGLETRANSLATE(B75, ""en"", ""bn"")"),"বন্দী দৌড়বিদদের মাঠ থেকে কীভাবে সরিয়ে ফেলা হয়?")</f>
        <v>বন্দী দৌড়বিদদের মাঠ থেকে কীভাবে সরিয়ে ফেলা হয়?</v>
      </c>
      <c r="L75" s="4" t="str">
        <f>IFERROR(__xludf.DUMMYFUNCTION("GOOGLETRANSLATE(C75, ""en"", ""bn"")"),"ক) রেফারির সংকেতে, খ) তারা তৎক্ষণাৎ চলে যায়, গ) তারা পক্ষ পরিবর্তন করে, ঘ) তারা বসে থাকে")</f>
        <v>ক) রেফারির সংকেতে, খ) তারা তৎক্ষণাৎ চলে যায়, গ) তারা পক্ষ পরিবর্তন করে, ঘ) তারা বসে থাকে</v>
      </c>
      <c r="M75" s="4" t="str">
        <f>IFERROR(__xludf.DUMMYFUNCTION("GOOGLETRANSLATE(D75, ""en"", ""bn"")"),"খ) তারা তৎক্ষণাৎ চলে যায়")</f>
        <v>খ) তারা তৎক্ষণাৎ চলে যায়</v>
      </c>
      <c r="N75" s="4" t="str">
        <f>IFERROR(__xludf.DUMMYFUNCTION("GOOGLETRANSLATE(E75, ""en"", ""bn"")"),"বাদ পড়া দৌড়বিদদের দেরি না করে মাঠ ত্যাগ করতে হবে।")</f>
        <v>বাদ পড়া দৌড়বিদদের দেরি না করে মাঠ ত্যাগ করতে হবে।</v>
      </c>
    </row>
    <row r="76">
      <c r="A76" s="3">
        <v>75.0</v>
      </c>
      <c r="B76" s="3" t="s">
        <v>786</v>
      </c>
      <c r="C76" s="3" t="s">
        <v>787</v>
      </c>
      <c r="D76" s="3" t="s">
        <v>618</v>
      </c>
      <c r="E76" s="3" t="s">
        <v>788</v>
      </c>
      <c r="J76" s="4" t="str">
        <f>IFERROR(__xludf.DUMMYFUNCTION("GOOGLETRANSLATE(A76, ""en"", ""bn"")"),"৭৫")</f>
        <v>৭৫</v>
      </c>
      <c r="K76" s="4" t="str">
        <f>IFERROR(__xludf.DUMMYFUNCTION("GOOGLETRANSLATE(B76, ""en"", ""bn"")"),"যদি রানাররা ইচ্ছাকৃতভাবে ডিফেন্ডারদের সাথে সংঘর্ষে লিপ্ত হয় তাহলে কী হবে?")</f>
        <v>যদি রানাররা ইচ্ছাকৃতভাবে ডিফেন্ডারদের সাথে সংঘর্ষে লিপ্ত হয় তাহলে কী হবে?</v>
      </c>
      <c r="L76" s="4" t="str">
        <f>IFERROR(__xludf.DUMMYFUNCTION("GOOGLETRANSLATE(C76, ""en"", ""bn"")"),"ক) রানারের স্কোর, খ) রানার আউট, গ) ডিফেন্ডারকে শাস্তি দেওয়া হয়, ঘ) গেম রিসেট")</f>
        <v>ক) রানারের স্কোর, খ) রানার আউট, গ) ডিফেন্ডারকে শাস্তি দেওয়া হয়, ঘ) গেম রিসেট</v>
      </c>
      <c r="M76" s="4" t="str">
        <f>IFERROR(__xludf.DUMMYFUNCTION("GOOGLETRANSLATE(D76, ""en"", ""bn"")"),"খ) রানার আউট হয়ে গেছে")</f>
        <v>খ) রানার আউট হয়ে গেছে</v>
      </c>
      <c r="N76" s="4" t="str">
        <f>IFERROR(__xludf.DUMMYFUNCTION("GOOGLETRANSLATE(E76, ""en"", ""bn"")"),"ইচ্ছাকৃতভাবে ডিফেন্ডারদের সাথে সংঘর্ষের ফলে রানার এলিমিনেশন হয়।")</f>
        <v>ইচ্ছাকৃতভাবে ডিফেন্ডারদের সাথে সংঘর্ষের ফলে রানার এলিমিনেশন হয়।</v>
      </c>
    </row>
    <row r="77">
      <c r="A77" s="3">
        <v>76.0</v>
      </c>
      <c r="B77" s="3" t="s">
        <v>789</v>
      </c>
      <c r="C77" s="3" t="s">
        <v>790</v>
      </c>
      <c r="D77" s="3" t="s">
        <v>730</v>
      </c>
      <c r="E77" s="3" t="s">
        <v>791</v>
      </c>
      <c r="J77" s="4" t="str">
        <f>IFERROR(__xludf.DUMMYFUNCTION("GOOGLETRANSLATE(A77, ""en"", ""bn"")"),"৭৬")</f>
        <v>৭৬</v>
      </c>
      <c r="K77" s="4" t="str">
        <f>IFERROR(__xludf.DUMMYFUNCTION("GOOGLETRANSLATE(B77, ""en"", ""bn"")"),"দাড়িবান্ধায় দৌড়বিদরা কোন দিকে যেতে পারবেন না?")</f>
        <v>দাড়িবান্ধায় দৌড়বিদরা কোন দিকে যেতে পারবেন না?</v>
      </c>
      <c r="L77" s="4" t="str">
        <f>IFERROR(__xludf.DUMMYFUNCTION("GOOGLETRANSLATE(C77, ""en"", ""bn"")"),"ক) সামনের দিকে, খ) পিছনের দিকে, গ) তির্যক দিকে, ঘ) জিগজ্যাগ দিকে")</f>
        <v>ক) সামনের দিকে, খ) পিছনের দিকে, গ) তির্যক দিকে, ঘ) জিগজ্যাগ দিকে</v>
      </c>
      <c r="M77" s="4" t="str">
        <f>IFERROR(__xludf.DUMMYFUNCTION("GOOGLETRANSLATE(D77, ""en"", ""bn"")"),"গ) তির্যক")</f>
        <v>গ) তির্যক</v>
      </c>
      <c r="N77" s="4" t="str">
        <f>IFERROR(__xludf.DUMMYFUNCTION("GOOGLETRANSLATE(E77, ""en"", ""bn"")"),"দৌড়বিদরা সামনে, পিছনে এবং আঁকাবাঁকাভাবে চলতে পারে, কিন্তু রেখা জুড়ে কঠোরভাবে তির্যকভাবে নয়।")</f>
        <v>দৌড়বিদরা সামনে, পিছনে এবং আঁকাবাঁকাভাবে চলতে পারে, কিন্তু রেখা জুড়ে কঠোরভাবে তির্যকভাবে নয়।</v>
      </c>
    </row>
    <row r="78">
      <c r="A78" s="3">
        <v>77.0</v>
      </c>
      <c r="B78" s="3" t="s">
        <v>792</v>
      </c>
      <c r="C78" s="3" t="s">
        <v>793</v>
      </c>
      <c r="D78" s="3" t="s">
        <v>794</v>
      </c>
      <c r="E78" s="3" t="s">
        <v>795</v>
      </c>
      <c r="J78" s="4" t="str">
        <f>IFERROR(__xludf.DUMMYFUNCTION("GOOGLETRANSLATE(A78, ""en"", ""bn"")"),"৭৭")</f>
        <v>৭৭</v>
      </c>
      <c r="K78" s="4" t="str">
        <f>IFERROR(__xludf.DUMMYFUNCTION("GOOGLETRANSLATE(B78, ""en"", ""bn"")"),"দাড়িবান্ধা মাঠের স্বাভাবিক আকার কত?")</f>
        <v>দাড়িবান্ধা মাঠের স্বাভাবিক আকার কত?</v>
      </c>
      <c r="L78" s="4" t="str">
        <f>IFERROR(__xludf.DUMMYFUNCTION("GOOGLETRANSLATE(C78, ""en"", ""bn"")"),"ক) ২০x১০ ফুট, খ) ৩০x১৫ ফুট, গ) ৫০x২০ ফুট, ঘ) ৬০x৩০ ফুট")</f>
        <v>ক) ২০x১০ ফুট, খ) ৩০x১৫ ফুট, গ) ৫০x২০ ফুট, ঘ) ৬০x৩০ ফুট</v>
      </c>
      <c r="M78" s="4" t="str">
        <f>IFERROR(__xludf.DUMMYFUNCTION("GOOGLETRANSLATE(D78, ""en"", ""bn"")"),"গ) ৫০x২০ ফুট")</f>
        <v>গ) ৫০x২০ ফুট</v>
      </c>
      <c r="N78" s="4" t="str">
        <f>IFERROR(__xludf.DUMMYFUNCTION("GOOGLETRANSLATE(E78, ""en"", ""bn"")"),"আদর্শ দাড়িয়াবান্ধা ক্ষেতগুলি প্রায় ৫০ ফুট বাই ২০ ফুট।")</f>
        <v>আদর্শ দাড়িয়াবান্ধা ক্ষেতগুলি প্রায় ৫০ ফুট বাই ২০ ফুট।</v>
      </c>
    </row>
    <row r="79">
      <c r="A79" s="3">
        <v>78.0</v>
      </c>
      <c r="B79" s="3" t="s">
        <v>796</v>
      </c>
      <c r="C79" s="3" t="s">
        <v>797</v>
      </c>
      <c r="D79" s="3" t="s">
        <v>798</v>
      </c>
      <c r="E79" s="3" t="s">
        <v>799</v>
      </c>
      <c r="J79" s="4" t="str">
        <f>IFERROR(__xludf.DUMMYFUNCTION("GOOGLETRANSLATE(A79, ""en"", ""bn"")"),"৭৮")</f>
        <v>৭৮</v>
      </c>
      <c r="K79" s="4" t="str">
        <f>IFERROR(__xludf.DUMMYFUNCTION("GOOGLETRANSLATE(B79, ""en"", ""bn"")"),"যদি ডিফেন্ডাররা রেফারির সাথে তর্ক করে তাহলে কী হবে?")</f>
        <v>যদি ডিফেন্ডাররা রেফারির সাথে তর্ক করে তাহলে কী হবে?</v>
      </c>
      <c r="L79" s="4" t="str">
        <f>IFERROR(__xludf.DUMMYFUNCTION("GOOGLETRANSLATE(C79, ""en"", ""bn"")"),"ক) সতর্কীকরণ, খ) পয়েন্ট কর্তন, গ) বহিষ্কার, ঘ) দৌড়বিদরা বিনামূল্যে পয়েন্ট পান")</f>
        <v>ক) সতর্কীকরণ, খ) পয়েন্ট কর্তন, গ) বহিষ্কার, ঘ) দৌড়বিদরা বিনামূল্যে পয়েন্ট পান</v>
      </c>
      <c r="M79" s="4" t="str">
        <f>IFERROR(__xludf.DUMMYFUNCTION("GOOGLETRANSLATE(D79, ""en"", ""bn"")"),"খ) পয়েন্ট কর্তন")</f>
        <v>খ) পয়েন্ট কর্তন</v>
      </c>
      <c r="N79" s="4" t="str">
        <f>IFERROR(__xludf.DUMMYFUNCTION("GOOGLETRANSLATE(E79, ""en"", ""bn"")"),"রেফারির বিরুদ্ধে অ-খেলোয়াড় আচরণের ফলে পয়েন্ট পেনাল্টি হতে পারে।")</f>
        <v>রেফারির বিরুদ্ধে অ-খেলোয়াড় আচরণের ফলে পয়েন্ট পেনাল্টি হতে পারে।</v>
      </c>
    </row>
    <row r="80">
      <c r="A80" s="3">
        <v>79.0</v>
      </c>
      <c r="B80" s="3" t="s">
        <v>800</v>
      </c>
      <c r="C80" s="3" t="s">
        <v>801</v>
      </c>
      <c r="D80" s="3" t="s">
        <v>802</v>
      </c>
      <c r="E80" s="3" t="s">
        <v>803</v>
      </c>
      <c r="J80" s="4" t="str">
        <f>IFERROR(__xludf.DUMMYFUNCTION("GOOGLETRANSLATE(A80, ""en"", ""bn"")"),"৭৯")</f>
        <v>৭৯</v>
      </c>
      <c r="K80" s="4" t="str">
        <f>IFERROR(__xludf.DUMMYFUNCTION("GOOGLETRANSLATE(B80, ""en"", ""bn"")"),"দারিয়াবান্ধার অফিসিয়াল ম্যাচে একটি দলে সর্বোচ্চ কত সংখ্যক ডিফেন্ডার থাকতে পারে?")</f>
        <v>দারিয়াবান্ধার অফিসিয়াল ম্যাচে একটি দলে সর্বোচ্চ কত সংখ্যক ডিফেন্ডার থাকতে পারে?</v>
      </c>
      <c r="L80" s="4" t="str">
        <f>IFERROR(__xludf.DUMMYFUNCTION("GOOGLETRANSLATE(C80, ""en"", ""bn"")"),"ক) ৫, খ) ৬, গ) ৭, ঘ) ৯")</f>
        <v>ক) ৫, খ) ৬, গ) ৭, ঘ) ৯</v>
      </c>
      <c r="M80" s="4" t="str">
        <f>IFERROR(__xludf.DUMMYFUNCTION("GOOGLETRANSLATE(D80, ""en"", ""bn"")"),"খ) ৬")</f>
        <v>খ) ৬</v>
      </c>
      <c r="N80" s="4" t="str">
        <f>IFERROR(__xludf.DUMMYFUNCTION("GOOGLETRANSLATE(E80, ""en"", ""bn"")"),"সাধারণত, প্রতি দলে ৫-৭ জন খেলোয়াড় খেলার অনুমতি থাকে, যেখানে স্ট্যান্ডার্ড নিয়ম অনুসারে ৬ জন ডিফেন্ডার থাকে।")</f>
        <v>সাধারণত, প্রতি দলে ৫-৭ জন খেলোয়াড় খেলার অনুমতি থাকে, যেখানে স্ট্যান্ডার্ড নিয়ম অনুসারে ৬ জন ডিফেন্ডার থাকে।</v>
      </c>
    </row>
    <row r="81">
      <c r="A81" s="3">
        <v>80.0</v>
      </c>
      <c r="B81" s="3" t="s">
        <v>804</v>
      </c>
      <c r="C81" s="3" t="s">
        <v>805</v>
      </c>
      <c r="D81" s="3" t="s">
        <v>806</v>
      </c>
      <c r="E81" s="3" t="s">
        <v>807</v>
      </c>
      <c r="J81" s="4" t="str">
        <f>IFERROR(__xludf.DUMMYFUNCTION("GOOGLETRANSLATE(A81, ""en"", ""bn"")"),"৮০")</f>
        <v>৮০</v>
      </c>
      <c r="K81" s="4" t="str">
        <f>IFERROR(__xludf.DUMMYFUNCTION("GOOGLETRANSLATE(B81, ""en"", ""bn"")"),"খেলার সময় ডিফেন্ডারের শরীরের কোন অংশটি লাইন স্পর্শ করতে হবে?")</f>
        <v>খেলার সময় ডিফেন্ডারের শরীরের কোন অংশটি লাইন স্পর্শ করতে হবে?</v>
      </c>
      <c r="L81" s="4" t="str">
        <f>IFERROR(__xludf.DUMMYFUNCTION("GOOGLETRANSLATE(C81, ""en"", ""bn"")"),"ক) হাত, খ) পা, গ) মাথা, ঘ) কনুই")</f>
        <v>ক) হাত, খ) পা, গ) মাথা, ঘ) কনুই</v>
      </c>
      <c r="M81" s="4" t="str">
        <f>IFERROR(__xludf.DUMMYFUNCTION("GOOGLETRANSLATE(D81, ""en"", ""bn"")"),"খ) পা")</f>
        <v>খ) পা</v>
      </c>
      <c r="N81" s="4" t="str">
        <f>IFERROR(__xludf.DUMMYFUNCTION("GOOGLETRANSLATE(E81, ""en"", ""bn"")"),"ডিফেন্ডারদের তাদের নির্ধারিত লাইনে কমপক্ষে এক পা রাখতে হবে।")</f>
        <v>ডিফেন্ডারদের তাদের নির্ধারিত লাইনে কমপক্ষে এক পা রাখতে হবে।</v>
      </c>
    </row>
    <row r="82">
      <c r="A82" s="3">
        <v>81.0</v>
      </c>
      <c r="B82" s="3" t="s">
        <v>808</v>
      </c>
      <c r="C82" s="3" t="s">
        <v>809</v>
      </c>
      <c r="D82" s="3" t="s">
        <v>810</v>
      </c>
      <c r="E82" s="3" t="s">
        <v>811</v>
      </c>
      <c r="J82" s="4" t="str">
        <f>IFERROR(__xludf.DUMMYFUNCTION("GOOGLETRANSLATE(A82, ""en"", ""bn"")"),"৮১")</f>
        <v>৮১</v>
      </c>
      <c r="K82" s="4" t="str">
        <f>IFERROR(__xludf.DUMMYFUNCTION("GOOGLETRANSLATE(B82, ""en"", ""bn"")"),"নিরাপদ অঞ্চলে থাকাকালীন দৌড়বিদদের কী করা এড়িয়ে চলা উচিত?")</f>
        <v>নিরাপদ অঞ্চলে থাকাকালীন দৌড়বিদদের কী করা এড়িয়ে চলা উচিত?</v>
      </c>
      <c r="L82" s="4" t="str">
        <f>IFERROR(__xludf.DUMMYFUNCTION("GOOGLETRANSLATE(C82, ""en"", ""bn"")"),"ক) কথা বলা, খ) খুব বেশিক্ষণ বিশ্রাম নেওয়া, গ) এদিক-ওদিক ঘোরা, ঘ) হাসি")</f>
        <v>ক) কথা বলা, খ) খুব বেশিক্ষণ বিশ্রাম নেওয়া, গ) এদিক-ওদিক ঘোরা, ঘ) হাসি</v>
      </c>
      <c r="M82" s="4" t="str">
        <f>IFERROR(__xludf.DUMMYFUNCTION("GOOGLETRANSLATE(D82, ""en"", ""bn"")"),"খ) খুব বেশি সময় ধরে বিশ্রাম নেওয়া")</f>
        <v>খ) খুব বেশি সময় ধরে বিশ্রাম নেওয়া</v>
      </c>
      <c r="N82" s="4" t="str">
        <f>IFERROR(__xludf.DUMMYFUNCTION("GOOGLETRANSLATE(E82, ""en"", ""bn"")"),"নিরাপদ অঞ্চলে খুব বেশি সময় থাকা নিয়মের বিরুদ্ধে।")</f>
        <v>নিরাপদ অঞ্চলে খুব বেশি সময় থাকা নিয়মের বিরুদ্ধে।</v>
      </c>
    </row>
    <row r="83">
      <c r="A83" s="3">
        <v>82.0</v>
      </c>
      <c r="B83" s="3" t="s">
        <v>812</v>
      </c>
      <c r="C83" s="3" t="s">
        <v>813</v>
      </c>
      <c r="D83" s="3" t="s">
        <v>618</v>
      </c>
      <c r="E83" s="3" t="s">
        <v>814</v>
      </c>
      <c r="J83" s="4" t="str">
        <f>IFERROR(__xludf.DUMMYFUNCTION("GOOGLETRANSLATE(A83, ""en"", ""bn"")"),"৮২")</f>
        <v>৮২</v>
      </c>
      <c r="K83" s="4" t="str">
        <f>IFERROR(__xludf.DUMMYFUNCTION("GOOGLETRANSLATE(B83, ""en"", ""bn"")"),"যদি একজন দৌড়বিদ ঠিক সীমানা রেখার উপর পা রাখে তাহলে কী হবে?")</f>
        <v>যদি একজন দৌড়বিদ ঠিক সীমানা রেখার উপর পা রাখে তাহলে কী হবে?</v>
      </c>
      <c r="L83" s="4" t="str">
        <f>IFERROR(__xludf.DUMMYFUNCTION("GOOGLETRANSLATE(C83, ""en"", ""bn"")"),"ক) রানার নিরাপদ, খ) রানার আউট, গ) খেলা পুনরায় শুরু, ঘ) ডিফেন্ডারকে শাস্তি দেওয়া হয়েছে")</f>
        <v>ক) রানার নিরাপদ, খ) রানার আউট, গ) খেলা পুনরায় শুরু, ঘ) ডিফেন্ডারকে শাস্তি দেওয়া হয়েছে</v>
      </c>
      <c r="M83" s="4" t="str">
        <f>IFERROR(__xludf.DUMMYFUNCTION("GOOGLETRANSLATE(D83, ""en"", ""bn"")"),"খ) রানার আউট হয়ে গেছে")</f>
        <v>খ) রানার আউট হয়ে গেছে</v>
      </c>
      <c r="N83" s="4" t="str">
        <f>IFERROR(__xludf.DUMMYFUNCTION("GOOGLETRANSLATE(E83, ""en"", ""bn"")"),"সীমানা রেখায় পা রাখাকে মাঠ ছেড়ে যাওয়ার মতোই গণ্য করা হয়।")</f>
        <v>সীমানা রেখায় পা রাখাকে মাঠ ছেড়ে যাওয়ার মতোই গণ্য করা হয়।</v>
      </c>
    </row>
    <row r="84">
      <c r="A84" s="3">
        <v>83.0</v>
      </c>
      <c r="B84" s="3" t="s">
        <v>815</v>
      </c>
      <c r="C84" s="3" t="s">
        <v>816</v>
      </c>
      <c r="D84" s="3" t="s">
        <v>817</v>
      </c>
      <c r="E84" s="3" t="s">
        <v>818</v>
      </c>
      <c r="J84" s="4" t="str">
        <f>IFERROR(__xludf.DUMMYFUNCTION("GOOGLETRANSLATE(A84, ""en"", ""bn"")"),"৮৩")</f>
        <v>৮৩</v>
      </c>
      <c r="K84" s="4" t="str">
        <f>IFERROR(__xludf.DUMMYFUNCTION("GOOGLETRANSLATE(B84, ""en"", ""bn"")"),"দাড়িবান্ধা খেলায় কখন বিকল্প খেলোয়াড়রা অংশগ্রহণ করতে পারে?")</f>
        <v>দাড়িবান্ধা খেলায় কখন বিকল্প খেলোয়াড়রা অংশগ্রহণ করতে পারে?</v>
      </c>
      <c r="L84" s="4" t="str">
        <f>IFERROR(__xludf.DUMMYFUNCTION("GOOGLETRANSLATE(C84, ""en"", ""bn"")"),"ক) যেকোনো সময়, খ) শুধুমাত্র রাউন্ডের মধ্যে, গ) রেফারি অনুমতি দিলে, ঘ) একজন রানার ধরা পড়ার পর")</f>
        <v>ক) যেকোনো সময়, খ) শুধুমাত্র রাউন্ডের মধ্যে, গ) রেফারি অনুমতি দিলে, ঘ) একজন রানার ধরা পড়ার পর</v>
      </c>
      <c r="M84" s="4" t="str">
        <f>IFERROR(__xludf.DUMMYFUNCTION("GOOGLETRANSLATE(D84, ""en"", ""bn"")"),"খ) শুধুমাত্র রাউন্ডের মধ্যে")</f>
        <v>খ) শুধুমাত্র রাউন্ডের মধ্যে</v>
      </c>
      <c r="N84" s="4" t="str">
        <f>IFERROR(__xludf.DUMMYFUNCTION("GOOGLETRANSLATE(E84, ""en"", ""bn"")"),"শুধুমাত্র রাউন্ডের মধ্যে প্রতিস্থাপন অনুমোদিত।")</f>
        <v>শুধুমাত্র রাউন্ডের মধ্যে প্রতিস্থাপন অনুমোদিত।</v>
      </c>
    </row>
    <row r="85">
      <c r="A85" s="3">
        <v>84.0</v>
      </c>
      <c r="B85" s="3" t="s">
        <v>819</v>
      </c>
      <c r="C85" s="3" t="s">
        <v>820</v>
      </c>
      <c r="D85" s="3" t="s">
        <v>821</v>
      </c>
      <c r="E85" s="3" t="s">
        <v>822</v>
      </c>
      <c r="J85" s="4" t="str">
        <f>IFERROR(__xludf.DUMMYFUNCTION("GOOGLETRANSLATE(A85, ""en"", ""bn"")"),"৮৪")</f>
        <v>৮৪</v>
      </c>
      <c r="K85" s="4" t="str">
        <f>IFERROR(__xludf.DUMMYFUNCTION("GOOGLETRANSLATE(B85, ""en"", ""bn"")"),"মাঠে টানা একটি রেখার স্বাভাবিক প্রস্থ কত?")</f>
        <v>মাঠে টানা একটি রেখার স্বাভাবিক প্রস্থ কত?</v>
      </c>
      <c r="L85" s="4" t="str">
        <f>IFERROR(__xludf.DUMMYFUNCTION("GOOGLETRANSLATE(C85, ""en"", ""bn"")"),"ক) ১ ইঞ্চি, খ) ২ ইঞ্চি, গ) ৩ ইঞ্চি, ঘ) ৪ ইঞ্চি")</f>
        <v>ক) ১ ইঞ্চি, খ) ২ ইঞ্চি, গ) ৩ ইঞ্চি, ঘ) ৪ ইঞ্চি</v>
      </c>
      <c r="M85" s="4" t="str">
        <f>IFERROR(__xludf.DUMMYFUNCTION("GOOGLETRANSLATE(D85, ""en"", ""bn"")"),"খ) ২ ইঞ্চি")</f>
        <v>খ) ২ ইঞ্চি</v>
      </c>
      <c r="N85" s="4" t="str">
        <f>IFERROR(__xludf.DUMMYFUNCTION("GOOGLETRANSLATE(E85, ""en"", ""bn"")"),"দৃশ্যমানতার জন্য সাধারণত প্রায় ২ ইঞ্চি পুরু রেখা টানা হয়।")</f>
        <v>দৃশ্যমানতার জন্য সাধারণত প্রায় ২ ইঞ্চি পুরু রেখা টানা হয়।</v>
      </c>
    </row>
    <row r="86">
      <c r="A86" s="3">
        <v>85.0</v>
      </c>
      <c r="B86" s="3" t="s">
        <v>823</v>
      </c>
      <c r="C86" s="3" t="s">
        <v>824</v>
      </c>
      <c r="D86" s="3" t="s">
        <v>825</v>
      </c>
      <c r="E86" s="3" t="s">
        <v>826</v>
      </c>
      <c r="J86" s="4" t="str">
        <f>IFERROR(__xludf.DUMMYFUNCTION("GOOGLETRANSLATE(A86, ""en"", ""bn"")"),"৮৫")</f>
        <v>৮৫</v>
      </c>
      <c r="K86" s="4" t="str">
        <f>IFERROR(__xludf.DUMMYFUNCTION("GOOGLETRANSLATE(B86, ""en"", ""bn"")"),"যদি ডিফেন্ডাররা বিনা কারণে তাদের অবস্থান ছেড়ে চলে যায় তাহলে কী হবে?")</f>
        <v>যদি ডিফেন্ডাররা বিনা কারণে তাদের অবস্থান ছেড়ে চলে যায় তাহলে কী হবে?</v>
      </c>
      <c r="L86" s="4" t="str">
        <f>IFERROR(__xludf.DUMMYFUNCTION("GOOGLETRANSLATE(C86, ""en"", ""bn"")"),"ক) কোন প্রভাব নেই, খ) সতর্কতা, গ) রানার পয়েন্ট পায়, ঘ) রাউন্ড রিস্টার্ট")</f>
        <v>ক) কোন প্রভাব নেই, খ) সতর্কতা, গ) রানার পয়েন্ট পায়, ঘ) রাউন্ড রিস্টার্ট</v>
      </c>
      <c r="M86" s="4" t="str">
        <f>IFERROR(__xludf.DUMMYFUNCTION("GOOGLETRANSLATE(D86, ""en"", ""bn"")"),"খ) সতর্কতা")</f>
        <v>খ) সতর্কতা</v>
      </c>
      <c r="N86" s="4" t="str">
        <f>IFERROR(__xludf.DUMMYFUNCTION("GOOGLETRANSLATE(E86, ""en"", ""bn"")"),"নির্ধারিত লাইন পজিশন ছেড়ে যাওয়া ডিফেন্ডারদের সতর্ক করা যেতে পারে বা শাস্তি দেওয়া যেতে পারে।")</f>
        <v>নির্ধারিত লাইন পজিশন ছেড়ে যাওয়া ডিফেন্ডারদের সতর্ক করা যেতে পারে বা শাস্তি দেওয়া যেতে পারে।</v>
      </c>
    </row>
    <row r="87">
      <c r="A87" s="3">
        <v>86.0</v>
      </c>
      <c r="B87" s="3" t="s">
        <v>827</v>
      </c>
      <c r="C87" s="3" t="s">
        <v>733</v>
      </c>
      <c r="D87" s="3" t="s">
        <v>566</v>
      </c>
      <c r="E87" s="3" t="s">
        <v>828</v>
      </c>
      <c r="J87" s="4" t="str">
        <f>IFERROR(__xludf.DUMMYFUNCTION("GOOGLETRANSLATE(A87, ""en"", ""bn"")"),"৮৬")</f>
        <v>৮৬</v>
      </c>
      <c r="K87" s="4" t="str">
        <f>IFERROR(__xludf.DUMMYFUNCTION("GOOGLETRANSLATE(B87, ""en"", ""bn"")"),"টাইব্রেকার হিসেবে সর্বোচ্চ কত রাউন্ড যোগ করা যেতে পারে?")</f>
        <v>টাইব্রেকার হিসেবে সর্বোচ্চ কত রাউন্ড যোগ করা যেতে পারে?</v>
      </c>
      <c r="L87" s="4" t="str">
        <f>IFERROR(__xludf.DUMMYFUNCTION("GOOGLETRANSLATE(C87, ""en"", ""bn"")"),"ক) ১, খ) ২, গ) ৩, ঘ) সীমাহীন")</f>
        <v>ক) ১, খ) ২, গ) ৩, ঘ) সীমাহীন</v>
      </c>
      <c r="M87" s="4" t="str">
        <f>IFERROR(__xludf.DUMMYFUNCTION("GOOGLETRANSLATE(D87, ""en"", ""bn"")"),"ক) ১")</f>
        <v>ক) ১</v>
      </c>
      <c r="N87" s="4" t="str">
        <f>IFERROR(__xludf.DUMMYFUNCTION("GOOGLETRANSLATE(E87, ""en"", ""bn"")"),"সাধারণত, টাই হলে কেবল একটি অতিরিক্ত রাউন্ড যোগ করা হয়।")</f>
        <v>সাধারণত, টাই হলে কেবল একটি অতিরিক্ত রাউন্ড যোগ করা হয়।</v>
      </c>
    </row>
    <row r="88">
      <c r="A88" s="3">
        <v>87.0</v>
      </c>
      <c r="B88" s="3" t="s">
        <v>829</v>
      </c>
      <c r="C88" s="3" t="s">
        <v>830</v>
      </c>
      <c r="D88" s="3" t="s">
        <v>831</v>
      </c>
      <c r="E88" s="3" t="s">
        <v>832</v>
      </c>
      <c r="J88" s="4" t="str">
        <f>IFERROR(__xludf.DUMMYFUNCTION("GOOGLETRANSLATE(A88, ""en"", ""bn"")"),"৮৭")</f>
        <v>৮৭</v>
      </c>
      <c r="K88" s="4" t="str">
        <f>IFERROR(__xludf.DUMMYFUNCTION("GOOGLETRANSLATE(B88, ""en"", ""bn"")"),"বিরোধের চূড়ান্ত ফলাফল কে নির্ধারণ করে?")</f>
        <v>বিরোধের চূড়ান্ত ফলাফল কে নির্ধারণ করে?</v>
      </c>
      <c r="L88" s="4" t="str">
        <f>IFERROR(__xludf.DUMMYFUNCTION("GOOGLETRANSLATE(C88, ""en"", ""bn"")"),"ক) অধিনায়ক, খ) দর্শক, গ) রেফারি, ঘ) রানার")</f>
        <v>ক) অধিনায়ক, খ) দর্শক, গ) রেফারি, ঘ) রানার</v>
      </c>
      <c r="M88" s="4" t="str">
        <f>IFERROR(__xludf.DUMMYFUNCTION("GOOGLETRANSLATE(D88, ""en"", ""bn"")"),"গ) রেফারি")</f>
        <v>গ) রেফারি</v>
      </c>
      <c r="N88" s="4" t="str">
        <f>IFERROR(__xludf.DUMMYFUNCTION("GOOGLETRANSLATE(E88, ""en"", ""bn"")"),"বিরোধ নিষ্পত্তির চূড়ান্ত কর্তৃত্ব রেফারির।")</f>
        <v>বিরোধ নিষ্পত্তির চূড়ান্ত কর্তৃত্ব রেফারির।</v>
      </c>
    </row>
    <row r="89">
      <c r="A89" s="3">
        <v>88.0</v>
      </c>
      <c r="B89" s="3" t="s">
        <v>833</v>
      </c>
      <c r="C89" s="3" t="s">
        <v>834</v>
      </c>
      <c r="D89" s="3" t="s">
        <v>835</v>
      </c>
      <c r="E89" s="3" t="s">
        <v>836</v>
      </c>
      <c r="J89" s="4" t="str">
        <f>IFERROR(__xludf.DUMMYFUNCTION("GOOGLETRANSLATE(A89, ""en"", ""bn"")"),"৮৮")</f>
        <v>৮৮</v>
      </c>
      <c r="K89" s="4" t="str">
        <f>IFERROR(__xludf.DUMMYFUNCTION("GOOGLETRANSLATE(B89, ""en"", ""bn"")"),"কাদা জমিতে গ্রিড অংশগুলি কীভাবে চিহ্নিত করা হয়?")</f>
        <v>কাদা জমিতে গ্রিড অংশগুলি কীভাবে চিহ্নিত করা হয়?</v>
      </c>
      <c r="L89" s="4" t="str">
        <f>IFERROR(__xludf.DUMMYFUNCTION("GOOGLETRANSLATE(C89, ""en"", ""bn"")"),"ক) চক, খ) ছাই, গ) দড়ি, ঘ) জল")</f>
        <v>ক) চক, খ) ছাই, গ) দড়ি, ঘ) জল</v>
      </c>
      <c r="M89" s="4" t="str">
        <f>IFERROR(__xludf.DUMMYFUNCTION("GOOGLETRANSLATE(D89, ""en"", ""bn"")"),"খ) ছাই")</f>
        <v>খ) ছাই</v>
      </c>
      <c r="N89" s="4" t="str">
        <f>IFERROR(__xludf.DUMMYFUNCTION("GOOGLETRANSLATE(E89, ""en"", ""bn"")"),"কাদামাটির জমিতে, ছাই বা চুনের গুঁড়ো প্রায়শই গ্রিড আঁকার জন্য ব্যবহার করা হয়।")</f>
        <v>কাদামাটির জমিতে, ছাই বা চুনের গুঁড়ো প্রায়শই গ্রিড আঁকার জন্য ব্যবহার করা হয়।</v>
      </c>
    </row>
    <row r="90">
      <c r="A90" s="3">
        <v>89.0</v>
      </c>
      <c r="B90" s="3" t="s">
        <v>837</v>
      </c>
      <c r="C90" s="3" t="s">
        <v>838</v>
      </c>
      <c r="D90" s="3" t="s">
        <v>802</v>
      </c>
      <c r="E90" s="3" t="s">
        <v>839</v>
      </c>
      <c r="J90" s="4" t="str">
        <f>IFERROR(__xludf.DUMMYFUNCTION("GOOGLETRANSLATE(A90, ""en"", ""bn"")"),"৮৯")</f>
        <v>৮৯</v>
      </c>
      <c r="K90" s="4" t="str">
        <f>IFERROR(__xludf.DUMMYFUNCTION("GOOGLETRANSLATE(B90, ""en"", ""bn"")"),"দাড়িবান্ধা খেলা শুরু করতে সর্বনিম্ন কতজন খেলোয়াড়ের প্রয়োজন?")</f>
        <v>দাড়িবান্ধা খেলা শুরু করতে সর্বনিম্ন কতজন খেলোয়াড়ের প্রয়োজন?</v>
      </c>
      <c r="L90" s="4" t="str">
        <f>IFERROR(__xludf.DUMMYFUNCTION("GOOGLETRANSLATE(C90, ""en"", ""bn"")"),"ক) ৪, খ) ৬, গ) ৮, ঘ) ১০")</f>
        <v>ক) ৪, খ) ৬, গ) ৮, ঘ) ১০</v>
      </c>
      <c r="M90" s="4" t="str">
        <f>IFERROR(__xludf.DUMMYFUNCTION("GOOGLETRANSLATE(D90, ""en"", ""bn"")"),"খ) ৬")</f>
        <v>খ) ৬</v>
      </c>
      <c r="N90" s="4" t="str">
        <f>IFERROR(__xludf.DUMMYFUNCTION("GOOGLETRANSLATE(E90, ""en"", ""bn"")"),"প্রতি দলে কমপক্ষে ৩ জন খেলোয়াড় (মোট ৬ জন) থাকতে হবে।")</f>
        <v>প্রতি দলে কমপক্ষে ৩ জন খেলোয়াড় (মোট ৬ জন) থাকতে হবে।</v>
      </c>
    </row>
    <row r="91">
      <c r="A91" s="3">
        <v>90.0</v>
      </c>
      <c r="B91" s="3" t="s">
        <v>840</v>
      </c>
      <c r="C91" s="3" t="s">
        <v>841</v>
      </c>
      <c r="D91" s="3" t="s">
        <v>401</v>
      </c>
      <c r="E91" s="3" t="s">
        <v>842</v>
      </c>
      <c r="J91" s="4" t="str">
        <f>IFERROR(__xludf.DUMMYFUNCTION("GOOGLETRANSLATE(A91, ""en"", ""bn"")"),"৯০")</f>
        <v>৯০</v>
      </c>
      <c r="K91" s="4" t="str">
        <f>IFERROR(__xludf.DUMMYFUNCTION("GOOGLETRANSLATE(B91, ""en"", ""bn"")"),"একজন দৌড়বিদ আঘাতের ভান করলে তার শাস্তি কী?")</f>
        <v>একজন দৌড়বিদ আঘাতের ভান করলে তার শাস্তি কী?</v>
      </c>
      <c r="L91" s="4" t="str">
        <f>IFERROR(__xludf.DUMMYFUNCTION("GOOGLETRANSLATE(C91, ""en"", ""bn"")"),"ক) সতর্কতা, খ) পয়েন্ট কর্তন, গ) অযোগ্যতা, ঘ) অতিরিক্ত সময়")</f>
        <v>ক) সতর্কতা, খ) পয়েন্ট কর্তন, গ) অযোগ্যতা, ঘ) অতিরিক্ত সময়</v>
      </c>
      <c r="M91" s="4" t="str">
        <f>IFERROR(__xludf.DUMMYFUNCTION("GOOGLETRANSLATE(D91, ""en"", ""bn"")"),"গ) অযোগ্যতা")</f>
        <v>গ) অযোগ্যতা</v>
      </c>
      <c r="N91" s="4" t="str">
        <f>IFERROR(__xludf.DUMMYFUNCTION("GOOGLETRANSLATE(E91, ""en"", ""bn"")"),"সুবিধার জন্য আঘাতের ভান করলে অযোগ্যতা ঘোষণা করা হয়।")</f>
        <v>সুবিধার জন্য আঘাতের ভান করলে অযোগ্যতা ঘোষণা করা হয়।</v>
      </c>
    </row>
    <row r="92">
      <c r="A92" s="3">
        <v>91.0</v>
      </c>
      <c r="B92" s="3" t="s">
        <v>843</v>
      </c>
      <c r="C92" s="3" t="s">
        <v>844</v>
      </c>
      <c r="D92" s="3" t="s">
        <v>831</v>
      </c>
      <c r="E92" s="3" t="s">
        <v>845</v>
      </c>
      <c r="J92" s="4" t="str">
        <f>IFERROR(__xludf.DUMMYFUNCTION("GOOGLETRANSLATE(A92, ""en"", ""bn"")"),"৯১")</f>
        <v>৯১</v>
      </c>
      <c r="K92" s="4" t="str">
        <f>IFERROR(__xludf.DUMMYFUNCTION("GOOGLETRANSLATE(B92, ""en"", ""bn"")"),"অনানুষ্ঠানিক খেলায় সময় রাখার জন্য কোন দল দায়ী?")</f>
        <v>অনানুষ্ঠানিক খেলায় সময় রাখার জন্য কোন দল দায়ী?</v>
      </c>
      <c r="L92" s="4" t="str">
        <f>IFERROR(__xludf.DUMMYFUNCTION("GOOGLETRANSLATE(C92, ""en"", ""bn"")"),"ক) রানার দল, খ) ডিফেন্ডার দল, গ) রেফারি, ঘ) দর্শক")</f>
        <v>ক) রানার দল, খ) ডিফেন্ডার দল, গ) রেফারি, ঘ) দর্শক</v>
      </c>
      <c r="M92" s="4" t="str">
        <f>IFERROR(__xludf.DUMMYFUNCTION("GOOGLETRANSLATE(D92, ""en"", ""bn"")"),"গ) রেফারি")</f>
        <v>গ) রেফারি</v>
      </c>
      <c r="N92" s="4" t="str">
        <f>IFERROR(__xludf.DUMMYFUNCTION("GOOGLETRANSLATE(E92, ""en"", ""bn"")"),"রেফারি বা আয়োজকরা অফিসিয়াল সময় রাখেন।")</f>
        <v>রেফারি বা আয়োজকরা অফিসিয়াল সময় রাখেন।</v>
      </c>
    </row>
    <row r="93">
      <c r="A93" s="3">
        <v>92.0</v>
      </c>
      <c r="B93" s="3" t="s">
        <v>846</v>
      </c>
      <c r="C93" s="3" t="s">
        <v>847</v>
      </c>
      <c r="D93" s="3" t="s">
        <v>848</v>
      </c>
      <c r="E93" s="3" t="s">
        <v>849</v>
      </c>
      <c r="J93" s="4" t="str">
        <f>IFERROR(__xludf.DUMMYFUNCTION("GOOGLETRANSLATE(A93, ""en"", ""bn"")"),"৯২")</f>
        <v>৯২</v>
      </c>
      <c r="K93" s="4" t="str">
        <f>IFERROR(__xludf.DUMMYFUNCTION("GOOGLETRANSLATE(B93, ""en"", ""bn"")"),"বাঁশি বাজানোর আগে যদি একজন রানার গ্রিডে প্রবেশ করে তাহলে কী হবে?")</f>
        <v>বাঁশি বাজানোর আগে যদি একজন রানার গ্রিডে প্রবেশ করে তাহলে কী হবে?</v>
      </c>
      <c r="L93" s="4" t="str">
        <f>IFERROR(__xludf.DUMMYFUNCTION("GOOGLETRANSLATE(C93, ""en"", ""bn"")"),"ক) তারা নিরাপদ, খ) তারা বাইরে, গ) তারা একটি পয়েন্ট পেয়েছে, ঘ) ডিফেন্ডারকে শাস্তি দেওয়া হয়েছে")</f>
        <v>ক) তারা নিরাপদ, খ) তারা বাইরে, গ) তারা একটি পয়েন্ট পেয়েছে, ঘ) ডিফেন্ডারকে শাস্তি দেওয়া হয়েছে</v>
      </c>
      <c r="M93" s="4" t="str">
        <f>IFERROR(__xludf.DUMMYFUNCTION("GOOGLETRANSLATE(D93, ""en"", ""bn"")"),"খ) তারা বাইরে আছে")</f>
        <v>খ) তারা বাইরে আছে</v>
      </c>
      <c r="N93" s="4" t="str">
        <f>IFERROR(__xludf.DUMMYFUNCTION("GOOGLETRANSLATE(E93, ""en"", ""bn"")"),"শুরুর সংকেতের আগে প্রবেশ করলেই বাদ পড়ে যায়।")</f>
        <v>শুরুর সংকেতের আগে প্রবেশ করলেই বাদ পড়ে যায়।</v>
      </c>
    </row>
    <row r="94">
      <c r="A94" s="3">
        <v>93.0</v>
      </c>
      <c r="B94" s="3" t="s">
        <v>850</v>
      </c>
      <c r="C94" s="3" t="s">
        <v>733</v>
      </c>
      <c r="D94" s="3" t="s">
        <v>566</v>
      </c>
      <c r="E94" s="3" t="s">
        <v>851</v>
      </c>
      <c r="J94" s="4" t="str">
        <f>IFERROR(__xludf.DUMMYFUNCTION("GOOGLETRANSLATE(A94, ""en"", ""bn"")"),"৯৩")</f>
        <v>৯৩</v>
      </c>
      <c r="K94" s="4" t="str">
        <f>IFERROR(__xludf.DUMMYFUNCTION("GOOGLETRANSLATE(B94, ""en"", ""bn"")"),"একজন ডিফেন্ডার আবার লাইন স্পর্শ না করে সর্বোচ্চ কত ধাপ এগিয়ে যেতে পারে?")</f>
        <v>একজন ডিফেন্ডার আবার লাইন স্পর্শ না করে সর্বোচ্চ কত ধাপ এগিয়ে যেতে পারে?</v>
      </c>
      <c r="L94" s="4" t="str">
        <f>IFERROR(__xludf.DUMMYFUNCTION("GOOGLETRANSLATE(C94, ""en"", ""bn"")"),"ক) ১, খ) ২, গ) ৩, ঘ) সীমাহীন")</f>
        <v>ক) ১, খ) ২, গ) ৩, ঘ) সীমাহীন</v>
      </c>
      <c r="M94" s="4" t="str">
        <f>IFERROR(__xludf.DUMMYFUNCTION("GOOGLETRANSLATE(D94, ""en"", ""bn"")"),"ক) ১")</f>
        <v>ক) ১</v>
      </c>
      <c r="N94" s="4" t="str">
        <f>IFERROR(__xludf.DUMMYFUNCTION("GOOGLETRANSLATE(E94, ""en"", ""bn"")"),"ডিফেন্ডারদের সর্বদা তাদের লাইনের কমপক্ষে এক ধাপ কাছাকাছি থাকতে হবে।")</f>
        <v>ডিফেন্ডারদের সর্বদা তাদের লাইনের কমপক্ষে এক ধাপ কাছাকাছি থাকতে হবে।</v>
      </c>
    </row>
    <row r="95">
      <c r="A95" s="3">
        <v>94.0</v>
      </c>
      <c r="B95" s="3" t="s">
        <v>852</v>
      </c>
      <c r="C95" s="3" t="s">
        <v>853</v>
      </c>
      <c r="D95" s="3" t="s">
        <v>854</v>
      </c>
      <c r="E95" s="3" t="s">
        <v>855</v>
      </c>
      <c r="J95" s="4" t="str">
        <f>IFERROR(__xludf.DUMMYFUNCTION("GOOGLETRANSLATE(A95, ""en"", ""bn"")"),"৯৪")</f>
        <v>৯৪</v>
      </c>
      <c r="K95" s="4" t="str">
        <f>IFERROR(__xludf.DUMMYFUNCTION("GOOGLETRANSLATE(B95, ""en"", ""bn"")"),"খেলার সময় যদি মাঠের চিহ্ন মুছে ফেলা হয় তাহলে কী হবে?")</f>
        <v>খেলার সময় যদি মাঠের চিহ্ন মুছে ফেলা হয় তাহলে কী হবে?</v>
      </c>
      <c r="L95" s="4" t="str">
        <f>IFERROR(__xludf.DUMMYFUNCTION("GOOGLETRANSLATE(C95, ""en"", ""bn"")"),"ক) খেলা চলতে থাকে, খ) খেলা স্থগিত থাকে, গ) ডিফেন্ডাররা পয়েন্ট পায়, ঘ) রানাররা জয়ী হয়")</f>
        <v>ক) খেলা চলতে থাকে, খ) খেলা স্থগিত থাকে, গ) ডিফেন্ডাররা পয়েন্ট পায়, ঘ) রানাররা জয়ী হয়</v>
      </c>
      <c r="M95" s="4" t="str">
        <f>IFERROR(__xludf.DUMMYFUNCTION("GOOGLETRANSLATE(D95, ""en"", ""bn"")"),"খ) ম্যাচ স্থগিত করা হয়েছে")</f>
        <v>খ) ম্যাচ স্থগিত করা হয়েছে</v>
      </c>
      <c r="N95" s="4" t="str">
        <f>IFERROR(__xludf.DUMMYFUNCTION("GOOGLETRANSLATE(E95, ""en"", ""bn"")"),"রেফারি খেলা থামিয়ে অনুপস্থিত রেখাগুলি পুনরায় আঁকেন।")</f>
        <v>রেফারি খেলা থামিয়ে অনুপস্থিত রেখাগুলি পুনরায় আঁকেন।</v>
      </c>
    </row>
    <row r="96">
      <c r="A96" s="3">
        <v>95.0</v>
      </c>
      <c r="B96" s="3" t="s">
        <v>856</v>
      </c>
      <c r="C96" s="3" t="s">
        <v>857</v>
      </c>
      <c r="D96" s="3" t="s">
        <v>858</v>
      </c>
      <c r="E96" s="3" t="s">
        <v>859</v>
      </c>
      <c r="J96" s="4" t="str">
        <f>IFERROR(__xludf.DUMMYFUNCTION("GOOGLETRANSLATE(A96, ""en"", ""bn"")"),"৯৫")</f>
        <v>৯৫</v>
      </c>
      <c r="K96" s="4" t="str">
        <f>IFERROR(__xludf.DUMMYFUNCTION("GOOGLETRANSLATE(B96, ""en"", ""bn"")"),"রাউন্ডের মধ্যে বিশ্রামের আদর্শ সময় কত?")</f>
        <v>রাউন্ডের মধ্যে বিশ্রামের আদর্শ সময় কত?</v>
      </c>
      <c r="L96" s="4" t="str">
        <f>IFERROR(__xludf.DUMMYFUNCTION("GOOGLETRANSLATE(C96, ""en"", ""bn"")"),"A) 1 মিনিট, B) 2 মিনিট, C) 5 মিনিট, D) 10 মিনিট")</f>
        <v>A) 1 মিনিট, B) 2 মিনিট, C) 5 মিনিট, D) 10 মিনিট</v>
      </c>
      <c r="M96" s="4" t="str">
        <f>IFERROR(__xludf.DUMMYFUNCTION("GOOGLETRANSLATE(D96, ""en"", ""bn"")"),"খ) ২ মিনিট")</f>
        <v>খ) ২ মিনিট</v>
      </c>
      <c r="N96" s="4" t="str">
        <f>IFERROR(__xludf.DUMMYFUNCTION("GOOGLETRANSLATE(E96, ""en"", ""bn"")"),"খেলোয়াড়রা সাধারণত দুটি রাউন্ডের মধ্যে ২ মিনিট বিশ্রাম পান।")</f>
        <v>খেলোয়াড়রা সাধারণত দুটি রাউন্ডের মধ্যে ২ মিনিট বিশ্রাম পান।</v>
      </c>
    </row>
    <row r="97">
      <c r="A97" s="3">
        <v>96.0</v>
      </c>
      <c r="B97" s="3" t="s">
        <v>860</v>
      </c>
      <c r="C97" s="3" t="s">
        <v>861</v>
      </c>
      <c r="D97" s="3" t="s">
        <v>862</v>
      </c>
      <c r="E97" s="3" t="s">
        <v>863</v>
      </c>
      <c r="J97" s="4" t="str">
        <f>IFERROR(__xludf.DUMMYFUNCTION("GOOGLETRANSLATE(A97, ""en"", ""bn"")"),"৯৬")</f>
        <v>৯৬</v>
      </c>
      <c r="K97" s="4" t="str">
        <f>IFERROR(__xludf.DUMMYFUNCTION("GOOGLETRANSLATE(B97, ""en"", ""bn"")"),"যদি দুজন ডিফেন্ডার ভুলবশত একই লাইনে দাঁড়ায় তাহলে কী হবে?")</f>
        <v>যদি দুজন ডিফেন্ডার ভুলবশত একই লাইনে দাঁড়ায় তাহলে কী হবে?</v>
      </c>
      <c r="L97" s="4" t="str">
        <f>IFERROR(__xludf.DUMMYFUNCTION("GOOGLETRANSLATE(C97, ""en"", ""bn"")"),"ক) কিছুই না, খ) পেনাল্টি, গ) রানার্স স্কোর, ঘ) খেলা পুনরায় শুরু")</f>
        <v>ক) কিছুই না, খ) পেনাল্টি, গ) রানার্স স্কোর, ঘ) খেলা পুনরায় শুরু</v>
      </c>
      <c r="M97" s="4" t="str">
        <f>IFERROR(__xludf.DUMMYFUNCTION("GOOGLETRANSLATE(D97, ""en"", ""bn"")"),"খ) জরিমানা")</f>
        <v>খ) জরিমানা</v>
      </c>
      <c r="N97" s="4" t="str">
        <f>IFERROR(__xludf.DUMMYFUNCTION("GOOGLETRANSLATE(E97, ""en"", ""bn"")"),"প্রতি লাইনে কেবল একজন ডিফেন্ডারকে অনুমতি দেওয়া হবে; একাধিক ডিফেন্ডারকে শাস্তি দেওয়া হবে।")</f>
        <v>প্রতি লাইনে কেবল একজন ডিফেন্ডারকে অনুমতি দেওয়া হবে; একাধিক ডিফেন্ডারকে শাস্তি দেওয়া হবে।</v>
      </c>
    </row>
    <row r="98">
      <c r="A98" s="3">
        <v>97.0</v>
      </c>
      <c r="B98" s="3" t="s">
        <v>864</v>
      </c>
      <c r="C98" s="3" t="s">
        <v>865</v>
      </c>
      <c r="D98" s="3" t="s">
        <v>866</v>
      </c>
      <c r="E98" s="3" t="s">
        <v>867</v>
      </c>
      <c r="J98" s="4" t="str">
        <f>IFERROR(__xludf.DUMMYFUNCTION("GOOGLETRANSLATE(A98, ""en"", ""bn"")"),"৯৭")</f>
        <v>৯৭</v>
      </c>
      <c r="K98" s="4" t="str">
        <f>IFERROR(__xludf.DUMMYFUNCTION("GOOGLETRANSLATE(B98, ""en"", ""bn"")"),"গ্রিডের কোন দিকটিকে ""শেষ অঞ্চল"" হিসাবে বিবেচনা করা হয়?")</f>
        <v>গ্রিডের কোন দিকটিকে "শেষ অঞ্চল" হিসাবে বিবেচনা করা হয়?</v>
      </c>
      <c r="L98" s="4" t="str">
        <f>IFERROR(__xludf.DUMMYFUNCTION("GOOGLETRANSLATE(C98, ""en"", ""bn"")"),"ক) উভয় প্রান্ত, খ) কেবল এক প্রান্ত, গ) কেন্দ্র, ঘ) বাম দিক")</f>
        <v>ক) উভয় প্রান্ত, খ) কেবল এক প্রান্ত, গ) কেন্দ্র, ঘ) বাম দিক</v>
      </c>
      <c r="M98" s="4" t="str">
        <f>IFERROR(__xludf.DUMMYFUNCTION("GOOGLETRANSLATE(D98, ""en"", ""bn"")"),"ক) উভয় প্রান্ত")</f>
        <v>ক) উভয় প্রান্ত</v>
      </c>
      <c r="N98" s="4" t="str">
        <f>IFERROR(__xludf.DUMMYFUNCTION("GOOGLETRANSLATE(E98, ""en"", ""bn"")"),"দৌড়বিদরা নিরাপত্তা এবং পয়েন্টের জন্য উভয় প্রান্তের অঞ্চলে পৌঁছাতে পারেন।")</f>
        <v>দৌড়বিদরা নিরাপত্তা এবং পয়েন্টের জন্য উভয় প্রান্তের অঞ্চলে পৌঁছাতে পারেন।</v>
      </c>
    </row>
    <row r="99">
      <c r="A99" s="3">
        <v>98.0</v>
      </c>
      <c r="B99" s="3" t="s">
        <v>868</v>
      </c>
      <c r="C99" s="3" t="s">
        <v>869</v>
      </c>
      <c r="D99" s="3" t="s">
        <v>870</v>
      </c>
      <c r="E99" s="3" t="s">
        <v>871</v>
      </c>
      <c r="J99" s="4" t="str">
        <f>IFERROR(__xludf.DUMMYFUNCTION("GOOGLETRANSLATE(A99, ""en"", ""bn"")"),"৯৮")</f>
        <v>৯৮</v>
      </c>
      <c r="K99" s="4" t="str">
        <f>IFERROR(__xludf.DUMMYFUNCTION("GOOGLETRANSLATE(B99, ""en"", ""bn"")"),"যদি একজন ডিফেন্ডার গ্রিডের বাইরে একজন রানারকে ট্যাগ করে তাহলে কী হবে?")</f>
        <v>যদি একজন ডিফেন্ডার গ্রিডের বাইরে একজন রানারকে ট্যাগ করে তাহলে কী হবে?</v>
      </c>
      <c r="L99" s="4" t="str">
        <f>IFERROR(__xludf.DUMMYFUNCTION("GOOGLETRANSLATE(C99, ""en"", ""bn"")"),"ক) রানার আউট, খ) ডিফেন্ডারকে শাস্তি, গ) উভয়ই বাদ, ঘ) খেলা পুনরায় শুরু")</f>
        <v>ক) রানার আউট, খ) ডিফেন্ডারকে শাস্তি, গ) উভয়ই বাদ, ঘ) খেলা পুনরায় শুরু</v>
      </c>
      <c r="M99" s="4" t="str">
        <f>IFERROR(__xludf.DUMMYFUNCTION("GOOGLETRANSLATE(D99, ""en"", ""bn"")"),"খ) ডিফেন্ডারকে শাস্তি দেওয়া হয়েছে")</f>
        <v>খ) ডিফেন্ডারকে শাস্তি দেওয়া হয়েছে</v>
      </c>
      <c r="N99" s="4" t="str">
        <f>IFERROR(__xludf.DUMMYFUNCTION("GOOGLETRANSLATE(E99, ""en"", ""bn"")"),"ডিফেন্ডাররা কেবল তাদের নির্ধারিত গ্রিড লাইনের মধ্যেই ট্যাগ করতে পারে।")</f>
        <v>ডিফেন্ডাররা কেবল তাদের নির্ধারিত গ্রিড লাইনের মধ্যেই ট্যাগ করতে পারে।</v>
      </c>
    </row>
    <row r="100">
      <c r="A100" s="3">
        <v>99.0</v>
      </c>
      <c r="B100" s="3" t="s">
        <v>872</v>
      </c>
      <c r="C100" s="3" t="s">
        <v>873</v>
      </c>
      <c r="D100" s="3" t="s">
        <v>874</v>
      </c>
      <c r="E100" s="3" t="s">
        <v>875</v>
      </c>
      <c r="J100" s="4" t="str">
        <f>IFERROR(__xludf.DUMMYFUNCTION("GOOGLETRANSLATE(A100, ""en"", ""bn"")"),"৯৯")</f>
        <v>৯৯</v>
      </c>
      <c r="K100" s="4" t="str">
        <f>IFERROR(__xludf.DUMMYFUNCTION("GOOGLETRANSLATE(B100, ""en"", ""bn"")"),"রানার এবং ডিফেন্ডার উভয়ের জন্যই কোন দক্ষতা সমানভাবে গুরুত্বপূর্ণ?")</f>
        <v>রানার এবং ডিফেন্ডার উভয়ের জন্যই কোন দক্ষতা সমানভাবে গুরুত্বপূর্ণ?</v>
      </c>
      <c r="L100" s="4" t="str">
        <f>IFERROR(__xludf.DUMMYFUNCTION("GOOGLETRANSLATE(C100, ""en"", ""bn"")"),"ক) শক্তি, খ) নমনীয়তা, গ) একাগ্রতা, ঘ) লাফানো")</f>
        <v>ক) শক্তি, খ) নমনীয়তা, গ) একাগ্রতা, ঘ) লাফানো</v>
      </c>
      <c r="M100" s="4" t="str">
        <f>IFERROR(__xludf.DUMMYFUNCTION("GOOGLETRANSLATE(D100, ""en"", ""bn"")"),"গ) ঘনত্ব")</f>
        <v>গ) ঘনত্ব</v>
      </c>
      <c r="N100" s="4" t="str">
        <f>IFERROR(__xludf.DUMMYFUNCTION("GOOGLETRANSLATE(E100, ""en"", ""bn"")"),"উভয় ভূমিকাতেই সফল হওয়ার জন্য উচ্চ মনোযোগের প্রয়োজন।")</f>
        <v>উভয় ভূমিকাতেই সফল হওয়ার জন্য উচ্চ মনোযোগের প্রয়োজন।</v>
      </c>
    </row>
    <row r="101">
      <c r="A101" s="3">
        <v>100.0</v>
      </c>
      <c r="B101" s="3" t="s">
        <v>876</v>
      </c>
      <c r="C101" s="3" t="s">
        <v>877</v>
      </c>
      <c r="D101" s="3" t="s">
        <v>878</v>
      </c>
      <c r="E101" s="3" t="s">
        <v>879</v>
      </c>
      <c r="J101" s="4" t="str">
        <f>IFERROR(__xludf.DUMMYFUNCTION("GOOGLETRANSLATE(A101, ""en"", ""bn"")"),"১০০")</f>
        <v>১০০</v>
      </c>
      <c r="K101" s="4" t="str">
        <f>IFERROR(__xludf.DUMMYFUNCTION("GOOGLETRANSLATE(B101, ""en"", ""bn"")"),"একটি রাউন্ডের পরে যদি কোনও দল ভূমিকা পরিবর্তন করতে অস্বীকৃতি জানায় তবে কী হবে?")</f>
        <v>একটি রাউন্ডের পরে যদি কোনও দল ভূমিকা পরিবর্তন করতে অস্বীকৃতি জানায় তবে কী হবে?</v>
      </c>
      <c r="L101" s="4" t="str">
        <f>IFERROR(__xludf.DUMMYFUNCTION("GOOGLETRANSLATE(C101, ""en"", ""bn"")"),"ক) খেলা শেষ, খ) স্বয়ংক্রিয়ভাবে বাজেয়াপ্ত, গ) পয়েন্ট কর্তন, ঘ) রিপ্লে")</f>
        <v>ক) খেলা শেষ, খ) স্বয়ংক্রিয়ভাবে বাজেয়াপ্ত, গ) পয়েন্ট কর্তন, ঘ) রিপ্লে</v>
      </c>
      <c r="M101" s="4" t="str">
        <f>IFERROR(__xludf.DUMMYFUNCTION("GOOGLETRANSLATE(D101, ""en"", ""bn"")"),"খ) স্বয়ংক্রিয়ভাবে বাজেয়াপ্ত")</f>
        <v>খ) স্বয়ংক্রিয়ভাবে বাজেয়াপ্ত</v>
      </c>
      <c r="N101" s="4" t="str">
        <f>IFERROR(__xludf.DUMMYFUNCTION("GOOGLETRANSLATE(E101, ""en"", ""bn"")"),"ভূমিকা পরিবর্তন করতে অস্বীকৃতি জানালে দলের অযোগ্যতা/বাজেয়াপ্তি ঘটবে।")</f>
        <v>ভূমিকা পরিবর্তন করতে অস্বীকৃতি জানালে দলের অযোগ্যতা/বাজেয়াপ্তি ঘটবে।</v>
      </c>
    </row>
    <row r="102">
      <c r="A102" s="3">
        <v>101.0</v>
      </c>
      <c r="B102" s="3" t="s">
        <v>880</v>
      </c>
      <c r="C102" s="3" t="s">
        <v>881</v>
      </c>
      <c r="D102" s="3" t="s">
        <v>882</v>
      </c>
      <c r="E102" s="3" t="s">
        <v>883</v>
      </c>
      <c r="J102" s="4" t="str">
        <f>IFERROR(__xludf.DUMMYFUNCTION("GOOGLETRANSLATE(A102, ""en"", ""bn"")"),"১০১")</f>
        <v>১০১</v>
      </c>
      <c r="K102" s="4" t="str">
        <f>IFERROR(__xludf.DUMMYFUNCTION("GOOGLETRANSLATE(B102, ""en"", ""bn"")"),"একটি পূর্ণাঙ্গ দাড়িবান্ধা ম্যাচের সর্বোচ্চ সময়কাল কত?")</f>
        <v>একটি পূর্ণাঙ্গ দাড়িবান্ধা ম্যাচের সর্বোচ্চ সময়কাল কত?</v>
      </c>
      <c r="L102" s="4" t="str">
        <f>IFERROR(__xludf.DUMMYFUNCTION("GOOGLETRANSLATE(C102, ""en"", ""bn"")"),"A) 15 মিনিট, B) 30 মিনিট, C) 45 মিনিট, D) 60 মিনিট")</f>
        <v>A) 15 মিনিট, B) 30 মিনিট, C) 45 মিনিট, D) 60 মিনিট</v>
      </c>
      <c r="M102" s="4" t="str">
        <f>IFERROR(__xludf.DUMMYFUNCTION("GOOGLETRANSLATE(D102, ""en"", ""bn"")"),"খ) ৩০ মিনিট")</f>
        <v>খ) ৩০ মিনিট</v>
      </c>
      <c r="N102" s="4" t="str">
        <f>IFERROR(__xludf.DUMMYFUNCTION("GOOGLETRANSLATE(E102, ""en"", ""bn"")"),"৩ রাউন্ডের একটি আদর্শ খেলা সাধারণত প্রায় ৩০ মিনিট স্থায়ী হয়।")</f>
        <v>৩ রাউন্ডের একটি আদর্শ খেলা সাধারণত প্রায় ৩০ মিনিট স্থায়ী হয়।</v>
      </c>
    </row>
    <row r="103">
      <c r="A103" s="3">
        <v>102.0</v>
      </c>
      <c r="B103" s="3" t="s">
        <v>884</v>
      </c>
      <c r="C103" s="3" t="s">
        <v>885</v>
      </c>
      <c r="D103" s="3" t="s">
        <v>886</v>
      </c>
      <c r="E103" s="3" t="s">
        <v>887</v>
      </c>
      <c r="J103" s="4" t="str">
        <f>IFERROR(__xludf.DUMMYFUNCTION("GOOGLETRANSLATE(A103, ""en"", ""bn"")"),"১০২")</f>
        <v>১০২</v>
      </c>
      <c r="K103" s="4" t="str">
        <f>IFERROR(__xludf.DUMMYFUNCTION("GOOGLETRANSLATE(B103, ""en"", ""bn"")"),"বাঁশি বাজানোর পর যদি দৌড়বিদরা গ্রিডে প্রবেশ করতে দেরি করে তাহলে কী হবে?")</f>
        <v>বাঁশি বাজানোর পর যদি দৌড়বিদরা গ্রিডে প্রবেশ করতে দেরি করে তাহলে কী হবে?</v>
      </c>
      <c r="L103" s="4" t="str">
        <f>IFERROR(__xludf.DUMMYFUNCTION("GOOGLETRANSLATE(C103, ""en"", ""bn"")"),"ক) কিছুই না, খ) রানারদের সতর্ক করা হয়, গ) ডিফেন্ডারদের স্কোর, ঘ) রাউন্ড পুনরায় শুরু হয়")</f>
        <v>ক) কিছুই না, খ) রানারদের সতর্ক করা হয়, গ) ডিফেন্ডারদের স্কোর, ঘ) রাউন্ড পুনরায় শুরু হয়</v>
      </c>
      <c r="M103" s="4" t="str">
        <f>IFERROR(__xludf.DUMMYFUNCTION("GOOGLETRANSLATE(D103, ""en"", ""bn"")"),"খ) দৌড়বিদদের সতর্ক করা হয়")</f>
        <v>খ) দৌড়বিদদের সতর্ক করা হয়</v>
      </c>
      <c r="N103" s="4" t="str">
        <f>IFERROR(__xludf.DUMMYFUNCTION("GOOGLETRANSLATE(E103, ""en"", ""bn"")"),"বাঁশির পরে প্রবেশে বিলম্ব করলে সতর্কতা সহ জরিমানা করা হবে।")</f>
        <v>বাঁশির পরে প্রবেশে বিলম্ব করলে সতর্কতা সহ জরিমানা করা হবে।</v>
      </c>
    </row>
    <row r="104">
      <c r="A104" s="3">
        <v>103.0</v>
      </c>
      <c r="B104" s="3" t="s">
        <v>888</v>
      </c>
      <c r="C104" s="3" t="s">
        <v>23</v>
      </c>
      <c r="D104" s="3" t="s">
        <v>24</v>
      </c>
      <c r="E104" s="3" t="s">
        <v>889</v>
      </c>
      <c r="J104" s="4" t="str">
        <f>IFERROR(__xludf.DUMMYFUNCTION("GOOGLETRANSLATE(A104, ""en"", ""bn"")"),"১০৩")</f>
        <v>১০৩</v>
      </c>
      <c r="K104" s="4" t="str">
        <f>IFERROR(__xludf.DUMMYFUNCTION("GOOGLETRANSLATE(B104, ""en"", ""bn"")"),"একটি দাড়িবান্ধা মাঠে সাধারণত কয়টি প্রান্ত অঞ্চল আঁকা হয়?")</f>
        <v>একটি দাড়িবান্ধা মাঠে সাধারণত কয়টি প্রান্ত অঞ্চল আঁকা হয়?</v>
      </c>
      <c r="L104" s="4" t="str">
        <f>IFERROR(__xludf.DUMMYFUNCTION("GOOGLETRANSLATE(C104, ""en"", ""bn"")"),"ক) ১, খ) ২, গ) ৩, ঘ) ৪")</f>
        <v>ক) ১, খ) ২, গ) ৩, ঘ) ৪</v>
      </c>
      <c r="M104" s="4" t="str">
        <f>IFERROR(__xludf.DUMMYFUNCTION("GOOGLETRANSLATE(D104, ""en"", ""bn"")"),"খ) ২")</f>
        <v>খ) ২</v>
      </c>
      <c r="N104" s="4" t="str">
        <f>IFERROR(__xludf.DUMMYFUNCTION("GOOGLETRANSLATE(E104, ""en"", ""bn"")"),"দৌড়বিদদের নিরাপদে পৌঁছানোর জন্য মাঠের প্রতিটি প্রান্তে একটি করে।")</f>
        <v>দৌড়বিদদের নিরাপদে পৌঁছানোর জন্য মাঠের প্রতিটি প্রান্তে একটি করে।</v>
      </c>
    </row>
    <row r="105">
      <c r="A105" s="3">
        <v>104.0</v>
      </c>
      <c r="B105" s="3" t="s">
        <v>890</v>
      </c>
      <c r="C105" s="3" t="s">
        <v>748</v>
      </c>
      <c r="D105" s="3" t="s">
        <v>749</v>
      </c>
      <c r="E105" s="3" t="s">
        <v>891</v>
      </c>
      <c r="J105" s="4" t="str">
        <f>IFERROR(__xludf.DUMMYFUNCTION("GOOGLETRANSLATE(A105, ""en"", ""bn"")"),"১০৪")</f>
        <v>১০৪</v>
      </c>
      <c r="K105" s="4" t="str">
        <f>IFERROR(__xludf.DUMMYFUNCTION("GOOGLETRANSLATE(B105, ""en"", ""bn"")"),"প্রতিপক্ষ দলের পালা চলাকালীন কোন দলকে নীরব থাকতে হবে?")</f>
        <v>প্রতিপক্ষ দলের পালা চলাকালীন কোন দলকে নীরব থাকতে হবে?</v>
      </c>
      <c r="L105" s="4" t="str">
        <f>IFERROR(__xludf.DUMMYFUNCTION("GOOGLETRANSLATE(C105, ""en"", ""bn"")"),"ক) রানার, খ) ডিফেন্ডার, গ) উভয়ই, ঘ) কোনটিই নয়")</f>
        <v>ক) রানার, খ) ডিফেন্ডার, গ) উভয়ই, ঘ) কোনটিই নয়</v>
      </c>
      <c r="M105" s="4" t="str">
        <f>IFERROR(__xludf.DUMMYFUNCTION("GOOGLETRANSLATE(D105, ""en"", ""bn"")"),"গ) উভয়ই")</f>
        <v>গ) উভয়ই</v>
      </c>
      <c r="N105" s="4" t="str">
        <f>IFERROR(__xludf.DUMMYFUNCTION("GOOGLETRANSLATE(E105, ""en"", ""bn"")"),"ন্যায্যতা নিশ্চিত করার জন্য, উভয় দলকেই পালাক্রমে বিভ্রান্তিকর শব্দ এড়িয়ে চলতে হবে।")</f>
        <v>ন্যায্যতা নিশ্চিত করার জন্য, উভয় দলকেই পালাক্রমে বিভ্রান্তিকর শব্দ এড়িয়ে চলতে হবে।</v>
      </c>
    </row>
    <row r="106">
      <c r="A106" s="3">
        <v>105.0</v>
      </c>
      <c r="B106" s="3" t="s">
        <v>892</v>
      </c>
      <c r="C106" s="3" t="s">
        <v>893</v>
      </c>
      <c r="D106" s="3" t="s">
        <v>870</v>
      </c>
      <c r="E106" s="3" t="s">
        <v>894</v>
      </c>
      <c r="J106" s="4" t="str">
        <f>IFERROR(__xludf.DUMMYFUNCTION("GOOGLETRANSLATE(A106, ""en"", ""bn"")"),"১০৫")</f>
        <v>১০৫</v>
      </c>
      <c r="K106" s="4" t="str">
        <f>IFERROR(__xludf.DUMMYFUNCTION("GOOGLETRANSLATE(B106, ""en"", ""bn"")"),"ট্যাগিং করার সময় যদি কোনও ডিফেন্ডার ভুলবশত লাইন ছেড়ে চলে যায় তাহলে কী হবে?")</f>
        <v>ট্যাগিং করার সময় যদি কোনও ডিফেন্ডার ভুলবশত লাইন ছেড়ে চলে যায় তাহলে কী হবে?</v>
      </c>
      <c r="L106" s="4" t="str">
        <f>IFERROR(__xludf.DUMMYFUNCTION("GOOGLETRANSLATE(C106, ""en"", ""bn"")"),"ক) রানার আউট, খ) ডিফেন্ডারকে শাস্তি দেওয়া হয়েছে, গ) কোন প্রভাব নেই, ঘ) রানার পয়েন্ট পেয়েছে")</f>
        <v>ক) রানার আউট, খ) ডিফেন্ডারকে শাস্তি দেওয়া হয়েছে, গ) কোন প্রভাব নেই, ঘ) রানার পয়েন্ট পেয়েছে</v>
      </c>
      <c r="M106" s="4" t="str">
        <f>IFERROR(__xludf.DUMMYFUNCTION("GOOGLETRANSLATE(D106, ""en"", ""bn"")"),"খ) ডিফেন্ডারকে শাস্তি দেওয়া হয়েছে")</f>
        <v>খ) ডিফেন্ডারকে শাস্তি দেওয়া হয়েছে</v>
      </c>
      <c r="N106" s="4" t="str">
        <f>IFERROR(__xludf.DUMMYFUNCTION("GOOGLETRANSLATE(E106, ""en"", ""bn"")"),"ট্যাগিং করার সময় ডিফেন্ডারদের অবশ্যই তাদের লাইনে কঠোরভাবে থাকতে হবে।")</f>
        <v>ট্যাগিং করার সময় ডিফেন্ডারদের অবশ্যই তাদের লাইনে কঠোরভাবে থাকতে হবে।</v>
      </c>
    </row>
    <row r="107">
      <c r="A107" s="3">
        <v>106.0</v>
      </c>
      <c r="B107" s="3" t="s">
        <v>895</v>
      </c>
      <c r="C107" s="3" t="s">
        <v>896</v>
      </c>
      <c r="D107" s="3" t="s">
        <v>897</v>
      </c>
      <c r="E107" s="3" t="s">
        <v>898</v>
      </c>
      <c r="J107" s="4" t="str">
        <f>IFERROR(__xludf.DUMMYFUNCTION("GOOGLETRANSLATE(A107, ""en"", ""bn"")"),"১০৬")</f>
        <v>১০৬</v>
      </c>
      <c r="K107" s="4" t="str">
        <f>IFERROR(__xludf.DUMMYFUNCTION("GOOGLETRANSLATE(B107, ""en"", ""bn"")"),"এক সময়ে মাঠে সর্বোচ্চ কত সংখ্যক দৌড়বিদ থাকতে পারবেন?")</f>
        <v>এক সময়ে মাঠে সর্বোচ্চ কত সংখ্যক দৌড়বিদ থাকতে পারবেন?</v>
      </c>
      <c r="L107" s="4" t="str">
        <f>IFERROR(__xludf.DUMMYFUNCTION("GOOGLETRANSLATE(C107, ""en"", ""bn"")"),"ক) ৩, খ) ৫, গ) ৭, ঘ) ৯")</f>
        <v>ক) ৩, খ) ৫, গ) ৭, ঘ) ৯</v>
      </c>
      <c r="M107" s="4" t="str">
        <f>IFERROR(__xludf.DUMMYFUNCTION("GOOGLETRANSLATE(D107, ""en"", ""bn"")"),"গ) ৭")</f>
        <v>গ) ৭</v>
      </c>
      <c r="N107" s="4" t="str">
        <f>IFERROR(__xludf.DUMMYFUNCTION("GOOGLETRANSLATE(E107, ""en"", ""bn"")"),"স্ট্যান্ডার্ড নিয়ম অনুসারে প্রতি রাউন্ডে ৫-৭ জন দৌড়বিদ থাকতে পারবেন।")</f>
        <v>স্ট্যান্ডার্ড নিয়ম অনুসারে প্রতি রাউন্ডে ৫-৭ জন দৌড়বিদ থাকতে পারবেন।</v>
      </c>
    </row>
    <row r="108">
      <c r="A108" s="3">
        <v>107.0</v>
      </c>
      <c r="B108" s="3" t="s">
        <v>899</v>
      </c>
      <c r="C108" s="3" t="s">
        <v>900</v>
      </c>
      <c r="D108" s="3" t="s">
        <v>901</v>
      </c>
      <c r="E108" s="3" t="s">
        <v>902</v>
      </c>
      <c r="J108" s="4" t="str">
        <f>IFERROR(__xludf.DUMMYFUNCTION("GOOGLETRANSLATE(A108, ""en"", ""bn"")"),"১০৭")</f>
        <v>১০৭</v>
      </c>
      <c r="K108" s="4" t="str">
        <f>IFERROR(__xludf.DUMMYFUNCTION("GOOGLETRANSLATE(B108, ""en"", ""bn"")"),"দাড়িবান্ধায় মধ্যরেখার উদ্দেশ্য কী?")</f>
        <v>দাড়িবান্ধায় মধ্যরেখার উদ্দেশ্য কী?</v>
      </c>
      <c r="L108" s="4" t="str">
        <f>IFERROR(__xludf.DUMMYFUNCTION("GOOGLETRANSLATE(C108, ""en"", ""bn"")"),"ক) বিশ্রাম অঞ্চল, খ) স্কোরিং লাইন, গ) ক্ষেত্রের বিভাজন, ঘ) প্রতিস্থাপন অঞ্চল")</f>
        <v>ক) বিশ্রাম অঞ্চল, খ) স্কোরিং লাইন, গ) ক্ষেত্রের বিভাজন, ঘ) প্রতিস্থাপন অঞ্চল</v>
      </c>
      <c r="M108" s="4" t="str">
        <f>IFERROR(__xludf.DUMMYFUNCTION("GOOGLETRANSLATE(D108, ""en"", ""bn"")"),"গ) ক্ষেত্রের বিভাজন")</f>
        <v>গ) ক্ষেত্রের বিভাজন</v>
      </c>
      <c r="N108" s="4" t="str">
        <f>IFERROR(__xludf.DUMMYFUNCTION("GOOGLETRANSLATE(E108, ""en"", ""bn"")"),"খেলার জন্য মধ্যরেখা মাঠটিকে দুটি সমান অর্ধে বিভক্ত করে।")</f>
        <v>খেলার জন্য মধ্যরেখা মাঠটিকে দুটি সমান অর্ধে বিভক্ত করে।</v>
      </c>
    </row>
    <row r="109">
      <c r="A109" s="3">
        <v>108.0</v>
      </c>
      <c r="B109" s="3" t="s">
        <v>903</v>
      </c>
      <c r="C109" s="3" t="s">
        <v>904</v>
      </c>
      <c r="D109" s="3" t="s">
        <v>905</v>
      </c>
      <c r="E109" s="3" t="s">
        <v>906</v>
      </c>
      <c r="J109" s="4" t="str">
        <f>IFERROR(__xludf.DUMMYFUNCTION("GOOGLETRANSLATE(A109, ""en"", ""bn"")"),"১০৮")</f>
        <v>১০৮</v>
      </c>
      <c r="K109" s="4" t="str">
        <f>IFERROR(__xludf.DUMMYFUNCTION("GOOGLETRANSLATE(B109, ""en"", ""bn"")"),"দাড়িবান্ধায় কোন বস্তু দিয়ে রেখা চিহ্নিত করা নিষিদ্ধ?")</f>
        <v>দাড়িবান্ধায় কোন বস্তু দিয়ে রেখা চিহ্নিত করা নিষিদ্ধ?</v>
      </c>
      <c r="L109" s="4" t="str">
        <f>IFERROR(__xludf.DUMMYFUNCTION("GOOGLETRANSLATE(C109, ""en"", ""bn"")"),"ক) চক, খ) ছাই, গ) রঙ, ঘ) দড়ি")</f>
        <v>ক) চক, খ) ছাই, গ) রঙ, ঘ) দড়ি</v>
      </c>
      <c r="M109" s="4" t="str">
        <f>IFERROR(__xludf.DUMMYFUNCTION("GOOGLETRANSLATE(D109, ""en"", ""bn"")"),"ঘ) দড়ি")</f>
        <v>ঘ) দড়ি</v>
      </c>
      <c r="N109" s="4" t="str">
        <f>IFERROR(__xludf.DUMMYFUNCTION("GOOGLETRANSLATE(E109, ""en"", ""bn"")"),"দড়ি উপযুক্ত নয় কারণ এটি হোঁচট খাওয়ার ঝুঁকি তৈরি করতে পারে।")</f>
        <v>দড়ি উপযুক্ত নয় কারণ এটি হোঁচট খাওয়ার ঝুঁকি তৈরি করতে পারে।</v>
      </c>
    </row>
    <row r="110">
      <c r="A110" s="3">
        <v>109.0</v>
      </c>
      <c r="B110" s="3" t="s">
        <v>907</v>
      </c>
      <c r="C110" s="3" t="s">
        <v>908</v>
      </c>
      <c r="D110" s="3" t="s">
        <v>870</v>
      </c>
      <c r="E110" s="3" t="s">
        <v>909</v>
      </c>
      <c r="J110" s="4" t="str">
        <f>IFERROR(__xludf.DUMMYFUNCTION("GOOGLETRANSLATE(A110, ""en"", ""bn"")"),"১০৯")</f>
        <v>১০৯</v>
      </c>
      <c r="K110" s="4" t="str">
        <f>IFERROR(__xludf.DUMMYFUNCTION("GOOGLETRANSLATE(B110, ""en"", ""bn"")"),"যদি একজন ডিফেন্ডার ইচ্ছাকৃতভাবে একজন রানারকে ধাক্কা দেয় তাহলে কী হবে?")</f>
        <v>যদি একজন ডিফেন্ডার ইচ্ছাকৃতভাবে একজন রানারকে ধাক্কা দেয় তাহলে কী হবে?</v>
      </c>
      <c r="L110" s="4" t="str">
        <f>IFERROR(__xludf.DUMMYFUNCTION("GOOGLETRANSLATE(C110, ""en"", ""bn"")"),"ক) রানার আউট, খ) ডিফেন্ডারকে শাস্তি দেওয়া হয়েছে, গ) খেলা রিসেট করা হয়েছে, ঘ) উভয়ই বাদ পড়েছে")</f>
        <v>ক) রানার আউট, খ) ডিফেন্ডারকে শাস্তি দেওয়া হয়েছে, গ) খেলা রিসেট করা হয়েছে, ঘ) উভয়ই বাদ পড়েছে</v>
      </c>
      <c r="M110" s="4" t="str">
        <f>IFERROR(__xludf.DUMMYFUNCTION("GOOGLETRANSLATE(D110, ""en"", ""bn"")"),"খ) ডিফেন্ডারকে শাস্তি দেওয়া হয়েছে")</f>
        <v>খ) ডিফেন্ডারকে শাস্তি দেওয়া হয়েছে</v>
      </c>
      <c r="N110" s="4" t="str">
        <f>IFERROR(__xludf.DUMMYFUNCTION("GOOGLETRANSLATE(E110, ""en"", ""bn"")"),"শারীরিকভাবে ধাক্কা দেওয়া বেআইনি এবং এর ফলে জরিমানা হতে পারে।")</f>
        <v>শারীরিকভাবে ধাক্কা দেওয়া বেআইনি এবং এর ফলে জরিমানা হতে পারে।</v>
      </c>
    </row>
    <row r="111">
      <c r="A111" s="3">
        <v>110.0</v>
      </c>
      <c r="B111" s="3" t="s">
        <v>910</v>
      </c>
      <c r="C111" s="3" t="s">
        <v>911</v>
      </c>
      <c r="D111" s="3" t="s">
        <v>912</v>
      </c>
      <c r="E111" s="3" t="s">
        <v>913</v>
      </c>
      <c r="J111" s="4" t="str">
        <f>IFERROR(__xludf.DUMMYFUNCTION("GOOGLETRANSLATE(A111, ""en"", ""bn"")"),"১১০")</f>
        <v>১১০</v>
      </c>
      <c r="K111" s="4" t="str">
        <f>IFERROR(__xludf.DUMMYFUNCTION("GOOGLETRANSLATE(B111, ""en"", ""bn"")"),"রাউন্ড টাইমের মধ্যে যদি কোন দৌড়বিদ শেষ জোনে যেতে না পারে তাহলে কী হবে?")</f>
        <v>রাউন্ড টাইমের মধ্যে যদি কোন দৌড়বিদ শেষ জোনে যেতে না পারে তাহলে কী হবে?</v>
      </c>
      <c r="L111" s="4" t="str">
        <f>IFERROR(__xludf.DUMMYFUNCTION("GOOGLETRANSLATE(C111, ""en"", ""bn"")"),"ক) ডিফেন্ডাররা জয়ী, খ) রাউন্ড রিসেট, গ) কোন পয়েন্ট নেই, ঘ) অতিরিক্ত সময়")</f>
        <v>ক) ডিফেন্ডাররা জয়ী, খ) রাউন্ড রিসেট, গ) কোন পয়েন্ট নেই, ঘ) অতিরিক্ত সময়</v>
      </c>
      <c r="M111" s="4" t="str">
        <f>IFERROR(__xludf.DUMMYFUNCTION("GOOGLETRANSLATE(D111, ""en"", ""bn"")"),"ক) ডিফেন্ডাররা জয়ী")</f>
        <v>ক) ডিফেন্ডাররা জয়ী</v>
      </c>
      <c r="N111" s="4" t="str">
        <f>IFERROR(__xludf.DUMMYFUNCTION("GOOGLETRANSLATE(E111, ""en"", ""bn"")"),"যদি কোন রানার গোল না করে, তাহলে ডিফেন্ডাররা স্বয়ংক্রিয়ভাবে রাউন্ডটি জিতে যাবে।")</f>
        <v>যদি কোন রানার গোল না করে, তাহলে ডিফেন্ডাররা স্বয়ংক্রিয়ভাবে রাউন্ডটি জিতে যাবে।</v>
      </c>
    </row>
    <row r="112">
      <c r="A112" s="3">
        <v>111.0</v>
      </c>
      <c r="B112" s="3" t="s">
        <v>914</v>
      </c>
      <c r="C112" s="3" t="s">
        <v>733</v>
      </c>
      <c r="D112" s="3" t="s">
        <v>566</v>
      </c>
      <c r="E112" s="3" t="s">
        <v>915</v>
      </c>
      <c r="J112" s="4" t="str">
        <f>IFERROR(__xludf.DUMMYFUNCTION("GOOGLETRANSLATE(A112, ""en"", ""bn"")"),"১১১")</f>
        <v>১১১</v>
      </c>
      <c r="K112" s="4" t="str">
        <f>IFERROR(__xludf.DUMMYFUNCTION("GOOGLETRANSLATE(B112, ""en"", ""bn"")"),"একই রানারকে একসাথে কতজন ডিফেন্ডার ট্যাগ করতে পারে?")</f>
        <v>একই রানারকে একসাথে কতজন ডিফেন্ডার ট্যাগ করতে পারে?</v>
      </c>
      <c r="L112" s="4" t="str">
        <f>IFERROR(__xludf.DUMMYFUNCTION("GOOGLETRANSLATE(C112, ""en"", ""bn"")"),"ক) ১, খ) ২, গ) ৩, ঘ) সীমাহীন")</f>
        <v>ক) ১, খ) ২, গ) ৩, ঘ) সীমাহীন</v>
      </c>
      <c r="M112" s="4" t="str">
        <f>IFERROR(__xludf.DUMMYFUNCTION("GOOGLETRANSLATE(D112, ""en"", ""bn"")"),"ক) ১")</f>
        <v>ক) ১</v>
      </c>
      <c r="N112" s="4" t="str">
        <f>IFERROR(__xludf.DUMMYFUNCTION("GOOGLETRANSLATE(E112, ""en"", ""bn"")"),"বিভ্রান্তি এড়াতে শুধুমাত্র একজন ডিফেন্ডার একজন রানারকে ট্যাগ করতে পারবেন।")</f>
        <v>বিভ্রান্তি এড়াতে শুধুমাত্র একজন ডিফেন্ডার একজন রানারকে ট্যাগ করতে পারবেন।</v>
      </c>
    </row>
    <row r="113">
      <c r="A113" s="3">
        <v>112.0</v>
      </c>
      <c r="B113" s="3" t="s">
        <v>916</v>
      </c>
      <c r="C113" s="3" t="s">
        <v>917</v>
      </c>
      <c r="D113" s="3" t="s">
        <v>918</v>
      </c>
      <c r="E113" s="3" t="s">
        <v>919</v>
      </c>
      <c r="J113" s="4" t="str">
        <f>IFERROR(__xludf.DUMMYFUNCTION("GOOGLETRANSLATE(A113, ""en"", ""bn"")"),"১১২")</f>
        <v>১১২</v>
      </c>
      <c r="K113" s="4" t="str">
        <f>IFERROR(__xludf.DUMMYFUNCTION("GOOGLETRANSLATE(B113, ""en"", ""bn"")"),"যদি দৌড়বিদরা ইচ্ছাকৃতভাবে সময় নষ্ট করার জন্য বাইরে বের হন তাহলে কী হবে?")</f>
        <v>যদি দৌড়বিদরা ইচ্ছাকৃতভাবে সময় নষ্ট করার জন্য বাইরে বের হন তাহলে কী হবে?</v>
      </c>
      <c r="L113" s="4" t="str">
        <f>IFERROR(__xludf.DUMMYFUNCTION("GOOGLETRANSLATE(C113, ""en"", ""bn"")"),"ক) রানার সেফ, খ) রানার আউট, গ) ডিফেন্ডারদের শাস্তি, ঘ) খেলা পুনরায় শুরু")</f>
        <v>ক) রানার সেফ, খ) রানার আউট, গ) ডিফেন্ডারদের শাস্তি, ঘ) খেলা পুনরায় শুরু</v>
      </c>
      <c r="M113" s="4" t="str">
        <f>IFERROR(__xludf.DUMMYFUNCTION("GOOGLETRANSLATE(D113, ""en"", ""bn"")"),"খ) রানার আউট")</f>
        <v>খ) রানার আউট</v>
      </c>
      <c r="N113" s="4" t="str">
        <f>IFERROR(__xludf.DUMMYFUNCTION("GOOGLETRANSLATE(E113, ""en"", ""bn"")"),"বাইরের যেকোনো ইচ্ছাকৃত পদক্ষেপ দৌড়বিদকে শেষ করে দেয়।")</f>
        <v>বাইরের যেকোনো ইচ্ছাকৃত পদক্ষেপ দৌড়বিদকে শেষ করে দেয়।</v>
      </c>
    </row>
    <row r="114">
      <c r="A114" s="3">
        <v>113.0</v>
      </c>
      <c r="B114" s="3" t="s">
        <v>920</v>
      </c>
      <c r="C114" s="3" t="s">
        <v>921</v>
      </c>
      <c r="D114" s="3" t="s">
        <v>922</v>
      </c>
      <c r="E114" s="3" t="s">
        <v>923</v>
      </c>
      <c r="J114" s="4" t="str">
        <f>IFERROR(__xludf.DUMMYFUNCTION("GOOGLETRANSLATE(A114, ""en"", ""bn"")"),"১১৩")</f>
        <v>১১৩</v>
      </c>
      <c r="K114" s="4" t="str">
        <f>IFERROR(__xludf.DUMMYFUNCTION("GOOGLETRANSLATE(B114, ""en"", ""bn"")"),"বদলির সময় রেফারির ভূমিকা কী?")</f>
        <v>বদলির সময় রেফারির ভূমিকা কী?</v>
      </c>
      <c r="L114" s="4" t="str">
        <f>IFERROR(__xludf.DUMMYFUNCTION("GOOGLETRANSLATE(C114, ""en"", ""bn"")"),"ক) পরিবর্তনগুলি অনুমোদন করুন, খ) সেগুলি উপেক্ষা করুন, গ) খেলোয়াড়দের সিদ্ধান্ত নিন, ঘ) পয়েন্ট অর্জন করুন")</f>
        <v>ক) পরিবর্তনগুলি অনুমোদন করুন, খ) সেগুলি উপেক্ষা করুন, গ) খেলোয়াড়দের সিদ্ধান্ত নিন, ঘ) পয়েন্ট অর্জন করুন</v>
      </c>
      <c r="M114" s="4" t="str">
        <f>IFERROR(__xludf.DUMMYFUNCTION("GOOGLETRANSLATE(D114, ""en"", ""bn"")"),"ক) পরিবর্তনগুলি অনুমোদন করুন")</f>
        <v>ক) পরিবর্তনগুলি অনুমোদন করুন</v>
      </c>
      <c r="N114" s="4" t="str">
        <f>IFERROR(__xludf.DUMMYFUNCTION("GOOGLETRANSLATE(E114, ""en"", ""bn"")"),"রেফারিকে সকল বদলির অনুমোদন দিতে হবে।")</f>
        <v>রেফারিকে সকল বদলির অনুমোদন দিতে হবে।</v>
      </c>
    </row>
    <row r="115">
      <c r="A115" s="3">
        <v>114.0</v>
      </c>
      <c r="B115" s="3" t="s">
        <v>924</v>
      </c>
      <c r="C115" s="3" t="s">
        <v>925</v>
      </c>
      <c r="D115" s="3" t="s">
        <v>374</v>
      </c>
      <c r="E115" s="3" t="s">
        <v>926</v>
      </c>
      <c r="J115" s="4" t="str">
        <f>IFERROR(__xludf.DUMMYFUNCTION("GOOGLETRANSLATE(A115, ""en"", ""bn"")"),"১১৪")</f>
        <v>১১৪</v>
      </c>
      <c r="K115" s="4" t="str">
        <f>IFERROR(__xludf.DUMMYFUNCTION("GOOGLETRANSLATE(B115, ""en"", ""bn"")"),"সময় শেষ হওয়ার পরে যদি একজন দৌড়বিদ শেষ অঞ্চলে পৌঁছান তবে কী হবে?")</f>
        <v>সময় শেষ হওয়ার পরে যদি একজন দৌড়বিদ শেষ অঞ্চলে পৌঁছান তবে কী হবে?</v>
      </c>
      <c r="L115" s="4" t="str">
        <f>IFERROR(__xludf.DUMMYFUNCTION("GOOGLETRANSLATE(C115, ""en"", ""bn"")"),"ক) রানার সেফ, খ) কোন পয়েন্ট নেই, গ) বোনাস পয়েন্ট, ঘ) রিপ্লে")</f>
        <v>ক) রানার সেফ, খ) কোন পয়েন্ট নেই, গ) বোনাস পয়েন্ট, ঘ) রিপ্লে</v>
      </c>
      <c r="M115" s="4" t="str">
        <f>IFERROR(__xludf.DUMMYFUNCTION("GOOGLETRANSLATE(D115, ""en"", ""bn"")"),"খ) কোন লাভ নেই")</f>
        <v>খ) কোন লাভ নেই</v>
      </c>
      <c r="N115" s="4" t="str">
        <f>IFERROR(__xludf.DUMMYFUNCTION("GOOGLETRANSLATE(E115, ""en"", ""bn"")"),"সময়সীমার মধ্যে স্কোর করা হলেই কেবল পয়েন্ট বৈধ হবে।")</f>
        <v>সময়সীমার মধ্যে স্কোর করা হলেই কেবল পয়েন্ট বৈধ হবে।</v>
      </c>
    </row>
    <row r="116">
      <c r="A116" s="3">
        <v>115.0</v>
      </c>
      <c r="B116" s="3" t="s">
        <v>927</v>
      </c>
      <c r="C116" s="3" t="s">
        <v>928</v>
      </c>
      <c r="D116" s="3" t="s">
        <v>929</v>
      </c>
      <c r="E116" s="3" t="s">
        <v>930</v>
      </c>
      <c r="J116" s="4" t="str">
        <f>IFERROR(__xludf.DUMMYFUNCTION("GOOGLETRANSLATE(A116, ""en"", ""bn"")"),"১১৫")</f>
        <v>১১৫</v>
      </c>
      <c r="K116" s="4" t="str">
        <f>IFERROR(__xludf.DUMMYFUNCTION("GOOGLETRANSLATE(B116, ""en"", ""bn"")"),"নিরাপদ খেলার জন্য মাঠের কোন অংশটি পরিষ্কার রাখা উচিত?")</f>
        <v>নিরাপদ খেলার জন্য মাঠের কোন অংশটি পরিষ্কার রাখা উচিত?</v>
      </c>
      <c r="L116" s="4" t="str">
        <f>IFERROR(__xludf.DUMMYFUNCTION("GOOGLETRANSLATE(C116, ""en"", ""bn"")"),"ক) শেষ অঞ্চল, খ) সীমানা রেখা, গ) গ্রিড রেখা, ঘ) পার্শ্বরেখা")</f>
        <v>ক) শেষ অঞ্চল, খ) সীমানা রেখা, গ) গ্রিড রেখা, ঘ) পার্শ্বরেখা</v>
      </c>
      <c r="M116" s="4" t="str">
        <f>IFERROR(__xludf.DUMMYFUNCTION("GOOGLETRANSLATE(D116, ""en"", ""bn"")"),"ঘ) পার্শ্বরেখা")</f>
        <v>ঘ) পার্শ্বরেখা</v>
      </c>
      <c r="N116" s="4" t="str">
        <f>IFERROR(__xludf.DUMMYFUNCTION("GOOGLETRANSLATE(E116, ""en"", ""bn"")"),"দুর্ঘটনা এড়াতে পার্শ্বরেখাগুলি মানুষ বা বস্তু থেকে দূরে রাখতে হবে।")</f>
        <v>দুর্ঘটনা এড়াতে পার্শ্বরেখাগুলি মানুষ বা বস্তু থেকে দূরে রাখতে হবে।</v>
      </c>
    </row>
    <row r="117">
      <c r="A117" s="3">
        <v>116.0</v>
      </c>
      <c r="B117" s="3" t="s">
        <v>931</v>
      </c>
      <c r="C117" s="3" t="s">
        <v>932</v>
      </c>
      <c r="D117" s="3" t="s">
        <v>933</v>
      </c>
      <c r="E117" s="3" t="s">
        <v>934</v>
      </c>
      <c r="J117" s="4" t="str">
        <f>IFERROR(__xludf.DUMMYFUNCTION("GOOGLETRANSLATE(A117, ""en"", ""bn"")"),"১১৬")</f>
        <v>১১৬</v>
      </c>
      <c r="K117" s="4" t="str">
        <f>IFERROR(__xludf.DUMMYFUNCTION("GOOGLETRANSLATE(B117, ""en"", ""bn"")"),"ম্যাচের মাঝামাঝি সময়ে খেলোয়াড় সংখ্যা ন্যূনতম সীমার নিচে নেমে গেলে কী হবে?")</f>
        <v>ম্যাচের মাঝামাঝি সময়ে খেলোয়াড় সংখ্যা ন্যূনতম সীমার নিচে নেমে গেলে কী হবে?</v>
      </c>
      <c r="L117" s="4" t="str">
        <f>IFERROR(__xludf.DUMMYFUNCTION("GOOGLETRANSLATE(C117, ""en"", ""bn"")"),"ক) চালিয়ে যান, খ) ম্যাচ শেষ হয়, গ) ডিফেন্ডাররা পয়েন্ট পান, ঘ) সাবস্টিটিউট তাৎক্ষণিকভাবে যোগদান করেন")</f>
        <v>ক) চালিয়ে যান, খ) ম্যাচ শেষ হয়, গ) ডিফেন্ডাররা পয়েন্ট পান, ঘ) সাবস্টিটিউট তাৎক্ষণিকভাবে যোগদান করেন</v>
      </c>
      <c r="M117" s="4" t="str">
        <f>IFERROR(__xludf.DUMMYFUNCTION("GOOGLETRANSLATE(D117, ""en"", ""bn"")"),"খ) খেলা শেষ হয়")</f>
        <v>খ) খেলা শেষ হয়</v>
      </c>
      <c r="N117" s="4" t="str">
        <f>IFERROR(__xludf.DUMMYFUNCTION("GOOGLETRANSLATE(E117, ""en"", ""bn"")"),"ন্যূনতম খেলোয়াড়ের চেয়ে কম থাকলে খেলা চলতে পারে না।")</f>
        <v>ন্যূনতম খেলোয়াড়ের চেয়ে কম থাকলে খেলা চলতে পারে না।</v>
      </c>
    </row>
    <row r="118">
      <c r="A118" s="3">
        <v>117.0</v>
      </c>
      <c r="B118" s="3" t="s">
        <v>935</v>
      </c>
      <c r="C118" s="3" t="s">
        <v>936</v>
      </c>
      <c r="D118" s="3" t="s">
        <v>937</v>
      </c>
      <c r="E118" s="3" t="s">
        <v>938</v>
      </c>
      <c r="J118" s="4" t="str">
        <f>IFERROR(__xludf.DUMMYFUNCTION("GOOGLETRANSLATE(A118, ""en"", ""bn"")"),"১১৭")</f>
        <v>১১৭</v>
      </c>
      <c r="K118" s="4" t="str">
        <f>IFERROR(__xludf.DUMMYFUNCTION("GOOGLETRANSLATE(B118, ""en"", ""bn"")"),"একই ডিফেন্ডারের বারবার ফাউলের ​​পরিণতি কী?")</f>
        <v>একই ডিফেন্ডারের বারবার ফাউলের ​​পরিণতি কী?</v>
      </c>
      <c r="L118" s="4" t="str">
        <f>IFERROR(__xludf.DUMMYFUNCTION("GOOGLETRANSLATE(C118, ""en"", ""bn"")"),"ক) সতর্কীকরণ, খ) প্রতিস্থাপন, গ) বহিষ্কার, ঘ) দৌড়বিদদের জন্য বিনামূল্যে পয়েন্ট")</f>
        <v>ক) সতর্কীকরণ, খ) প্রতিস্থাপন, গ) বহিষ্কার, ঘ) দৌড়বিদদের জন্য বিনামূল্যে পয়েন্ট</v>
      </c>
      <c r="M118" s="4" t="str">
        <f>IFERROR(__xludf.DUMMYFUNCTION("GOOGLETRANSLATE(D118, ""en"", ""bn"")"),"গ) বহিষ্কার")</f>
        <v>গ) বহিষ্কার</v>
      </c>
      <c r="N118" s="4" t="str">
        <f>IFERROR(__xludf.DUMMYFUNCTION("GOOGLETRANSLATE(E118, ""en"", ""bn"")"),"বারবার ফাউল করলে ম্যাচ থেকে স্থায়ীভাবে বাদ পড়তে হতে পারে।")</f>
        <v>বারবার ফাউল করলে ম্যাচ থেকে স্থায়ীভাবে বাদ পড়তে হতে পারে।</v>
      </c>
    </row>
    <row r="119">
      <c r="A119" s="3">
        <v>118.0</v>
      </c>
      <c r="B119" s="3" t="s">
        <v>939</v>
      </c>
      <c r="C119" s="3" t="s">
        <v>940</v>
      </c>
      <c r="D119" s="3" t="s">
        <v>941</v>
      </c>
      <c r="E119" s="3" t="s">
        <v>942</v>
      </c>
      <c r="J119" s="4" t="str">
        <f>IFERROR(__xludf.DUMMYFUNCTION("GOOGLETRANSLATE(A119, ""en"", ""bn"")"),"১১৮")</f>
        <v>১১৮</v>
      </c>
      <c r="K119" s="4" t="str">
        <f>IFERROR(__xludf.DUMMYFUNCTION("GOOGLETRANSLATE(B119, ""en"", ""bn"")"),"দাড়িয়াবান্ধার শরীরের কোন অংশটি আইনিভাবে ট্যাগিং এলাকা?")</f>
        <v>দাড়িয়াবান্ধার শরীরের কোন অংশটি আইনিভাবে ট্যাগিং এলাকা?</v>
      </c>
      <c r="L119" s="4" t="str">
        <f>IFERROR(__xludf.DUMMYFUNCTION("GOOGLETRANSLATE(C119, ""en"", ""bn"")"),"ক) যেকোনো অংশ, খ) শুধু হাত, গ) শুধু কাঁধ, ঘ) শুধু পা")</f>
        <v>ক) যেকোনো অংশ, খ) শুধু হাত, গ) শুধু কাঁধ, ঘ) শুধু পা</v>
      </c>
      <c r="M119" s="4" t="str">
        <f>IFERROR(__xludf.DUMMYFUNCTION("GOOGLETRANSLATE(D119, ""en"", ""bn"")"),"ক) যেকোনো অংশ")</f>
        <v>ক) যেকোনো অংশ</v>
      </c>
      <c r="N119" s="4" t="str">
        <f>IFERROR(__xludf.DUMMYFUNCTION("GOOGLETRANSLATE(E119, ""en"", ""bn"")"),"ডিফেন্ডাররা শরীরের যেকোনো অংশ, সাধারণত হাত ব্যবহার করে দৌড়বিদদের চিহ্নিত করতে পারে।")</f>
        <v>ডিফেন্ডাররা শরীরের যেকোনো অংশ, সাধারণত হাত ব্যবহার করে দৌড়বিদদের চিহ্নিত করতে পারে।</v>
      </c>
    </row>
    <row r="120">
      <c r="A120" s="3">
        <v>119.0</v>
      </c>
      <c r="B120" s="3" t="s">
        <v>943</v>
      </c>
      <c r="C120" s="3" t="s">
        <v>944</v>
      </c>
      <c r="D120" s="3" t="s">
        <v>757</v>
      </c>
      <c r="E120" s="3" t="s">
        <v>945</v>
      </c>
      <c r="J120" s="4" t="str">
        <f>IFERROR(__xludf.DUMMYFUNCTION("GOOGLETRANSLATE(A120, ""en"", ""bn"")"),"১১৯")</f>
        <v>১১৯</v>
      </c>
      <c r="K120" s="4" t="str">
        <f>IFERROR(__xludf.DUMMYFUNCTION("GOOGLETRANSLATE(B120, ""en"", ""bn"")"),"চূড়ান্ত রাউন্ডে যদি উভয় দল একই স্কোর করে তাহলে কী হবে?")</f>
        <v>চূড়ান্ত রাউন্ডে যদি উভয় দল একই স্কোর করে তাহলে কী হবে?</v>
      </c>
      <c r="L120" s="4" t="str">
        <f>IFERROR(__xludf.DUMMYFUNCTION("GOOGLETRANSLATE(C120, ""en"", ""bn"")"),"ক) রিপ্লে ম্যাচ, খ) অতিরিক্ত রাউন্ড, গ) উভয়কেই বিজয়ী ঘোষণা করা হয়েছে, ঘ) পেনাল্টি শুটআউট স্টাইল")</f>
        <v>ক) রিপ্লে ম্যাচ, খ) অতিরিক্ত রাউন্ড, গ) উভয়কেই বিজয়ী ঘোষণা করা হয়েছে, ঘ) পেনাল্টি শুটআউট স্টাইল</v>
      </c>
      <c r="M120" s="4" t="str">
        <f>IFERROR(__xludf.DUMMYFUNCTION("GOOGLETRANSLATE(D120, ""en"", ""bn"")"),"খ) অতিরিক্ত রাউন্ড")</f>
        <v>খ) অতিরিক্ত রাউন্ড</v>
      </c>
      <c r="N120" s="4" t="str">
        <f>IFERROR(__xludf.DUMMYFUNCTION("GOOGLETRANSLATE(E120, ""en"", ""bn"")"),"বিজয়ী নির্ধারণের জন্য একটি টাইব্রেকার রাউন্ড খেলা হয়।")</f>
        <v>বিজয়ী নির্ধারণের জন্য একটি টাইব্রেকার রাউন্ড খেলা হয়।</v>
      </c>
    </row>
    <row r="121">
      <c r="A121" s="3">
        <v>120.0</v>
      </c>
      <c r="B121" s="3" t="s">
        <v>946</v>
      </c>
      <c r="C121" s="3" t="s">
        <v>947</v>
      </c>
      <c r="D121" s="3" t="s">
        <v>948</v>
      </c>
      <c r="E121" s="3" t="s">
        <v>949</v>
      </c>
      <c r="J121" s="4" t="str">
        <f>IFERROR(__xludf.DUMMYFUNCTION("GOOGLETRANSLATE(A121, ""en"", ""bn"")"),"১২০")</f>
        <v>১২০</v>
      </c>
      <c r="K121" s="4" t="str">
        <f>IFERROR(__xludf.DUMMYFUNCTION("GOOGLETRANSLATE(B121, ""en"", ""bn"")"),"ট্যাগ হওয়ার পর যদি একজন দৌড়বিদ চলে যেতে অস্বীকৃতি জানান, তাহলে কী হবে?")</f>
        <v>ট্যাগ হওয়ার পর যদি একজন দৌড়বিদ চলে যেতে অস্বীকৃতি জানান, তাহলে কী হবে?</v>
      </c>
      <c r="L121" s="4" t="str">
        <f>IFERROR(__xludf.DUMMYFUNCTION("GOOGLETRANSLATE(C121, ""en"", ""bn"")"),"ক) রানার টিকে থাকে, খ) রাউন্ড শেষ হয়, গ) রেফারি শাস্তি দেন, ঘ) ডিফেন্ডার পয়েন্ট হারান")</f>
        <v>ক) রানার টিকে থাকে, খ) রাউন্ড শেষ হয়, গ) রেফারি শাস্তি দেন, ঘ) ডিফেন্ডার পয়েন্ট হারান</v>
      </c>
      <c r="M121" s="4" t="str">
        <f>IFERROR(__xludf.DUMMYFUNCTION("GOOGLETRANSLATE(D121, ""en"", ""bn"")"),"গ) রেফারি শাস্তি দেন")</f>
        <v>গ) রেফারি শাস্তি দেন</v>
      </c>
      <c r="N121" s="4" t="str">
        <f>IFERROR(__xludf.DUMMYFUNCTION("GOOGLETRANSLATE(E121, ""en"", ""bn"")"),"ট্যাগযুক্ত রানার দল ছেড়ে না গেলে রেফারি দলকে শাস্তি দিতে পারেন।")</f>
        <v>ট্যাগযুক্ত রানার দল ছেড়ে না গেলে রেফারি দলকে শাস্তি দিতে পারেন।</v>
      </c>
    </row>
    <row r="122">
      <c r="A122" s="3">
        <v>121.0</v>
      </c>
      <c r="B122" s="3" t="s">
        <v>950</v>
      </c>
      <c r="C122" s="3" t="s">
        <v>951</v>
      </c>
      <c r="D122" s="3" t="s">
        <v>952</v>
      </c>
      <c r="E122" s="3" t="s">
        <v>953</v>
      </c>
      <c r="J122" s="4" t="str">
        <f>IFERROR(__xludf.DUMMYFUNCTION("GOOGLETRANSLATE(A122, ""en"", ""bn"")"),"১২১")</f>
        <v>১২১</v>
      </c>
      <c r="K122" s="4" t="str">
        <f>IFERROR(__xludf.DUMMYFUNCTION("GOOGLETRANSLATE(B122, ""en"", ""bn"")"),"ডিফেন্ডারদের তাদের লাইনে অবস্থান নেওয়ার সময় কী করা এড়িয়ে চলা উচিত?")</f>
        <v>ডিফেন্ডারদের তাদের লাইনে অবস্থান নেওয়ার সময় কী করা এড়িয়ে চলা উচিত?</v>
      </c>
      <c r="L122" s="4" t="str">
        <f>IFERROR(__xludf.DUMMYFUNCTION("GOOGLETRANSLATE(C122, ""en"", ""bn"")"),"ক) বসে থাকা, খ) লাইন ছেড়ে দেওয়া, গ) পাশে আটকে দেওয়া, ঘ) চিৎকার করা")</f>
        <v>ক) বসে থাকা, খ) লাইন ছেড়ে দেওয়া, গ) পাশে আটকে দেওয়া, ঘ) চিৎকার করা</v>
      </c>
      <c r="M122" s="4" t="str">
        <f>IFERROR(__xludf.DUMMYFUNCTION("GOOGLETRANSLATE(D122, ""en"", ""bn"")"),"ক) বসে থাকা")</f>
        <v>ক) বসে থাকা</v>
      </c>
      <c r="N122" s="4" t="str">
        <f>IFERROR(__xludf.DUMMYFUNCTION("GOOGLETRANSLATE(E122, ""en"", ""bn"")"),"ডিফেন্ডাররা ডিউটির সময় বসতে বা হাঁটু গেড়ে বসতে পারবেন না, তাদের অবশ্যই সক্রিয় থাকতে হবে।")</f>
        <v>ডিফেন্ডাররা ডিউটির সময় বসতে বা হাঁটু গেড়ে বসতে পারবেন না, তাদের অবশ্যই সক্রিয় থাকতে হবে।</v>
      </c>
    </row>
    <row r="123">
      <c r="A123" s="3">
        <v>122.0</v>
      </c>
      <c r="B123" s="3" t="s">
        <v>954</v>
      </c>
      <c r="C123" s="3" t="s">
        <v>955</v>
      </c>
      <c r="D123" s="3" t="s">
        <v>559</v>
      </c>
      <c r="E123" s="3" t="s">
        <v>956</v>
      </c>
      <c r="J123" s="4" t="str">
        <f>IFERROR(__xludf.DUMMYFUNCTION("GOOGLETRANSLATE(A123, ""en"", ""bn"")"),"১২২")</f>
        <v>১২২</v>
      </c>
      <c r="K123" s="4" t="str">
        <f>IFERROR(__xludf.DUMMYFUNCTION("GOOGLETRANSLATE(B123, ""en"", ""bn"")"),"টসের পর কোন দল প্রথম চাল অর্জন করে?")</f>
        <v>টসের পর কোন দল প্রথম চাল অর্জন করে?</v>
      </c>
      <c r="L123" s="4" t="str">
        <f>IFERROR(__xludf.DUMMYFUNCTION("GOOGLETRANSLATE(C123, ""en"", ""bn"")"),"ক) রানার, খ) ডিফেন্ডার, গ) উভয়ই একসাথে, ঘ) রেফারি সিদ্ধান্ত নেন")</f>
        <v>ক) রানার, খ) ডিফেন্ডার, গ) উভয়ই একসাথে, ঘ) রেফারি সিদ্ধান্ত নেন</v>
      </c>
      <c r="M123" s="4" t="str">
        <f>IFERROR(__xludf.DUMMYFUNCTION("GOOGLETRANSLATE(D123, ""en"", ""bn"")"),"ক) দৌড়বিদ")</f>
        <v>ক) দৌড়বিদ</v>
      </c>
      <c r="N123" s="4" t="str">
        <f>IFERROR(__xludf.DUMMYFUNCTION("GOOGLETRANSLATE(E123, ""en"", ""bn"")"),"টস জয়ী দল সাধারণত রানার হিসেবে শুরু করতে পছন্দ করে।")</f>
        <v>টস জয়ী দল সাধারণত রানার হিসেবে শুরু করতে পছন্দ করে।</v>
      </c>
    </row>
    <row r="124">
      <c r="A124" s="3">
        <v>123.0</v>
      </c>
      <c r="B124" s="3" t="s">
        <v>957</v>
      </c>
      <c r="C124" s="3" t="s">
        <v>958</v>
      </c>
      <c r="D124" s="3" t="s">
        <v>959</v>
      </c>
      <c r="E124" s="3" t="s">
        <v>960</v>
      </c>
      <c r="J124" s="4" t="str">
        <f>IFERROR(__xludf.DUMMYFUNCTION("GOOGLETRANSLATE(A124, ""en"", ""bn"")"),"১২৩")</f>
        <v>১২৩</v>
      </c>
      <c r="K124" s="4" t="str">
        <f>IFERROR(__xludf.DUMMYFUNCTION("GOOGLETRANSLATE(B124, ""en"", ""bn"")"),"যদি কোন রানার গ্রিডটি তির্যকভাবে অতিক্রম করে তাহলে তার শাস্তি কত হবে?")</f>
        <v>যদি কোন রানার গ্রিডটি তির্যকভাবে অতিক্রম করে তাহলে তার শাস্তি কত হবে?</v>
      </c>
      <c r="L124" s="4" t="str">
        <f>IFERROR(__xludf.DUMMYFUNCTION("GOOGLETRANSLATE(C124, ""en"", ""bn"")"),"ক) সতর্কীকরণ, খ) বাদ দেওয়া, গ) অতিরিক্ত পয়েন্ট, ঘ) ডিফেন্ডারকে দণ্ডিত করা হয়েছে")</f>
        <v>ক) সতর্কীকরণ, খ) বাদ দেওয়া, গ) অতিরিক্ত পয়েন্ট, ঘ) ডিফেন্ডারকে দণ্ডিত করা হয়েছে</v>
      </c>
      <c r="M124" s="4" t="str">
        <f>IFERROR(__xludf.DUMMYFUNCTION("GOOGLETRANSLATE(D124, ""en"", ""bn"")"),"খ) নির্মূল")</f>
        <v>খ) নির্মূল</v>
      </c>
      <c r="N124" s="4" t="str">
        <f>IFERROR(__xludf.DUMMYFUNCTION("GOOGLETRANSLATE(E124, ""en"", ""bn"")"),"তির্যকভাবে চলাফেরা নিয়মের বিরুদ্ধে এবং নির্মূলের কারণ হয়।")</f>
        <v>তির্যকভাবে চলাফেরা নিয়মের বিরুদ্ধে এবং নির্মূলের কারণ হয়।</v>
      </c>
    </row>
    <row r="125">
      <c r="A125" s="3">
        <v>124.0</v>
      </c>
      <c r="B125" s="3" t="s">
        <v>961</v>
      </c>
      <c r="C125" s="3" t="s">
        <v>962</v>
      </c>
      <c r="D125" s="3" t="s">
        <v>963</v>
      </c>
      <c r="E125" s="3" t="s">
        <v>964</v>
      </c>
      <c r="J125" s="4" t="str">
        <f>IFERROR(__xludf.DUMMYFUNCTION("GOOGLETRANSLATE(A125, ""en"", ""bn"")"),"১২৪")</f>
        <v>১২৪</v>
      </c>
      <c r="K125" s="4" t="str">
        <f>IFERROR(__xludf.DUMMYFUNCTION("GOOGLETRANSLATE(B125, ""en"", ""bn"")"),"কোন অবস্থায় তাৎক্ষণিকভাবে একটি ম্যাচ বন্ধ করা যায়?")</f>
        <v>কোন অবস্থায় তাৎক্ষণিকভাবে একটি ম্যাচ বন্ধ করা যায়?</v>
      </c>
      <c r="L125" s="4" t="str">
        <f>IFERROR(__xludf.DUMMYFUNCTION("GOOGLETRANSLATE(C125, ""en"", ""bn"")"),"ক) শব্দ, খ) দুর্যোগ, গ) বৃষ্টি, ঘ) চিৎকার")</f>
        <v>ক) শব্দ, খ) দুর্যোগ, গ) বৃষ্টি, ঘ) চিৎকার</v>
      </c>
      <c r="M125" s="4" t="str">
        <f>IFERROR(__xludf.DUMMYFUNCTION("GOOGLETRANSLATE(D125, ""en"", ""bn"")"),"গ) বৃষ্টি")</f>
        <v>গ) বৃষ্টি</v>
      </c>
      <c r="N125" s="4" t="str">
        <f>IFERROR(__xludf.DUMMYFUNCTION("GOOGLETRANSLATE(E125, ""en"", ""bn"")"),"ভারী বৃষ্টিপাত অথবা অনিরাপদ আবহাওয়ার কারণে খেলা স্থগিত হতে পারে।")</f>
        <v>ভারী বৃষ্টিপাত অথবা অনিরাপদ আবহাওয়ার কারণে খেলা স্থগিত হতে পারে।</v>
      </c>
    </row>
    <row r="126">
      <c r="A126" s="3">
        <v>125.0</v>
      </c>
      <c r="B126" s="3" t="s">
        <v>965</v>
      </c>
      <c r="C126" s="3" t="s">
        <v>23</v>
      </c>
      <c r="D126" s="3" t="s">
        <v>24</v>
      </c>
      <c r="E126" s="3" t="s">
        <v>966</v>
      </c>
      <c r="J126" s="4" t="str">
        <f>IFERROR(__xludf.DUMMYFUNCTION("GOOGLETRANSLATE(A126, ""en"", ""bn"")"),"১২৫")</f>
        <v>১২৫</v>
      </c>
      <c r="K126" s="4" t="str">
        <f>IFERROR(__xludf.DUMMYFUNCTION("GOOGLETRANSLATE(B126, ""en"", ""bn"")"),"সাধারণত কয়টি বাঁশি একটি রাউন্ডের সমাপ্তি নির্দেশ করে?")</f>
        <v>সাধারণত কয়টি বাঁশি একটি রাউন্ডের সমাপ্তি নির্দেশ করে?</v>
      </c>
      <c r="L126" s="4" t="str">
        <f>IFERROR(__xludf.DUMMYFUNCTION("GOOGLETRANSLATE(C126, ""en"", ""bn"")"),"ক) ১, খ) ২, গ) ৩, ঘ) ৪")</f>
        <v>ক) ১, খ) ২, গ) ৩, ঘ) ৪</v>
      </c>
      <c r="M126" s="4" t="str">
        <f>IFERROR(__xludf.DUMMYFUNCTION("GOOGLETRANSLATE(D126, ""en"", ""bn"")"),"খ) ২")</f>
        <v>খ) ২</v>
      </c>
      <c r="N126" s="4" t="str">
        <f>IFERROR(__xludf.DUMMYFUNCTION("GOOGLETRANSLATE(E126, ""en"", ""bn"")"),"দুটি বাঁশি সাধারণত রাউন্ডের সমাপ্তির ইঙ্গিত দেয়।")</f>
        <v>দুটি বাঁশি সাধারণত রাউন্ডের সমাপ্তির ইঙ্গিত দেয়।</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35.38"/>
    <col customWidth="1" min="5" max="5" width="37.63"/>
    <col customWidth="1" min="10" max="13" width="37.63"/>
  </cols>
  <sheetData>
    <row r="1">
      <c r="A1" s="1" t="s">
        <v>0</v>
      </c>
      <c r="B1" s="1" t="s">
        <v>1</v>
      </c>
      <c r="C1" s="1" t="s">
        <v>2</v>
      </c>
      <c r="D1" s="1" t="s">
        <v>3</v>
      </c>
      <c r="E1" s="1" t="s">
        <v>4</v>
      </c>
      <c r="I1" s="2" t="s">
        <v>5</v>
      </c>
      <c r="J1" s="2" t="s">
        <v>6</v>
      </c>
      <c r="K1" s="2" t="s">
        <v>7</v>
      </c>
      <c r="L1" s="2" t="s">
        <v>8</v>
      </c>
      <c r="M1" s="2" t="s">
        <v>9</v>
      </c>
    </row>
    <row r="2">
      <c r="A2" s="3">
        <v>1.0</v>
      </c>
      <c r="B2" s="3" t="s">
        <v>967</v>
      </c>
      <c r="C2" s="3" t="s">
        <v>968</v>
      </c>
      <c r="D2" s="3" t="s">
        <v>969</v>
      </c>
      <c r="E2" s="3" t="s">
        <v>970</v>
      </c>
      <c r="I2" s="4" t="str">
        <f>IFERROR(__xludf.DUMMYFUNCTION("GOOGLETRANSLATE(A2, ""en"", ""bn"")"),"১")</f>
        <v>১</v>
      </c>
      <c r="J2" s="4" t="str">
        <f>IFERROR(__xludf.DUMMYFUNCTION("GOOGLETRANSLATE(B2, ""en"", ""bn"")"),"গোল্লা চুটে, প্রতিটি দলে সর্বনিম্ন কতজন খেলোয়াড় থাকতে হবে?")</f>
        <v>গোল্লা চুটে, প্রতিটি দলে সর্বনিম্ন কতজন খেলোয়াড় থাকতে হবে?</v>
      </c>
      <c r="K2" s="4" t="str">
        <f>IFERROR(__xludf.DUMMYFUNCTION("GOOGLETRANSLATE(C2, ""en"", ""bn"")"),"ক) ৪, খ) ৫, গ) ৬, ঘ) ৭")</f>
        <v>ক) ৪, খ) ৫, গ) ৬, ঘ) ৭</v>
      </c>
      <c r="L2" s="4" t="str">
        <f>IFERROR(__xludf.DUMMYFUNCTION("GOOGLETRANSLATE(D2, ""en"", ""bn"")"),"গ) ৬")</f>
        <v>গ) ৬</v>
      </c>
      <c r="M2" s="4" t="str">
        <f>IFERROR(__xludf.DUMMYFUNCTION("GOOGLETRANSLATE(E2, ""en"", ""bn"")"),"গোল্লা চুটে সর্বোত্তম খেলার জন্য প্রতি দলে কমপক্ষে ছয়জন খেলোয়াড়ের প্রয়োজন।")</f>
        <v>গোল্লা চুটে সর্বোত্তম খেলার জন্য প্রতি দলে কমপক্ষে ছয়জন খেলোয়াড়ের প্রয়োজন।</v>
      </c>
    </row>
    <row r="3">
      <c r="A3" s="3">
        <v>2.0</v>
      </c>
      <c r="B3" s="3" t="s">
        <v>971</v>
      </c>
      <c r="C3" s="3" t="s">
        <v>972</v>
      </c>
      <c r="D3" s="3" t="s">
        <v>973</v>
      </c>
      <c r="E3" s="3" t="s">
        <v>974</v>
      </c>
      <c r="I3" s="4" t="str">
        <f>IFERROR(__xludf.DUMMYFUNCTION("GOOGLETRANSLATE(A3, ""en"", ""bn"")"),"২")</f>
        <v>২</v>
      </c>
      <c r="J3" s="4" t="str">
        <f>IFERROR(__xludf.DUMMYFUNCTION("GOOGLETRANSLATE(B3, ""en"", ""bn"")"),"গোল্লা চুটে 'ধাওয়াকারী' দলের মূল লক্ষ্য কী?")</f>
        <v>গোল্লা চুটে 'ধাওয়াকারী' দলের মূল লক্ষ্য কী?</v>
      </c>
      <c r="K3" s="4" t="str">
        <f>IFERROR(__xludf.DUMMYFUNCTION("GOOGLETRANSLATE(C3, ""en"", ""bn"")"),"ক) অন্য দলের সকল খেলোয়াড়কে ধরে ফেলুন, খ) একটি নির্দিষ্ট রেখায় পৌঁছান, গ) গোল করুন, ঘ) সীমানা রেখা অতিক্রম করুন")</f>
        <v>ক) অন্য দলের সকল খেলোয়াড়কে ধরে ফেলুন, খ) একটি নির্দিষ্ট রেখায় পৌঁছান, গ) গোল করুন, ঘ) সীমানা রেখা অতিক্রম করুন</v>
      </c>
      <c r="L3" s="4" t="str">
        <f>IFERROR(__xludf.DUMMYFUNCTION("GOOGLETRANSLATE(D3, ""en"", ""bn"")"),"ক) অন্য দলের সকল খেলোয়াড়কে বন্দী করুন")</f>
        <v>ক) অন্য দলের সকল খেলোয়াড়কে বন্দী করুন</v>
      </c>
      <c r="M3" s="4" t="str">
        <f>IFERROR(__xludf.DUMMYFUNCTION("GOOGLETRANSLATE(E3, ""en"", ""bn"")"),"ধাওয়াকারী দলের প্রাথমিক লক্ষ্য হল অন্য দলের সদস্যদের ট্যাগ করা এবং তাদের ধরে ফেলা।")</f>
        <v>ধাওয়াকারী দলের প্রাথমিক লক্ষ্য হল অন্য দলের সদস্যদের ট্যাগ করা এবং তাদের ধরে ফেলা।</v>
      </c>
    </row>
    <row r="4">
      <c r="A4" s="3">
        <v>3.0</v>
      </c>
      <c r="B4" s="3" t="s">
        <v>975</v>
      </c>
      <c r="C4" s="3" t="s">
        <v>976</v>
      </c>
      <c r="D4" s="3" t="s">
        <v>977</v>
      </c>
      <c r="E4" s="3" t="s">
        <v>978</v>
      </c>
      <c r="I4" s="4" t="str">
        <f>IFERROR(__xludf.DUMMYFUNCTION("GOOGLETRANSLATE(A4, ""en"", ""bn"")"),"৩")</f>
        <v>৩</v>
      </c>
      <c r="J4" s="4" t="str">
        <f>IFERROR(__xludf.DUMMYFUNCTION("GOOGLETRANSLATE(B4, ""en"", ""bn"")"),"গোল্লা চুটে, 'চুট' এলাকাটি কী?")</f>
        <v>গোল্লা চুটে, 'চুট' এলাকাটি কী?</v>
      </c>
      <c r="K4" s="4" t="str">
        <f>IFERROR(__xludf.DUMMYFUNCTION("GOOGLETRANSLATE(C4, ""en"", ""bn"")"),"ক) খেলোয়াড়দের জন্য একটি বিশ্রামের জায়গা, খ) একটি নির্দিষ্ট নিরাপদ অঞ্চল, গ) খেলার শুরুর স্থান, ঘ) শেষ রেখা")</f>
        <v>ক) খেলোয়াড়দের জন্য একটি বিশ্রামের জায়গা, খ) একটি নির্দিষ্ট নিরাপদ অঞ্চল, গ) খেলার শুরুর স্থান, ঘ) শেষ রেখা</v>
      </c>
      <c r="L4" s="4" t="str">
        <f>IFERROR(__xludf.DUMMYFUNCTION("GOOGLETRANSLATE(D4, ""en"", ""bn"")"),"খ) একটি নির্ধারিত নিরাপদ অঞ্চল")</f>
        <v>খ) একটি নির্ধারিত নিরাপদ অঞ্চল</v>
      </c>
      <c r="M4" s="4" t="str">
        <f>IFERROR(__xludf.DUMMYFUNCTION("GOOGLETRANSLATE(E4, ""en"", ""bn"")"),"'ছুট' এলাকাটি একটি নিরাপদ অঞ্চল যেখানে খেলোয়াড়দের ট্যাগ করা যায় না।")</f>
        <v>'ছুট' এলাকাটি একটি নিরাপদ অঞ্চল যেখানে খেলোয়াড়দের ট্যাগ করা যায় না।</v>
      </c>
    </row>
    <row r="5">
      <c r="A5" s="3">
        <v>4.0</v>
      </c>
      <c r="B5" s="3" t="s">
        <v>979</v>
      </c>
      <c r="C5" s="3" t="s">
        <v>980</v>
      </c>
      <c r="D5" s="3" t="s">
        <v>981</v>
      </c>
      <c r="E5" s="3" t="s">
        <v>982</v>
      </c>
      <c r="I5" s="4" t="str">
        <f>IFERROR(__xludf.DUMMYFUNCTION("GOOGLETRANSLATE(A5, ""en"", ""bn"")"),"৪")</f>
        <v>৪</v>
      </c>
      <c r="J5" s="4" t="str">
        <f>IFERROR(__xludf.DUMMYFUNCTION("GOOGLETRANSLATE(B5, ""en"", ""bn"")"),"গোল্লা চুটে কোন দল 'ধাওয়াকারী' দল হিসেবে শুরু করে?")</f>
        <v>গোল্লা চুটে কোন দল 'ধাওয়াকারী' দল হিসেবে শুরু করে?</v>
      </c>
      <c r="K5" s="4" t="str">
        <f>IFERROR(__xludf.DUMMYFUNCTION("GOOGLETRANSLATE(C5, ""en"", ""bn"")"),"ক) মুদ্রা টস দ্বারা সিদ্ধান্ত নেওয়া হয়েছে, খ) কম খেলোয়াড়ের দল, গ) বেশি পয়েন্টের দল, ঘ) প্রতিটি রাউন্ডে পর্যায়ক্রমে")</f>
        <v>ক) মুদ্রা টস দ্বারা সিদ্ধান্ত নেওয়া হয়েছে, খ) কম খেলোয়াড়ের দল, গ) বেশি পয়েন্টের দল, ঘ) প্রতিটি রাউন্ডে পর্যায়ক্রমে</v>
      </c>
      <c r="L5" s="4" t="str">
        <f>IFERROR(__xludf.DUMMYFUNCTION("GOOGLETRANSLATE(D5, ""en"", ""bn"")"),"ক) মুদ্রা টসের মাধ্যমে সিদ্ধান্ত নেওয়া হয়েছে")</f>
        <v>ক) মুদ্রা টসের মাধ্যমে সিদ্ধান্ত নেওয়া হয়েছে</v>
      </c>
      <c r="M5" s="4" t="str">
        <f>IFERROR(__xludf.DUMMYFUNCTION("GOOGLETRANSLATE(E5, ""en"", ""bn"")"),"সাধারণত মুদ্রা টস নির্ধারণ করে কোন দল তাড়া করার দল হিসেবে শুরু করবে।")</f>
        <v>সাধারণত মুদ্রা টস নির্ধারণ করে কোন দল তাড়া করার দল হিসেবে শুরু করবে।</v>
      </c>
    </row>
    <row r="6">
      <c r="A6" s="3">
        <v>5.0</v>
      </c>
      <c r="B6" s="3" t="s">
        <v>983</v>
      </c>
      <c r="C6" s="3" t="s">
        <v>984</v>
      </c>
      <c r="D6" s="3" t="s">
        <v>985</v>
      </c>
      <c r="E6" s="3" t="s">
        <v>986</v>
      </c>
      <c r="I6" s="4" t="str">
        <f>IFERROR(__xludf.DUMMYFUNCTION("GOOGLETRANSLATE(A6, ""en"", ""bn"")"),"৫")</f>
        <v>৫</v>
      </c>
      <c r="J6" s="4" t="str">
        <f>IFERROR(__xludf.DUMMYFUNCTION("GOOGLETRANSLATE(B6, ""en"", ""bn"")"),"গোল্লা চুটের জন্য সাধারণ সীমানা কাঠামো কী?")</f>
        <v>গোল্লা চুটের জন্য সাধারণ সীমানা কাঠামো কী?</v>
      </c>
      <c r="K6" s="4" t="str">
        <f>IFERROR(__xludf.DUMMYFUNCTION("GOOGLETRANSLATE(C6, ""en"", ""bn"")"),"ক) বৃত্তাকার, খ) বর্গক্ষেত্র, গ) আয়তক্ষেত্রাকার, ঘ) ত্রিভুজাকার")</f>
        <v>ক) বৃত্তাকার, খ) বর্গক্ষেত্র, গ) আয়তক্ষেত্রাকার, ঘ) ত্রিভুজাকার</v>
      </c>
      <c r="L6" s="4" t="str">
        <f>IFERROR(__xludf.DUMMYFUNCTION("GOOGLETRANSLATE(D6, ""en"", ""bn"")"),"খ) বর্গক্ষেত্র")</f>
        <v>খ) বর্গক্ষেত্র</v>
      </c>
      <c r="M6" s="4" t="str">
        <f>IFERROR(__xludf.DUMMYFUNCTION("GOOGLETRANSLATE(E6, ""en"", ""bn"")"),"গোল্লা চুটের খেলার জায়গাটি সাধারণত বর্গাকার আকৃতির হয়, স্পষ্টতার জন্য চিহ্নিত করা হয়।")</f>
        <v>গোল্লা চুটের খেলার জায়গাটি সাধারণত বর্গাকার আকৃতির হয়, স্পষ্টতার জন্য চিহ্নিত করা হয়।</v>
      </c>
    </row>
    <row r="7">
      <c r="A7" s="3">
        <v>6.0</v>
      </c>
      <c r="B7" s="3" t="s">
        <v>987</v>
      </c>
      <c r="C7" s="3" t="s">
        <v>23</v>
      </c>
      <c r="D7" s="3" t="s">
        <v>566</v>
      </c>
      <c r="E7" s="3" t="s">
        <v>988</v>
      </c>
      <c r="I7" s="4" t="str">
        <f>IFERROR(__xludf.DUMMYFUNCTION("GOOGLETRANSLATE(A7, ""en"", ""bn"")"),"৬")</f>
        <v>৬</v>
      </c>
      <c r="J7" s="4" t="str">
        <f>IFERROR(__xludf.DUMMYFUNCTION("GOOGLETRANSLATE(B7, ""en"", ""bn"")"),"একটি স্ট্যান্ডার্ড গোল্লা চুট গেমে কয়টি 'নিরাপদ অঞ্চল' থাকে?")</f>
        <v>একটি স্ট্যান্ডার্ড গোল্লা চুট গেমে কয়টি 'নিরাপদ অঞ্চল' থাকে?</v>
      </c>
      <c r="K7" s="4" t="str">
        <f>IFERROR(__xludf.DUMMYFUNCTION("GOOGLETRANSLATE(C7, ""en"", ""bn"")"),"ক) ১, খ) ২, গ) ৩, ঘ) ৪")</f>
        <v>ক) ১, খ) ২, গ) ৩, ঘ) ৪</v>
      </c>
      <c r="L7" s="4" t="str">
        <f>IFERROR(__xludf.DUMMYFUNCTION("GOOGLETRANSLATE(D7, ""en"", ""bn"")"),"ক) ১")</f>
        <v>ক) ১</v>
      </c>
      <c r="M7" s="4" t="str">
        <f>IFERROR(__xludf.DUMMYFUNCTION("GOOGLETRANSLATE(E7, ""en"", ""bn"")"),"গোল্লা চুতে সাধারণত একটি নির্দিষ্ট 'চুট' বা নিরাপদ অঞ্চল থাকে।")</f>
        <v>গোল্লা চুতে সাধারণত একটি নির্দিষ্ট 'চুট' বা নিরাপদ অঞ্চল থাকে।</v>
      </c>
    </row>
    <row r="8">
      <c r="A8" s="3">
        <v>7.0</v>
      </c>
      <c r="B8" s="3" t="s">
        <v>989</v>
      </c>
      <c r="C8" s="3" t="s">
        <v>990</v>
      </c>
      <c r="D8" s="3" t="s">
        <v>991</v>
      </c>
      <c r="E8" s="3" t="s">
        <v>992</v>
      </c>
      <c r="I8" s="4" t="str">
        <f>IFERROR(__xludf.DUMMYFUNCTION("GOOGLETRANSLATE(A8, ""en"", ""bn"")"),"৭")</f>
        <v>৭</v>
      </c>
      <c r="J8" s="4" t="str">
        <f>IFERROR(__xludf.DUMMYFUNCTION("GOOGLETRANSLATE(B8, ""en"", ""bn"")"),"গোল্লা চুতে যখন একজন খেলোয়াড় চুট এলাকায় পৌঁছায় তখন কী ঘটে?")</f>
        <v>গোল্লা চুতে যখন একজন খেলোয়াড় চুট এলাকায় পৌঁছায় তখন কী ঘটে?</v>
      </c>
      <c r="K8" s="4" t="str">
        <f>IFERROR(__xludf.DUMMYFUNCTION("GOOGLETRANSLATE(C8, ""en"", ""bn"")"),"ক) তারা একটি পয়েন্ট পায়, খ) তারা বাদ পড়ে, গ) তারা তাড়া করে, ঘ) তারা ট্যাগ হওয়া থেকে নিরাপদ থাকে")</f>
        <v>ক) তারা একটি পয়েন্ট পায়, খ) তারা বাদ পড়ে, গ) তারা তাড়া করে, ঘ) তারা ট্যাগ হওয়া থেকে নিরাপদ থাকে</v>
      </c>
      <c r="L8" s="4" t="str">
        <f>IFERROR(__xludf.DUMMYFUNCTION("GOOGLETRANSLATE(D8, ""en"", ""bn"")"),"ঘ) তারা ট্যাগ হওয়া থেকে নিরাপদ")</f>
        <v>ঘ) তারা ট্যাগ হওয়া থেকে নিরাপদ</v>
      </c>
      <c r="M8" s="4" t="str">
        <f>IFERROR(__xludf.DUMMYFUNCTION("GOOGLETRANSLATE(E8, ""en"", ""bn"")"),"চুট এলাকার খেলোয়াড়রা নিরাপদ এবং তাদের তাড়াকারী দল ট্যাগ করতে পারবে না।")</f>
        <v>চুট এলাকার খেলোয়াড়রা নিরাপদ এবং তাদের তাড়াকারী দল ট্যাগ করতে পারবে না।</v>
      </c>
    </row>
    <row r="9">
      <c r="A9" s="3">
        <v>8.0</v>
      </c>
      <c r="B9" s="3" t="s">
        <v>993</v>
      </c>
      <c r="C9" s="3" t="s">
        <v>994</v>
      </c>
      <c r="D9" s="3" t="s">
        <v>995</v>
      </c>
      <c r="E9" s="3" t="s">
        <v>996</v>
      </c>
      <c r="I9" s="4" t="str">
        <f>IFERROR(__xludf.DUMMYFUNCTION("GOOGLETRANSLATE(A9, ""en"", ""bn"")"),"৮")</f>
        <v>৮</v>
      </c>
      <c r="J9" s="4" t="str">
        <f>IFERROR(__xludf.DUMMYFUNCTION("GOOGLETRANSLATE(B9, ""en"", ""bn"")"),"গোল্লা চুটে, যদি একটি দলের সকল খেলোয়াড়কে বন্দী করা হয়, তাহলে ফলাফল কী হবে?")</f>
        <v>গোল্লা চুটে, যদি একটি দলের সকল খেলোয়াড়কে বন্দী করা হয়, তাহলে ফলাফল কী হবে?</v>
      </c>
      <c r="K9" s="4" t="str">
        <f>IFERROR(__xludf.DUMMYFUNCTION("GOOGLETRANSLATE(C9, ""en"", ""bn"")"),"ক) রাউন্ডটি পুনরায় শুরু হয়, খ) দলটি একটি পয়েন্ট হারায়, গ) রাউন্ডটি শেষ হয়, ঘ) আটক দলটি একটি পয়েন্ট জিতে নেয়")</f>
        <v>ক) রাউন্ডটি পুনরায় শুরু হয়, খ) দলটি একটি পয়েন্ট হারায়, গ) রাউন্ডটি শেষ হয়, ঘ) আটক দলটি একটি পয়েন্ট জিতে নেয়</v>
      </c>
      <c r="L9" s="4" t="str">
        <f>IFERROR(__xludf.DUMMYFUNCTION("GOOGLETRANSLATE(D9, ""en"", ""bn"")"),"গ) রাউন্ডটি শেষ হয়")</f>
        <v>গ) রাউন্ডটি শেষ হয়</v>
      </c>
      <c r="M9" s="4" t="str">
        <f>IFERROR(__xludf.DUMMYFUNCTION("GOOGLETRANSLATE(E9, ""en"", ""bn"")"),"যদি কোনও দলের সমস্ত খেলোয়াড় ধাওয়াকারীদের হাতে ধরা পড়ে, তাহলে রাউন্ডটি শেষ হয়।")</f>
        <v>যদি কোনও দলের সমস্ত খেলোয়াড় ধাওয়াকারীদের হাতে ধরা পড়ে, তাহলে রাউন্ডটি শেষ হয়।</v>
      </c>
    </row>
    <row r="10">
      <c r="A10" s="3">
        <v>9.0</v>
      </c>
      <c r="B10" s="3" t="s">
        <v>997</v>
      </c>
      <c r="C10" s="3" t="s">
        <v>998</v>
      </c>
      <c r="D10" s="3" t="s">
        <v>722</v>
      </c>
      <c r="E10" s="3" t="s">
        <v>999</v>
      </c>
      <c r="I10" s="4" t="str">
        <f>IFERROR(__xludf.DUMMYFUNCTION("GOOGLETRANSLATE(A10, ""en"", ""bn"")"),"৯")</f>
        <v>৯</v>
      </c>
      <c r="J10" s="4" t="str">
        <f>IFERROR(__xludf.DUMMYFUNCTION("GOOGLETRANSLATE(B10, ""en"", ""bn"")"),"গোল্লা চুটে সাফল্যের জন্য কোন দক্ষতা সবচেয়ে গুরুত্বপূর্ণ?")</f>
        <v>গোল্লা চুটে সাফল্যের জন্য কোন দক্ষতা সবচেয়ে গুরুত্বপূর্ণ?</v>
      </c>
      <c r="K10" s="4" t="str">
        <f>IFERROR(__xludf.DUMMYFUNCTION("GOOGLETRANSLATE(C10, ""en"", ""bn"")"),"ক) লাফানো, খ) নিক্ষেপ করা, গ) তত্পরতা, ঘ) সহনশীলতা")</f>
        <v>ক) লাফানো, খ) নিক্ষেপ করা, গ) তত্পরতা, ঘ) সহনশীলতা</v>
      </c>
      <c r="L10" s="4" t="str">
        <f>IFERROR(__xludf.DUMMYFUNCTION("GOOGLETRANSLATE(D10, ""en"", ""bn"")"),"গ) তত্পরতা")</f>
        <v>গ) তত্পরতা</v>
      </c>
      <c r="M10" s="4" t="str">
        <f>IFERROR(__xludf.DUMMYFUNCTION("GOOGLETRANSLATE(E10, ""en"", ""bn"")"),"গোল্লা চুটে তৎপরতা অপরিহার্য, কারণ দৌড়ানোর সময় খেলোয়াড়দের ধরা এড়াতে হয়।")</f>
        <v>গোল্লা চুটে তৎপরতা অপরিহার্য, কারণ দৌড়ানোর সময় খেলোয়াড়দের ধরা এড়াতে হয়।</v>
      </c>
    </row>
    <row r="11">
      <c r="A11" s="3">
        <v>10.0</v>
      </c>
      <c r="B11" s="3" t="s">
        <v>1000</v>
      </c>
      <c r="C11" s="3" t="s">
        <v>1001</v>
      </c>
      <c r="D11" s="3" t="s">
        <v>1002</v>
      </c>
      <c r="E11" s="3" t="s">
        <v>1003</v>
      </c>
      <c r="I11" s="4" t="str">
        <f>IFERROR(__xludf.DUMMYFUNCTION("GOOGLETRANSLATE(A11, ""en"", ""bn"")"),"১০")</f>
        <v>১০</v>
      </c>
      <c r="J11" s="4" t="str">
        <f>IFERROR(__xludf.DUMMYFUNCTION("GOOGLETRANSLATE(B11, ""en"", ""bn"")"),"একজন খেলোয়াড় কীভাবে গোল্লা চুটে ট্যাগ হওয়া এড়াতে পারে?")</f>
        <v>একজন খেলোয়াড় কীভাবে গোল্লা চুটে ট্যাগ হওয়া এড়াতে পারে?</v>
      </c>
      <c r="K11" s="4" t="str">
        <f>IFERROR(__xludf.DUMMYFUNCTION("GOOGLETRANSLATE(C11, ""en"", ""bn"")"),"ক) লাফিয়ে, খ) মাটি স্পর্শ করে, গ) চুট এলাকায় প্রবেশ করে, ঘ) লুকিয়ে")</f>
        <v>ক) লাফিয়ে, খ) মাটি স্পর্শ করে, গ) চুট এলাকায় প্রবেশ করে, ঘ) লুকিয়ে</v>
      </c>
      <c r="L11" s="4" t="str">
        <f>IFERROR(__xludf.DUMMYFUNCTION("GOOGLETRANSLATE(D11, ""en"", ""bn"")"),"গ) ছুট এলাকায় প্রবেশ করে")</f>
        <v>গ) ছুট এলাকায় প্রবেশ করে</v>
      </c>
      <c r="M11" s="4" t="str">
        <f>IFERROR(__xludf.DUMMYFUNCTION("GOOGLETRANSLATE(E11, ""en"", ""bn"")"),"খেলোয়াড়রা চুট এলাকায় প্রবেশ করে ট্যাগ এড়াতে পারে, যা একটি নিরাপদ অঞ্চল।")</f>
        <v>খেলোয়াড়রা চুট এলাকায় প্রবেশ করে ট্যাগ এড়াতে পারে, যা একটি নিরাপদ অঞ্চল।</v>
      </c>
    </row>
    <row r="12">
      <c r="A12" s="3">
        <v>11.0</v>
      </c>
      <c r="B12" s="3" t="s">
        <v>1004</v>
      </c>
      <c r="C12" s="3" t="s">
        <v>1005</v>
      </c>
      <c r="D12" s="3" t="s">
        <v>1006</v>
      </c>
      <c r="E12" s="3" t="s">
        <v>1007</v>
      </c>
      <c r="I12" s="4" t="str">
        <f>IFERROR(__xludf.DUMMYFUNCTION("GOOGLETRANSLATE(A12, ""en"", ""bn"")"),"১১")</f>
        <v>১১</v>
      </c>
      <c r="J12" s="4" t="str">
        <f>IFERROR(__xludf.DUMMYFUNCTION("GOOGLETRANSLATE(B12, ""en"", ""bn"")"),"যদি একজন তাড়াকারী চাটের বাইরে কোনও প্রতিপক্ষকে ট্যাগ করে, তাহলে প্রতিপক্ষ কী করবে?")</f>
        <v>যদি একজন তাড়াকারী চাটের বাইরে কোনও প্রতিপক্ষকে ট্যাগ করে, তাহলে প্রতিপক্ষ কী করবে?</v>
      </c>
      <c r="K12" s="4" t="str">
        <f>IFERROR(__xludf.DUMMYFUNCTION("GOOGLETRANSLATE(C12, ""en"", ""bn"")"),"ক) খেলা থেকে বেরিয়ে যায়, খ) তাড়াকারী দলে যোগ দেয়, গ) একটি নির্দিষ্ট জায়গায় অপেক্ষা করে, ঘ) মাঠ ছেড়ে চলে যায়")</f>
        <v>ক) খেলা থেকে বেরিয়ে যায়, খ) তাড়াকারী দলে যোগ দেয়, গ) একটি নির্দিষ্ট জায়গায় অপেক্ষা করে, ঘ) মাঠ ছেড়ে চলে যায়</v>
      </c>
      <c r="L12" s="4" t="str">
        <f>IFERROR(__xludf.DUMMYFUNCTION("GOOGLETRANSLATE(D12, ""en"", ""bn"")"),"গ) একটি নির্দিষ্ট স্থানে অপেক্ষা করে")</f>
        <v>গ) একটি নির্দিষ্ট স্থানে অপেক্ষা করে</v>
      </c>
      <c r="M12" s="4" t="str">
        <f>IFERROR(__xludf.DUMMYFUNCTION("GOOGLETRANSLATE(E12, ""en"", ""bn"")"),"ট্যাগ করা খেলোয়াড়দের সাধারণত রাউন্ড শেষ না হওয়া পর্যন্ত একটি নির্ধারিত অপেক্ষার স্থানে পাঠানো হয়।")</f>
        <v>ট্যাগ করা খেলোয়াড়দের সাধারণত রাউন্ড শেষ না হওয়া পর্যন্ত একটি নির্ধারিত অপেক্ষার স্থানে পাঠানো হয়।</v>
      </c>
    </row>
    <row r="13">
      <c r="A13" s="3">
        <v>12.0</v>
      </c>
      <c r="B13" s="3" t="s">
        <v>1008</v>
      </c>
      <c r="C13" s="3" t="s">
        <v>1009</v>
      </c>
      <c r="D13" s="3" t="s">
        <v>1010</v>
      </c>
      <c r="E13" s="3" t="s">
        <v>1011</v>
      </c>
      <c r="I13" s="4" t="str">
        <f>IFERROR(__xludf.DUMMYFUNCTION("GOOGLETRANSLATE(A13, ""en"", ""bn"")"),"১২")</f>
        <v>১২</v>
      </c>
      <c r="J13" s="4" t="str">
        <f>IFERROR(__xludf.DUMMYFUNCTION("GOOGLETRANSLATE(B13, ""en"", ""bn"")"),"গোল্লা চুটে নিচের কোনটি নিয়ম নয়?")</f>
        <v>গোল্লা চুটে নিচের কোনটি নিয়ম নয়?</v>
      </c>
      <c r="K13" s="4" t="str">
        <f>IFERROR(__xludf.DUMMYFUNCTION("GOOGLETRANSLATE(C13, ""en"", ""bn"")"),"ক) খেলোয়াড়রা দুইবারের বেশি চুটে প্রবেশ করতে পারবে না, খ) চেজাররা প্রতি রাউন্ডে পরিবর্তন করতে পারবে, গ) খেলোয়াড়দের কেবল চুটের বাইরে ট্যাগ করা যাবে, ঘ) খেলোয়াড়রা চেজারদের কাছ থেকে লুকিয়ে থাকতে পারবে")</f>
        <v>ক) খেলোয়াড়রা দুইবারের বেশি চুটে প্রবেশ করতে পারবে না, খ) চেজাররা প্রতি রাউন্ডে পরিবর্তন করতে পারবে, গ) খেলোয়াড়দের কেবল চুটের বাইরে ট্যাগ করা যাবে, ঘ) খেলোয়াড়রা চেজারদের কাছ থেকে লুকিয়ে থাকতে পারবে</v>
      </c>
      <c r="L13" s="4" t="str">
        <f>IFERROR(__xludf.DUMMYFUNCTION("GOOGLETRANSLATE(D13, ""en"", ""bn"")"),"ঘ) খেলোয়াড়রা তাড়াকারীদের থেকে লুকিয়ে থাকতে পারে")</f>
        <v>ঘ) খেলোয়াড়রা তাড়াকারীদের থেকে লুকিয়ে থাকতে পারে</v>
      </c>
      <c r="M13" s="4" t="str">
        <f>IFERROR(__xludf.DUMMYFUNCTION("GOOGLETRANSLATE(E13, ""en"", ""bn"")"),"খেলোয়াড়দের তাড়াকারীদের থেকে লুকানোর অনুমতি নেই; তাদের খেলার মাঠের মধ্যেই থাকতে হবে।")</f>
        <v>খেলোয়াড়দের তাড়াকারীদের থেকে লুকানোর অনুমতি নেই; তাদের খেলার মাঠের মধ্যেই থাকতে হবে।</v>
      </c>
    </row>
    <row r="14">
      <c r="A14" s="3">
        <v>13.0</v>
      </c>
      <c r="B14" s="3" t="s">
        <v>1012</v>
      </c>
      <c r="C14" s="3" t="s">
        <v>1013</v>
      </c>
      <c r="D14" s="3" t="s">
        <v>1014</v>
      </c>
      <c r="E14" s="3" t="s">
        <v>1015</v>
      </c>
      <c r="I14" s="4" t="str">
        <f>IFERROR(__xludf.DUMMYFUNCTION("GOOGLETRANSLATE(A14, ""en"", ""bn"")"),"১৩")</f>
        <v>১৩</v>
      </c>
      <c r="J14" s="4" t="str">
        <f>IFERROR(__xludf.DUMMYFUNCTION("GOOGLETRANSLATE(B14, ""en"", ""bn"")"),"গোল্লা চুটে একটি দল কীভাবে পয়েন্ট অর্জন করে?")</f>
        <v>গোল্লা চুটে একটি দল কীভাবে পয়েন্ট অর্জন করে?</v>
      </c>
      <c r="K14" s="4" t="str">
        <f>IFERROR(__xludf.DUMMYFUNCTION("GOOGLETRANSLATE(C14, ""en"", ""bn"")"),"ক) প্রতিপক্ষকে ট্যাগ করে, খ) ট্যাগ না করেই চট পর্যন্ত পৌঁছানোর মাধ্যমে, গ) শেষ রেখা অতিক্রম করে, ঘ) একটি ল্যাপ সম্পন্ন করে")</f>
        <v>ক) প্রতিপক্ষকে ট্যাগ করে, খ) ট্যাগ না করেই চট পর্যন্ত পৌঁছানোর মাধ্যমে, গ) শেষ রেখা অতিক্রম করে, ঘ) একটি ল্যাপ সম্পন্ন করে</v>
      </c>
      <c r="L14" s="4" t="str">
        <f>IFERROR(__xludf.DUMMYFUNCTION("GOOGLETRANSLATE(D14, ""en"", ""bn"")"),"খ) ট্যাগ না করেই চুটে পৌঁছানোর মাধ্যমে")</f>
        <v>খ) ট্যাগ না করেই চুটে পৌঁছানোর মাধ্যমে</v>
      </c>
      <c r="M14" s="4" t="str">
        <f>IFERROR(__xludf.DUMMYFUNCTION("GOOGLETRANSLATE(E14, ""en"", ""bn"")"),"দলগুলি ধাওয়াকারীদের দ্বারা চিহ্নিত না হয়েই চুট এলাকায় পৌঁছে স্কোর করে।")</f>
        <v>দলগুলি ধাওয়াকারীদের দ্বারা চিহ্নিত না হয়েই চুট এলাকায় পৌঁছে স্কোর করে।</v>
      </c>
    </row>
    <row r="15">
      <c r="A15" s="3">
        <v>14.0</v>
      </c>
      <c r="B15" s="3" t="s">
        <v>1016</v>
      </c>
      <c r="C15" s="3" t="s">
        <v>1017</v>
      </c>
      <c r="D15" s="3" t="s">
        <v>1018</v>
      </c>
      <c r="E15" s="3" t="s">
        <v>1019</v>
      </c>
      <c r="I15" s="4" t="str">
        <f>IFERROR(__xludf.DUMMYFUNCTION("GOOGLETRANSLATE(A15, ""en"", ""bn"")"),"১৪")</f>
        <v>১৪</v>
      </c>
      <c r="J15" s="4" t="str">
        <f>IFERROR(__xludf.DUMMYFUNCTION("GOOGLETRANSLATE(B15, ""en"", ""bn"")"),"যখন চাটের বাইরের কোনও খেলোয়াড়কে ট্যাগ করা হয় তখন কী হয়?")</f>
        <v>যখন চাটের বাইরের কোনও খেলোয়াড়কে ট্যাগ করা হয় তখন কী হয়?</v>
      </c>
      <c r="K15" s="4" t="str">
        <f>IFERROR(__xludf.DUMMYFUNCTION("GOOGLETRANSLATE(C15, ""en"", ""bn"")"),"ক) তারা চুট দলে যোগ দেয়, খ) তারা রাউন্ডের জন্য বাইরে থাকে, গ) তারা দল পরিবর্তন করে, ঘ) তারা তাড়া করে।")</f>
        <v>ক) তারা চুট দলে যোগ দেয়, খ) তারা রাউন্ডের জন্য বাইরে থাকে, গ) তারা দল পরিবর্তন করে, ঘ) তারা তাড়া করে।</v>
      </c>
      <c r="L15" s="4" t="str">
        <f>IFERROR(__xludf.DUMMYFUNCTION("GOOGLETRANSLATE(D15, ""en"", ""bn"")"),"খ) তারা রাউন্ডের জন্য বাইরে।")</f>
        <v>খ) তারা রাউন্ডের জন্য বাইরে।</v>
      </c>
      <c r="M15" s="4" t="str">
        <f>IFERROR(__xludf.DUMMYFUNCTION("GOOGLETRANSLATE(E15, ""en"", ""bn"")"),"চাটের বাইরে ট্যাগ করা খেলোয়াড়দের বাকি রাউন্ডের জন্য বাদ বলে বিবেচনা করা হবে।")</f>
        <v>চাটের বাইরে ট্যাগ করা খেলোয়াড়দের বাকি রাউন্ডের জন্য বাদ বলে বিবেচনা করা হবে।</v>
      </c>
    </row>
    <row r="16">
      <c r="A16" s="3">
        <v>15.0</v>
      </c>
      <c r="B16" s="3" t="s">
        <v>1020</v>
      </c>
      <c r="C16" s="3" t="s">
        <v>1021</v>
      </c>
      <c r="D16" s="3" t="s">
        <v>1022</v>
      </c>
      <c r="E16" s="3" t="s">
        <v>1023</v>
      </c>
      <c r="I16" s="4" t="str">
        <f>IFERROR(__xludf.DUMMYFUNCTION("GOOGLETRANSLATE(A16, ""en"", ""bn"")"),"১৫")</f>
        <v>১৫</v>
      </c>
      <c r="J16" s="4" t="str">
        <f>IFERROR(__xludf.DUMMYFUNCTION("GOOGLETRANSLATE(B16, ""en"", ""bn"")"),"গোল্লা চুটে কে জয়ী দল নির্ধারণ করে?")</f>
        <v>গোল্লা চুটে কে জয়ী দল নির্ধারণ করে?</v>
      </c>
      <c r="K16" s="4" t="str">
        <f>IFERROR(__xludf.DUMMYFUNCTION("GOOGLETRANSLATE(C16, ""en"", ""bn"")"),"ক) যে দলে খেলোয়াড়ের সংখ্যা বেশি, খ) যে দলে পয়েন্ট বেশি, গ) যে দলে ট্যাগ কম, ঘ) যে দলে রক্ষণভাগ ভালো")</f>
        <v>ক) যে দলে খেলোয়াড়ের সংখ্যা বেশি, খ) যে দলে পয়েন্ট বেশি, গ) যে দলে ট্যাগ কম, ঘ) যে দলে রক্ষণভাগ ভালো</v>
      </c>
      <c r="L16" s="4" t="str">
        <f>IFERROR(__xludf.DUMMYFUNCTION("GOOGLETRANSLATE(D16, ""en"", ""bn"")"),"খ) সর্বাধিক পয়েন্ট অর্জনকারী দল")</f>
        <v>খ) সর্বাধিক পয়েন্ট অর্জনকারী দল</v>
      </c>
      <c r="M16" s="4" t="str">
        <f>IFERROR(__xludf.DUMMYFUNCTION("GOOGLETRANSLATE(E16, ""en"", ""bn"")"),"ট্যাগ না করেই চুটে পৌঁছানোর মাধ্যমে সর্বোচ্চ স্কোর অর্জনকারী দল জয়ী হয়।")</f>
        <v>ট্যাগ না করেই চুটে পৌঁছানোর মাধ্যমে সর্বোচ্চ স্কোর অর্জনকারী দল জয়ী হয়।</v>
      </c>
    </row>
    <row r="17">
      <c r="A17" s="3">
        <v>16.0</v>
      </c>
      <c r="B17" s="3" t="s">
        <v>1024</v>
      </c>
      <c r="C17" s="3" t="s">
        <v>1025</v>
      </c>
      <c r="D17" s="3" t="s">
        <v>1026</v>
      </c>
      <c r="E17" s="3" t="s">
        <v>1027</v>
      </c>
      <c r="I17" s="4" t="str">
        <f>IFERROR(__xludf.DUMMYFUNCTION("GOOGLETRANSLATE(A17, ""en"", ""bn"")"),"১৬")</f>
        <v>১৬</v>
      </c>
      <c r="J17" s="4" t="str">
        <f>IFERROR(__xludf.DUMMYFUNCTION("GOOGLETRANSLATE(B17, ""en"", ""bn"")"),"গোল্লা চুটে, একটি রাউন্ড কীভাবে শুরু হয়?")</f>
        <v>গোল্লা চুটে, একটি রাউন্ড কীভাবে শুরু হয়?</v>
      </c>
      <c r="K17" s="4" t="str">
        <f>IFERROR(__xludf.DUMMYFUNCTION("GOOGLETRANSLATE(C17, ""en"", ""bn"")"),"ক) বাঁশি দিয়ে, খ) মুদ্রা ছুঁড়ে, গ) পতাকার সংকেত দিয়ে, ঘ) কাউন্টডাউন দিয়ে")</f>
        <v>ক) বাঁশি দিয়ে, খ) মুদ্রা ছুঁড়ে, গ) পতাকার সংকেত দিয়ে, ঘ) কাউন্টডাউন দিয়ে</v>
      </c>
      <c r="L17" s="4" t="str">
        <f>IFERROR(__xludf.DUMMYFUNCTION("GOOGLETRANSLATE(D17, ""en"", ""bn"")"),"ক) বাঁশি বাজিয়ে")</f>
        <v>ক) বাঁশি বাজিয়ে</v>
      </c>
      <c r="M17" s="4" t="str">
        <f>IFERROR(__xludf.DUMMYFUNCTION("GOOGLETRANSLATE(E17, ""en"", ""bn"")"),"গোল্লা চুটে প্রতিটি রাউন্ডের শুরুর সংকেত দেওয়ার জন্য সাধারণত একটি বাঁশি ব্যবহার করা হয়।")</f>
        <v>গোল্লা চুটে প্রতিটি রাউন্ডের শুরুর সংকেত দেওয়ার জন্য সাধারণত একটি বাঁশি ব্যবহার করা হয়।</v>
      </c>
    </row>
    <row r="18">
      <c r="A18" s="3">
        <v>17.0</v>
      </c>
      <c r="B18" s="3" t="s">
        <v>1028</v>
      </c>
      <c r="C18" s="3" t="s">
        <v>1029</v>
      </c>
      <c r="D18" s="3" t="s">
        <v>1030</v>
      </c>
      <c r="E18" s="3" t="s">
        <v>1031</v>
      </c>
      <c r="I18" s="4" t="str">
        <f>IFERROR(__xludf.DUMMYFUNCTION("GOOGLETRANSLATE(A18, ""en"", ""bn"")"),"১৭")</f>
        <v>১৭</v>
      </c>
      <c r="J18" s="4" t="str">
        <f>IFERROR(__xludf.DUMMYFUNCTION("GOOGLETRANSLATE(B18, ""en"", ""bn"")"),"একটি সাধারণ গোল্লা চুট খেলা কতক্ষণ স্থায়ী হয়?")</f>
        <v>একটি সাধারণ গোল্লা চুট খেলা কতক্ষণ স্থায়ী হয়?</v>
      </c>
      <c r="K18" s="4" t="str">
        <f>IFERROR(__xludf.DUMMYFUNCTION("GOOGLETRANSLATE(C18, ""en"", ""bn"")"),"ক) ১০ মিনিট, খ) ২০ মিনিট, গ) ৩০ মিনিট, ঘ) একটি নির্দিষ্ট স্কোর না পৌঁছানো পর্যন্ত")</f>
        <v>ক) ১০ মিনিট, খ) ২০ মিনিট, গ) ৩০ মিনিট, ঘ) একটি নির্দিষ্ট স্কোর না পৌঁছানো পর্যন্ত</v>
      </c>
      <c r="L18" s="4" t="str">
        <f>IFERROR(__xludf.DUMMYFUNCTION("GOOGLETRANSLATE(D18, ""en"", ""bn"")"),"ঘ) একটি নির্দিষ্ট স্কোর না পৌঁছানো পর্যন্ত")</f>
        <v>ঘ) একটি নির্দিষ্ট স্কোর না পৌঁছানো পর্যন্ত</v>
      </c>
      <c r="M18" s="4" t="str">
        <f>IFERROR(__xludf.DUMMYFUNCTION("GOOGLETRANSLATE(E18, ""en"", ""bn"")"),"একটি দল পূর্বনির্ধারিত স্কোরে পৌঁছানো পর্যন্ত গোল্লা চুট খেলা হয়।")</f>
        <v>একটি দল পূর্বনির্ধারিত স্কোরে পৌঁছানো পর্যন্ত গোল্লা চুট খেলা হয়।</v>
      </c>
    </row>
    <row r="19">
      <c r="A19" s="3">
        <v>18.0</v>
      </c>
      <c r="B19" s="3" t="s">
        <v>1032</v>
      </c>
      <c r="C19" s="3" t="s">
        <v>1033</v>
      </c>
      <c r="D19" s="3" t="s">
        <v>1034</v>
      </c>
      <c r="E19" s="3" t="s">
        <v>1035</v>
      </c>
      <c r="I19" s="4" t="str">
        <f>IFERROR(__xludf.DUMMYFUNCTION("GOOGLETRANSLATE(A19, ""en"", ""bn"")"),"১৮")</f>
        <v>১৮</v>
      </c>
      <c r="J19" s="4" t="str">
        <f>IFERROR(__xludf.DUMMYFUNCTION("GOOGLETRANSLATE(B19, ""en"", ""bn"")"),"গোল্লা চুটে, যদি চুট থেকে কোনও খেলোয়াড় বেরিয়ে আসে, তাহলে কী হবে?")</f>
        <v>গোল্লা চুটে, যদি চুট থেকে কোনও খেলোয়াড় বেরিয়ে আসে, তাহলে কী হবে?</v>
      </c>
      <c r="K19" s="4" t="str">
        <f>IFERROR(__xludf.DUMMYFUNCTION("GOOGLETRANSLATE(C19, ""en"", ""bn"")"),"ক) তাদের ট্যাগ করা যেতে পারে, খ) তারা একজন তাড়াকারী হয়ে ওঠে, গ) তারা একটি পয়েন্ট করে, ঘ) কিছুই ঘটে না")</f>
        <v>ক) তাদের ট্যাগ করা যেতে পারে, খ) তারা একজন তাড়াকারী হয়ে ওঠে, গ) তারা একটি পয়েন্ট করে, ঘ) কিছুই ঘটে না</v>
      </c>
      <c r="L19" s="4" t="str">
        <f>IFERROR(__xludf.DUMMYFUNCTION("GOOGLETRANSLATE(D19, ""en"", ""bn"")"),"ক) তাদের ট্যাগ করা যেতে পারে")</f>
        <v>ক) তাদের ট্যাগ করা যেতে পারে</v>
      </c>
      <c r="M19" s="4" t="str">
        <f>IFERROR(__xludf.DUMMYFUNCTION("GOOGLETRANSLATE(E19, ""en"", ""bn"")"),"একবার একজন খেলোয়াড় চাট থেকে বেরিয়ে এলে, তারা দুর্বল হয়ে পড়ে এবং তাড়াকারীরা তাদের ট্যাগ করতে পারে।")</f>
        <v>একবার একজন খেলোয়াড় চাট থেকে বেরিয়ে এলে, তারা দুর্বল হয়ে পড়ে এবং তাড়াকারীরা তাদের ট্যাগ করতে পারে।</v>
      </c>
    </row>
    <row r="20">
      <c r="A20" s="3">
        <v>19.0</v>
      </c>
      <c r="B20" s="3" t="s">
        <v>1036</v>
      </c>
      <c r="C20" s="3" t="s">
        <v>1037</v>
      </c>
      <c r="D20" s="3" t="s">
        <v>1038</v>
      </c>
      <c r="E20" s="3" t="s">
        <v>1039</v>
      </c>
      <c r="I20" s="4" t="str">
        <f>IFERROR(__xludf.DUMMYFUNCTION("GOOGLETRANSLATE(A20, ""en"", ""bn"")"),"১৯")</f>
        <v>১৯</v>
      </c>
      <c r="J20" s="4" t="str">
        <f>IFERROR(__xludf.DUMMYFUNCTION("GOOGLETRANSLATE(B20, ""en"", ""bn"")"),"যদি উভয় দল একই সাথে চুটে পৌঁছায় তাহলে কী হবে?")</f>
        <v>যদি উভয় দল একই সাথে চুটে পৌঁছায় তাহলে কী হবে?</v>
      </c>
      <c r="K20" s="4" t="str">
        <f>IFERROR(__xludf.DUMMYFUNCTION("GOOGLETRANSLATE(C20, ""en"", ""bn"")"),"ক) উভয়ই একটি করে পয়েন্ট পায়, খ) রাউন্ডটি আবার খেলা হয়, গ) কোন পয়েন্ট দেওয়া হয় না, ঘ) টাই ঘোষণা করা হয়")</f>
        <v>ক) উভয়ই একটি করে পয়েন্ট পায়, খ) রাউন্ডটি আবার খেলা হয়, গ) কোন পয়েন্ট দেওয়া হয় না, ঘ) টাই ঘোষণা করা হয়</v>
      </c>
      <c r="L20" s="4" t="str">
        <f>IFERROR(__xludf.DUMMYFUNCTION("GOOGLETRANSLATE(D20, ""en"", ""bn"")"),"খ) রাউন্ডটি পুনরায় খেলা হয়")</f>
        <v>খ) রাউন্ডটি পুনরায় খেলা হয়</v>
      </c>
      <c r="M20" s="4" t="str">
        <f>IFERROR(__xludf.DUMMYFUNCTION("GOOGLETRANSLATE(E20, ""en"", ""bn"")"),"যদি উভয় দল একই সাথে চুটে পৌঁছায়, তাহলে ফলাফল নির্ধারণের জন্য সাধারণত রাউন্ডটি পুনরায় খেলানো হয়।")</f>
        <v>যদি উভয় দল একই সাথে চুটে পৌঁছায়, তাহলে ফলাফল নির্ধারণের জন্য সাধারণত রাউন্ডটি পুনরায় খেলানো হয়।</v>
      </c>
    </row>
    <row r="21">
      <c r="A21" s="3">
        <v>20.0</v>
      </c>
      <c r="B21" s="3" t="s">
        <v>1040</v>
      </c>
      <c r="C21" s="3" t="s">
        <v>1041</v>
      </c>
      <c r="D21" s="3" t="s">
        <v>1042</v>
      </c>
      <c r="E21" s="3" t="s">
        <v>1043</v>
      </c>
      <c r="I21" s="4" t="str">
        <f>IFERROR(__xludf.DUMMYFUNCTION("GOOGLETRANSLATE(A21, ""en"", ""bn"")"),"২০")</f>
        <v>২০</v>
      </c>
      <c r="J21" s="4" t="str">
        <f>IFERROR(__xludf.DUMMYFUNCTION("GOOGLETRANSLATE(B21, ""en"", ""bn"")"),"গোল্লা চুট-এ, রেফারির ভূমিকা কী?")</f>
        <v>গোল্লা চুট-এ, রেফারির ভূমিকা কী?</v>
      </c>
      <c r="K21" s="4" t="str">
        <f>IFERROR(__xludf.DUMMYFUNCTION("GOOGLETRANSLATE(C21, ""en"", ""bn"")"),"ক) খেলোয়াড়দের ট্যাগ করা, খ) পয়েন্ট অর্জন করা, গ) নিয়ম প্রয়োগ করা, ঘ) দলগুলিকে কোচ করা।")</f>
        <v>ক) খেলোয়াড়দের ট্যাগ করা, খ) পয়েন্ট অর্জন করা, গ) নিয়ম প্রয়োগ করা, ঘ) দলগুলিকে কোচ করা।</v>
      </c>
      <c r="L21" s="4" t="str">
        <f>IFERROR(__xludf.DUMMYFUNCTION("GOOGLETRANSLATE(D21, ""en"", ""bn"")"),"গ) নিয়ম প্রয়োগ করা")</f>
        <v>গ) নিয়ম প্রয়োগ করা</v>
      </c>
      <c r="M21" s="4" t="str">
        <f>IFERROR(__xludf.DUMMYFUNCTION("GOOGLETRANSLATE(E21, ""en"", ""bn"")"),"রেফারি নিশ্চিত করেন যে গোল্লা চুটের নিয়মগুলি সমস্ত খেলোয়াড় মেনে চলে।")</f>
        <v>রেফারি নিশ্চিত করেন যে গোল্লা চুটের নিয়মগুলি সমস্ত খেলোয়াড় মেনে চলে।</v>
      </c>
    </row>
    <row r="22">
      <c r="A22" s="3">
        <v>21.0</v>
      </c>
      <c r="B22" s="3" t="s">
        <v>1044</v>
      </c>
      <c r="C22" s="3" t="s">
        <v>1045</v>
      </c>
      <c r="D22" s="3" t="s">
        <v>1046</v>
      </c>
      <c r="E22" s="3" t="s">
        <v>1047</v>
      </c>
      <c r="I22" s="4" t="str">
        <f>IFERROR(__xludf.DUMMYFUNCTION("GOOGLETRANSLATE(A22, ""en"", ""bn"")"),"২১")</f>
        <v>২১</v>
      </c>
      <c r="J22" s="4" t="str">
        <f>IFERROR(__xludf.DUMMYFUNCTION("GOOGLETRANSLATE(B22, ""en"", ""bn"")"),"গোল্লা চুট-এ, কোন দলের ভূমিকায় প্রতিপক্ষকে সক্রিয়ভাবে তাড়া করা জড়িত?")</f>
        <v>গোল্লা চুট-এ, কোন দলের ভূমিকায় প্রতিপক্ষকে সক্রিয়ভাবে তাড়া করা জড়িত?</v>
      </c>
      <c r="K22" s="4" t="str">
        <f>IFERROR(__xludf.DUMMYFUNCTION("GOOGLETRANSLATE(C22, ""en"", ""bn"")"),"ক) ডিফেন্ডার, খ) চেজার, গ) রানার, ঘ) লিডার")</f>
        <v>ক) ডিফেন্ডার, খ) চেজার, গ) রানার, ঘ) লিডার</v>
      </c>
      <c r="L22" s="4" t="str">
        <f>IFERROR(__xludf.DUMMYFUNCTION("GOOGLETRANSLATE(D22, ""en"", ""bn"")"),"খ) চেজার")</f>
        <v>খ) চেজার</v>
      </c>
      <c r="M22" s="4" t="str">
        <f>IFERROR(__xludf.DUMMYFUNCTION("GOOGLETRANSLATE(E22, ""en"", ""bn"")"),"চেজারের ভূমিকা হল প্রতিপক্ষ দলের খেলোয়াড়দের ট্যাগ করা বা ধরে ফেলা।")</f>
        <v>চেজারের ভূমিকা হল প্রতিপক্ষ দলের খেলোয়াড়দের ট্যাগ করা বা ধরে ফেলা।</v>
      </c>
    </row>
    <row r="23">
      <c r="A23" s="3">
        <v>22.0</v>
      </c>
      <c r="B23" s="3" t="s">
        <v>1048</v>
      </c>
      <c r="C23" s="3" t="s">
        <v>1049</v>
      </c>
      <c r="D23" s="3" t="s">
        <v>1050</v>
      </c>
      <c r="E23" s="3" t="s">
        <v>1051</v>
      </c>
      <c r="I23" s="4" t="str">
        <f>IFERROR(__xludf.DUMMYFUNCTION("GOOGLETRANSLATE(A23, ""en"", ""bn"")"),"২২")</f>
        <v>২২</v>
      </c>
      <c r="J23" s="4" t="str">
        <f>IFERROR(__xludf.DUMMYFUNCTION("GOOGLETRANSLATE(B23, ""en"", ""bn"")"),"গোল্লা চুটে একজন দৌড়বিদের প্রাথমিক লক্ষ্য কী?")</f>
        <v>গোল্লা চুটে একজন দৌড়বিদের প্রাথমিক লক্ষ্য কী?</v>
      </c>
      <c r="K23" s="4" t="str">
        <f>IFERROR(__xludf.DUMMYFUNCTION("GOOGLETRANSLATE(C23, ""en"", ""bn"")"),"ক) ধাওয়াকারীদের ট্যাগ করুন, খ) ছুট পর্যন্ত পৌঁছান, গ) পতাকাটি ধরে রাখুন, ঘ) ছুটটি পাহারা দিন")</f>
        <v>ক) ধাওয়াকারীদের ট্যাগ করুন, খ) ছুট পর্যন্ত পৌঁছান, গ) পতাকাটি ধরে রাখুন, ঘ) ছুটটি পাহারা দিন</v>
      </c>
      <c r="L23" s="4" t="str">
        <f>IFERROR(__xludf.DUMMYFUNCTION("GOOGLETRANSLATE(D23, ""en"", ""bn"")"),"খ) চুট পর্যন্ত পৌঁছান")</f>
        <v>খ) চুট পর্যন্ত পৌঁছান</v>
      </c>
      <c r="M23" s="4" t="str">
        <f>IFERROR(__xludf.DUMMYFUNCTION("GOOGLETRANSLATE(E23, ""en"", ""bn"")"),"দৌড়বিদরা ট্যাগ ছাড়াই নিরাপদে চুট এলাকায় পৌঁছানোর লক্ষ্য রাখেন।")</f>
        <v>দৌড়বিদরা ট্যাগ ছাড়াই নিরাপদে চুট এলাকায় পৌঁছানোর লক্ষ্য রাখেন।</v>
      </c>
    </row>
    <row r="24">
      <c r="A24" s="3">
        <v>23.0</v>
      </c>
      <c r="B24" s="3" t="s">
        <v>1052</v>
      </c>
      <c r="C24" s="3" t="s">
        <v>1053</v>
      </c>
      <c r="D24" s="3" t="s">
        <v>1054</v>
      </c>
      <c r="E24" s="3" t="s">
        <v>1055</v>
      </c>
      <c r="I24" s="4" t="str">
        <f>IFERROR(__xludf.DUMMYFUNCTION("GOOGLETRANSLATE(A24, ""en"", ""bn"")"),"২৩")</f>
        <v>২৩</v>
      </c>
      <c r="J24" s="4" t="str">
        <f>IFERROR(__xludf.DUMMYFUNCTION("GOOGLETRANSLATE(B24, ""en"", ""bn"")"),"গোল্লা চুতে ছুট এলাকার বাইরে ধরা পড়লে কোন খেলোয়াড়ের শাস্তি কত?")</f>
        <v>গোল্লা চুতে ছুট এলাকার বাইরে ধরা পড়লে কোন খেলোয়াড়ের শাস্তি কত?</v>
      </c>
      <c r="K24" s="4" t="str">
        <f>IFERROR(__xludf.DUMMYFUNCTION("GOOGLETRANSLATE(C24, ""en"", ""bn"")"),"ক) অযোগ্যতা, খ) সময় জরিমানা, গ) রাউন্ডের জন্য বাদ দেওয়া, ঘ) দল অদলবদল")</f>
        <v>ক) অযোগ্যতা, খ) সময় জরিমানা, গ) রাউন্ডের জন্য বাদ দেওয়া, ঘ) দল অদলবদল</v>
      </c>
      <c r="L24" s="4" t="str">
        <f>IFERROR(__xludf.DUMMYFUNCTION("GOOGLETRANSLATE(D24, ""en"", ""bn"")"),"গ) রাউন্ডের জন্য সরানো হয়েছে")</f>
        <v>গ) রাউন্ডের জন্য সরানো হয়েছে</v>
      </c>
      <c r="M24" s="4" t="str">
        <f>IFERROR(__xludf.DUMMYFUNCTION("GOOGLETRANSLATE(E24, ""en"", ""bn"")"),"চাটের বাইরে ট্যাগ করা খেলোয়াড়দের সেই রাউন্ডের জন্য খেলা থেকে বাদ দেওয়া হবে।")</f>
        <v>চাটের বাইরে ট্যাগ করা খেলোয়াড়দের সেই রাউন্ডের জন্য খেলা থেকে বাদ দেওয়া হবে।</v>
      </c>
    </row>
    <row r="25">
      <c r="A25" s="3">
        <v>24.0</v>
      </c>
      <c r="B25" s="3" t="s">
        <v>1056</v>
      </c>
      <c r="C25" s="3" t="s">
        <v>1057</v>
      </c>
      <c r="D25" s="3" t="s">
        <v>1058</v>
      </c>
      <c r="E25" s="3" t="s">
        <v>1059</v>
      </c>
      <c r="I25" s="4" t="str">
        <f>IFERROR(__xludf.DUMMYFUNCTION("GOOGLETRANSLATE(A25, ""en"", ""bn"")"),"২৪")</f>
        <v>২৪</v>
      </c>
      <c r="J25" s="4" t="str">
        <f>IFERROR(__xludf.DUMMYFUNCTION("GOOGLETRANSLATE(B25, ""en"", ""bn"")"),"গোল্লা চুতে একজন খেলোয়াড় কীভাবে আনুষ্ঠানিকভাবে চুট এলাকায় প্রবেশ করে?")</f>
        <v>গোল্লা চুতে একজন খেলোয়াড় কীভাবে আনুষ্ঠানিকভাবে চুট এলাকায় প্রবেশ করে?</v>
      </c>
      <c r="K25" s="4" t="str">
        <f>IFERROR(__xludf.DUMMYFUNCTION("GOOGLETRANSLATE(C25, ""en"", ""bn"")"),"ক) একজন চেজারকে ট্যাগ করে, খ) ট্যাগ না করেই পৌঁছানোর মাধ্যমে, গ) হামাগুড়ি দিয়ে, ঘ) সংকেত দিয়ে")</f>
        <v>ক) একজন চেজারকে ট্যাগ করে, খ) ট্যাগ না করেই পৌঁছানোর মাধ্যমে, গ) হামাগুড়ি দিয়ে, ঘ) সংকেত দিয়ে</v>
      </c>
      <c r="L25" s="4" t="str">
        <f>IFERROR(__xludf.DUMMYFUNCTION("GOOGLETRANSLATE(D25, ""en"", ""bn"")"),"খ) ট্যাগ না করেই পৌঁছানোর মাধ্যমে")</f>
        <v>খ) ট্যাগ না করেই পৌঁছানোর মাধ্যমে</v>
      </c>
      <c r="M25" s="4" t="str">
        <f>IFERROR(__xludf.DUMMYFUNCTION("GOOGLETRANSLATE(E25, ""en"", ""bn"")"),"নিরাপদে প্রবেশের জন্য খেলোয়াড়দের ট্যাগ ছাড়াই চটে পৌঁছাতে হবে।")</f>
        <v>নিরাপদে প্রবেশের জন্য খেলোয়াড়দের ট্যাগ ছাড়াই চটে পৌঁছাতে হবে।</v>
      </c>
    </row>
    <row r="26">
      <c r="A26" s="3">
        <v>25.0</v>
      </c>
      <c r="B26" s="3" t="s">
        <v>1060</v>
      </c>
      <c r="C26" s="3" t="s">
        <v>1061</v>
      </c>
      <c r="D26" s="3" t="s">
        <v>1062</v>
      </c>
      <c r="E26" s="3" t="s">
        <v>1063</v>
      </c>
      <c r="I26" s="4" t="str">
        <f>IFERROR(__xludf.DUMMYFUNCTION("GOOGLETRANSLATE(A26, ""en"", ""bn"")"),"২৫")</f>
        <v>২৫</v>
      </c>
      <c r="J26" s="4" t="str">
        <f>IFERROR(__xludf.DUMMYFUNCTION("GOOGLETRANSLATE(B26, ""en"", ""bn"")"),"গোল্লা চুটে, যদি একজন চেজার রাউন্ডে কোনও প্রতিপক্ষকে ট্যাগ করতে ব্যর্থ হয়, তাহলে কী হবে?")</f>
        <v>গোল্লা চুটে, যদি একজন চেজার রাউন্ডে কোনও প্রতিপক্ষকে ট্যাগ করতে ব্যর্থ হয়, তাহলে কী হবে?</v>
      </c>
      <c r="K26" s="4" t="str">
        <f>IFERROR(__xludf.DUMMYFUNCTION("GOOGLETRANSLATE(C26, ""en"", ""bn"")"),"ক) প্রতিপক্ষ দ্বিগুণ পয়েন্ট স্কোর করে, খ) রাউন্ডটি বাতিল হয়, গ) প্রতিপক্ষরা বোনাস পায়, ঘ) চেজারটি প্রতিস্থাপন করা হয়")</f>
        <v>ক) প্রতিপক্ষ দ্বিগুণ পয়েন্ট স্কোর করে, খ) রাউন্ডটি বাতিল হয়, গ) প্রতিপক্ষরা বোনাস পায়, ঘ) চেজারটি প্রতিস্থাপন করা হয়</v>
      </c>
      <c r="L26" s="4" t="str">
        <f>IFERROR(__xludf.DUMMYFUNCTION("GOOGLETRANSLATE(D26, ""en"", ""bn"")"),"ক) প্রতিপক্ষ দ্বিগুণ পয়েন্ট স্কোর করে")</f>
        <v>ক) প্রতিপক্ষ দ্বিগুণ পয়েন্ট স্কোর করে</v>
      </c>
      <c r="M26" s="4" t="str">
        <f>IFERROR(__xludf.DUMMYFUNCTION("GOOGLETRANSLATE(E26, ""en"", ""bn"")"),"যদি চেজার কোনও প্রতিপক্ষকে ট্যাগ করতে ব্যর্থ হয়, তাহলে প্রতিপক্ষ দলকে অতিরিক্ত পয়েন্ট দেওয়া হতে পারে।")</f>
        <v>যদি চেজার কোনও প্রতিপক্ষকে ট্যাগ করতে ব্যর্থ হয়, তাহলে প্রতিপক্ষ দলকে অতিরিক্ত পয়েন্ট দেওয়া হতে পারে।</v>
      </c>
    </row>
    <row r="27">
      <c r="A27" s="3">
        <v>26.0</v>
      </c>
      <c r="B27" s="3" t="s">
        <v>1064</v>
      </c>
      <c r="C27" s="3" t="s">
        <v>1065</v>
      </c>
      <c r="D27" s="3" t="s">
        <v>1066</v>
      </c>
      <c r="E27" s="3" t="s">
        <v>1067</v>
      </c>
      <c r="I27" s="4" t="str">
        <f>IFERROR(__xludf.DUMMYFUNCTION("GOOGLETRANSLATE(A27, ""en"", ""bn"")"),"২৬")</f>
        <v>২৬</v>
      </c>
      <c r="J27" s="4" t="str">
        <f>IFERROR(__xludf.DUMMYFUNCTION("GOOGLETRANSLATE(B27, ""en"", ""bn"")"),"একজন খেলোয়াড় সর্বোচ্চ কতক্ষণ চুট এরিয়ায় থাকতে পারবেন?")</f>
        <v>একজন খেলোয়াড় সর্বোচ্চ কতক্ষণ চুট এরিয়ায় থাকতে পারবেন?</v>
      </c>
      <c r="K27" s="4" t="str">
        <f>IFERROR(__xludf.DUMMYFUNCTION("GOOGLETRANSLATE(C27, ""en"", ""bn"")"),"ক) ৫ সেকেন্ড, খ) ১০ সেকেন্ড, গ) ১৫ সেকেন্ড, ঘ) কোন সময়সীমা নেই")</f>
        <v>ক) ৫ সেকেন্ড, খ) ১০ সেকেন্ড, গ) ১৫ সেকেন্ড, ঘ) কোন সময়সীমা নেই</v>
      </c>
      <c r="L27" s="4" t="str">
        <f>IFERROR(__xludf.DUMMYFUNCTION("GOOGLETRANSLATE(D27, ""en"", ""bn"")"),"ঘ) কোন সময়সীমা নেই")</f>
        <v>ঘ) কোন সময়সীমা নেই</v>
      </c>
      <c r="M27" s="4" t="str">
        <f>IFERROR(__xludf.DUMMYFUNCTION("GOOGLETRANSLATE(E27, ""en"", ""bn"")"),"খেলোয়াড়দের চুট এলাকায় থাকার জন্য কোনও সময়সীমা নেই।")</f>
        <v>খেলোয়াড়দের চুট এলাকায় থাকার জন্য কোনও সময়সীমা নেই।</v>
      </c>
    </row>
    <row r="28">
      <c r="A28" s="3">
        <v>27.0</v>
      </c>
      <c r="B28" s="3" t="s">
        <v>1068</v>
      </c>
      <c r="C28" s="3" t="s">
        <v>1069</v>
      </c>
      <c r="D28" s="3" t="s">
        <v>1070</v>
      </c>
      <c r="E28" s="3" t="s">
        <v>1071</v>
      </c>
      <c r="I28" s="4" t="str">
        <f>IFERROR(__xludf.DUMMYFUNCTION("GOOGLETRANSLATE(A28, ""en"", ""bn"")"),"২৭")</f>
        <v>২৭</v>
      </c>
      <c r="J28" s="4" t="str">
        <f>IFERROR(__xludf.DUMMYFUNCTION("GOOGLETRANSLATE(B28, ""en"", ""bn"")"),"গোল্লা চুটের নতুন রাউন্ডে কে তাড়া শুরু করতে পারে?")</f>
        <v>গোল্লা চুটের নতুন রাউন্ডে কে তাড়া শুরু করতে পারে?</v>
      </c>
      <c r="K28" s="4" t="str">
        <f>IFERROR(__xludf.DUMMYFUNCTION("GOOGLETRANSLATE(C28, ""en"", ""bn"")"),"ক) যেকোনো খেলোয়াড়, খ) শুধুমাত্র অধিনায়ক, গ) শেষ তাড়াকারী, ঘ) একজন মনোনীত তাড়াকারী")</f>
        <v>ক) যেকোনো খেলোয়াড়, খ) শুধুমাত্র অধিনায়ক, গ) শেষ তাড়াকারী, ঘ) একজন মনোনীত তাড়াকারী</v>
      </c>
      <c r="L28" s="4" t="str">
        <f>IFERROR(__xludf.DUMMYFUNCTION("GOOGLETRANSLATE(D28, ""en"", ""bn"")"),"ঘ) একজন মনোনীত শিকারী")</f>
        <v>ঘ) একজন মনোনীত শিকারী</v>
      </c>
      <c r="M28" s="4" t="str">
        <f>IFERROR(__xludf.DUMMYFUNCTION("GOOGLETRANSLATE(E28, ""en"", ""bn"")"),"দলটি প্রতিটি রাউন্ড শুরু করার জন্য একজন মনোনীত চেজার বেছে নেয়।")</f>
        <v>দলটি প্রতিটি রাউন্ড শুরু করার জন্য একজন মনোনীত চেজার বেছে নেয়।</v>
      </c>
    </row>
    <row r="29">
      <c r="A29" s="3">
        <v>28.0</v>
      </c>
      <c r="B29" s="3" t="s">
        <v>1072</v>
      </c>
      <c r="C29" s="3" t="s">
        <v>1073</v>
      </c>
      <c r="D29" s="3" t="s">
        <v>1018</v>
      </c>
      <c r="E29" s="3" t="s">
        <v>1074</v>
      </c>
      <c r="I29" s="4" t="str">
        <f>IFERROR(__xludf.DUMMYFUNCTION("GOOGLETRANSLATE(A29, ""en"", ""bn"")"),"২৮")</f>
        <v>২৮</v>
      </c>
      <c r="J29" s="4" t="str">
        <f>IFERROR(__xludf.DUMMYFUNCTION("GOOGLETRANSLATE(B29, ""en"", ""bn"")"),"গোল্লা চুটে যদি কোনও রানার ভুলবশত মাঠের সীমানা ছাড়িয়ে যায়, তাহলে কী হবে?")</f>
        <v>গোল্লা চুটে যদি কোনও রানার ভুলবশত মাঠের সীমানা ছাড়িয়ে যায়, তাহলে কী হবে?</v>
      </c>
      <c r="K29" s="4" t="str">
        <f>IFERROR(__xludf.DUMMYFUNCTION("GOOGLETRANSLATE(C29, ""en"", ""bn"")"),"ক) তাদের ট্যাগ করা হয়েছে, খ) তারা রাউন্ডের বাইরে, গ) কিছুই ঘটেনি, ঘ) তারা দল পরিবর্তন করে")</f>
        <v>ক) তাদের ট্যাগ করা হয়েছে, খ) তারা রাউন্ডের বাইরে, গ) কিছুই ঘটেনি, ঘ) তারা দল পরিবর্তন করে</v>
      </c>
      <c r="L29" s="4" t="str">
        <f>IFERROR(__xludf.DUMMYFUNCTION("GOOGLETRANSLATE(D29, ""en"", ""bn"")"),"খ) তারা রাউন্ডের জন্য বাইরে।")</f>
        <v>খ) তারা রাউন্ডের জন্য বাইরে।</v>
      </c>
      <c r="M29" s="4" t="str">
        <f>IFERROR(__xludf.DUMMYFUNCTION("GOOGLETRANSLATE(E29, ""en"", ""bn"")"),"মাঠের সীমানা ছেড়ে দিলে খেলোয়াড় সেই রাউন্ডের জন্য বাদ পড়ে যাবে।")</f>
        <v>মাঠের সীমানা ছেড়ে দিলে খেলোয়াড় সেই রাউন্ডের জন্য বাদ পড়ে যাবে।</v>
      </c>
    </row>
    <row r="30">
      <c r="A30" s="3">
        <v>29.0</v>
      </c>
      <c r="B30" s="3" t="s">
        <v>1075</v>
      </c>
      <c r="C30" s="3" t="s">
        <v>1076</v>
      </c>
      <c r="D30" s="3" t="s">
        <v>1077</v>
      </c>
      <c r="E30" s="3" t="s">
        <v>1078</v>
      </c>
      <c r="I30" s="4" t="str">
        <f>IFERROR(__xludf.DUMMYFUNCTION("GOOGLETRANSLATE(A30, ""en"", ""bn"")"),"২৯")</f>
        <v>২৯</v>
      </c>
      <c r="J30" s="4" t="str">
        <f>IFERROR(__xludf.DUMMYFUNCTION("GOOGLETRANSLATE(B30, ""en"", ""bn"")"),"গোল্লা চুটে, ট্যাগ হওয়ার পর কি কোনও খেলোয়াড় খেলায় আবার প্রবেশ করতে পারে?")</f>
        <v>গোল্লা চুটে, ট্যাগ হওয়ার পর কি কোনও খেলোয়াড় খেলায় আবার প্রবেশ করতে পারে?</v>
      </c>
      <c r="K30" s="4" t="str">
        <f>IFERROR(__xludf.DUMMYFUNCTION("GOOGLETRANSLATE(C30, ""en"", ""bn"")"),"ক) হ্যাঁ, বিরতির পর, খ) না, গ) হ্যাঁ, যদি সতীর্থ অনুমতি দেন, ঘ) হ্যাঁ, চুট স্পর্শ করে")</f>
        <v>ক) হ্যাঁ, বিরতির পর, খ) না, গ) হ্যাঁ, যদি সতীর্থ অনুমতি দেন, ঘ) হ্যাঁ, চুট স্পর্শ করে</v>
      </c>
      <c r="L30" s="4" t="str">
        <f>IFERROR(__xludf.DUMMYFUNCTION("GOOGLETRANSLATE(D30, ""en"", ""bn"")"),"খ) না")</f>
        <v>খ) না</v>
      </c>
      <c r="M30" s="4" t="str">
        <f>IFERROR(__xludf.DUMMYFUNCTION("GOOGLETRANSLATE(E30, ""en"", ""bn"")"),"একবার ট্যাগ করা হলে, রাউন্ড শেষ না হওয়া পর্যন্ত খেলোয়াড়রা খেলায় পুনরায় প্রবেশ করতে পারবে না।")</f>
        <v>একবার ট্যাগ করা হলে, রাউন্ড শেষ না হওয়া পর্যন্ত খেলোয়াড়রা খেলায় পুনরায় প্রবেশ করতে পারবে না।</v>
      </c>
    </row>
    <row r="31">
      <c r="A31" s="3">
        <v>30.0</v>
      </c>
      <c r="B31" s="3" t="s">
        <v>1079</v>
      </c>
      <c r="C31" s="3" t="s">
        <v>1080</v>
      </c>
      <c r="D31" s="3" t="s">
        <v>1081</v>
      </c>
      <c r="E31" s="3" t="s">
        <v>1082</v>
      </c>
      <c r="I31" s="4" t="str">
        <f>IFERROR(__xludf.DUMMYFUNCTION("GOOGLETRANSLATE(A31, ""en"", ""bn"")"),"৩০")</f>
        <v>৩০</v>
      </c>
      <c r="J31" s="4" t="str">
        <f>IFERROR(__xludf.DUMMYFUNCTION("GOOGLETRANSLATE(B31, ""en"", ""bn"")"),"একটি দল কীভাবে তাদের প্রথম তাড়াকারী নির্ধারণ করে?")</f>
        <v>একটি দল কীভাবে তাদের প্রথম তাড়াকারী নির্ধারণ করে?</v>
      </c>
      <c r="K31" s="4" t="str">
        <f>IFERROR(__xludf.DUMMYFUNCTION("GOOGLETRANSLATE(C31, ""en"", ""bn"")"),"ক) ভোটের মাধ্যমে, খ) এলোমেলোভাবে, গ) মুদ্রা টস, ঘ) সর্বকনিষ্ঠ খেলোয়াড়")</f>
        <v>ক) ভোটের মাধ্যমে, খ) এলোমেলোভাবে, গ) মুদ্রা টস, ঘ) সর্বকনিষ্ঠ খেলোয়াড়</v>
      </c>
      <c r="L31" s="4" t="str">
        <f>IFERROR(__xludf.DUMMYFUNCTION("GOOGLETRANSLATE(D31, ""en"", ""bn"")"),"গ) মুদ্রা টস")</f>
        <v>গ) মুদ্রা টস</v>
      </c>
      <c r="M31" s="4" t="str">
        <f>IFERROR(__xludf.DUMMYFUNCTION("GOOGLETRANSLATE(E31, ""en"", ""bn"")"),"কয়েন টস প্রায়শই সিদ্ধান্ত নেয় কোন দল চেজার হিসেবে শুরু করে।")</f>
        <v>কয়েন টস প্রায়শই সিদ্ধান্ত নেয় কোন দল চেজার হিসেবে শুরু করে।</v>
      </c>
    </row>
    <row r="32">
      <c r="A32" s="3">
        <v>31.0</v>
      </c>
      <c r="B32" s="3" t="s">
        <v>1083</v>
      </c>
      <c r="C32" s="3" t="s">
        <v>1084</v>
      </c>
      <c r="D32" s="3" t="s">
        <v>1085</v>
      </c>
      <c r="E32" s="3" t="s">
        <v>1086</v>
      </c>
      <c r="I32" s="4" t="str">
        <f>IFERROR(__xludf.DUMMYFUNCTION("GOOGLETRANSLATE(A32, ""en"", ""bn"")"),"৩১")</f>
        <v>৩১</v>
      </c>
      <c r="J32" s="4" t="str">
        <f>IFERROR(__xludf.DUMMYFUNCTION("GOOGLETRANSLATE(B32, ""en"", ""bn"")"),"যদি কোন খেলোয়াড় চুট করার আগে প্রতিপক্ষকে ট্যাগ করে, তাহলে এর অর্থ কী?")</f>
        <v>যদি কোন খেলোয়াড় চুট করার আগে প্রতিপক্ষকে ট্যাগ করে, তাহলে এর অর্থ কী?</v>
      </c>
      <c r="K32" s="4" t="str">
        <f>IFERROR(__xludf.DUMMYFUNCTION("GOOGLETRANSLATE(C32, ""en"", ""bn"")"),"ক) প্রতিপক্ষ নিরাপদ, খ) প্রতিপক্ষ বাইরে, গ) প্রতিপক্ষ পক্ষ পরিবর্তন করে, ঘ) প্রতিপক্ষ একটি পয়েন্ট পায়")</f>
        <v>ক) প্রতিপক্ষ নিরাপদ, খ) প্রতিপক্ষ বাইরে, গ) প্রতিপক্ষ পক্ষ পরিবর্তন করে, ঘ) প্রতিপক্ষ একটি পয়েন্ট পায়</v>
      </c>
      <c r="L32" s="4" t="str">
        <f>IFERROR(__xludf.DUMMYFUNCTION("GOOGLETRANSLATE(D32, ""en"", ""bn"")"),"খ) প্রতিপক্ষ বাইরে")</f>
        <v>খ) প্রতিপক্ষ বাইরে</v>
      </c>
      <c r="M32" s="4" t="str">
        <f>IFERROR(__xludf.DUMMYFUNCTION("GOOGLETRANSLATE(E32, ""en"", ""bn"")"),"চুটে পৌঁছানোর আগে ট্যাগ করা খেলোয়াড়দের বাদ বলে মনে করা হয়।")</f>
        <v>চুটে পৌঁছানোর আগে ট্যাগ করা খেলোয়াড়দের বাদ বলে মনে করা হয়।</v>
      </c>
    </row>
    <row r="33">
      <c r="A33" s="3">
        <v>32.0</v>
      </c>
      <c r="B33" s="3" t="s">
        <v>1087</v>
      </c>
      <c r="C33" s="3" t="s">
        <v>1088</v>
      </c>
      <c r="D33" s="3" t="s">
        <v>1089</v>
      </c>
      <c r="E33" s="3" t="s">
        <v>1090</v>
      </c>
      <c r="I33" s="4" t="str">
        <f>IFERROR(__xludf.DUMMYFUNCTION("GOOGLETRANSLATE(A33, ""en"", ""bn"")"),"৩২")</f>
        <v>৩২</v>
      </c>
      <c r="J33" s="4" t="str">
        <f>IFERROR(__xludf.DUMMYFUNCTION("GOOGLETRANSLATE(B33, ""en"", ""bn"")"),"খেলা চলাকালীন কোন বিরোধ দেখা দিলে সঠিক পদক্ষেপ কী?")</f>
        <v>খেলা চলাকালীন কোন বিরোধ দেখা দিলে সঠিক পদক্ষেপ কী?</v>
      </c>
      <c r="K33" s="4" t="str">
        <f>IFERROR(__xludf.DUMMYFUNCTION("GOOGLETRANSLATE(C33, ""en"", ""bn"")"),"ক) দলগত আলোচনা, খ) রেফারির সাথে পরামর্শ, গ) রিপ্লে রাউন্ড, ঘ) খেলোয়াড়কে অযোগ্য ঘোষণা করা")</f>
        <v>ক) দলগত আলোচনা, খ) রেফারির সাথে পরামর্শ, গ) রিপ্লে রাউন্ড, ঘ) খেলোয়াড়কে অযোগ্য ঘোষণা করা</v>
      </c>
      <c r="L33" s="4" t="str">
        <f>IFERROR(__xludf.DUMMYFUNCTION("GOOGLETRANSLATE(D33, ""en"", ""bn"")"),"খ) রেফারির সাথে পরামর্শ করুন")</f>
        <v>খ) রেফারির সাথে পরামর্শ করুন</v>
      </c>
      <c r="M33" s="4" t="str">
        <f>IFERROR(__xludf.DUMMYFUNCTION("GOOGLETRANSLATE(E33, ""en"", ""bn"")"),"রেফারিরা নিয়ম প্রয়োগ করে বিরোধ নিষ্পত্তি করেন।")</f>
        <v>রেফারিরা নিয়ম প্রয়োগ করে বিরোধ নিষ্পত্তি করেন।</v>
      </c>
    </row>
    <row r="34">
      <c r="A34" s="3">
        <v>33.0</v>
      </c>
      <c r="B34" s="3" t="s">
        <v>1091</v>
      </c>
      <c r="C34" s="3" t="s">
        <v>1092</v>
      </c>
      <c r="D34" s="3" t="s">
        <v>1093</v>
      </c>
      <c r="E34" s="3" t="s">
        <v>1094</v>
      </c>
      <c r="I34" s="4" t="str">
        <f>IFERROR(__xludf.DUMMYFUNCTION("GOOGLETRANSLATE(A34, ""en"", ""bn"")"),"৩৩")</f>
        <v>৩৩</v>
      </c>
      <c r="J34" s="4" t="str">
        <f>IFERROR(__xludf.DUMMYFUNCTION("GOOGLETRANSLATE(B34, ""en"", ""bn"")"),"গোল্লা চুটে একজন শিকারীর জন্য কোন দক্ষতা সবচেয়ে মূল্যবান?")</f>
        <v>গোল্লা চুটে একজন শিকারীর জন্য কোন দক্ষতা সবচেয়ে মূল্যবান?</v>
      </c>
      <c r="K34" s="4" t="str">
        <f>IFERROR(__xludf.DUMMYFUNCTION("GOOGLETRANSLATE(C34, ""en"", ""bn"")"),"ক) শক্তি, খ) গতি, গ) ভারসাম্য, ঘ) লাফানো")</f>
        <v>ক) শক্তি, খ) গতি, গ) ভারসাম্য, ঘ) লাফানো</v>
      </c>
      <c r="L34" s="4" t="str">
        <f>IFERROR(__xludf.DUMMYFUNCTION("GOOGLETRANSLATE(D34, ""en"", ""bn"")"),"খ) গতি")</f>
        <v>খ) গতি</v>
      </c>
      <c r="M34" s="4" t="str">
        <f>IFERROR(__xludf.DUMMYFUNCTION("GOOGLETRANSLATE(E34, ""en"", ""bn"")"),"প্রতিপক্ষকে ধরার জন্য তাড়াকারীদের গতি অত্যন্ত গুরুত্বপূর্ণ।")</f>
        <v>প্রতিপক্ষকে ধরার জন্য তাড়াকারীদের গতি অত্যন্ত গুরুত্বপূর্ণ।</v>
      </c>
    </row>
    <row r="35">
      <c r="A35" s="3">
        <v>34.0</v>
      </c>
      <c r="B35" s="3" t="s">
        <v>1095</v>
      </c>
      <c r="C35" s="3" t="s">
        <v>1096</v>
      </c>
      <c r="D35" s="3" t="s">
        <v>1097</v>
      </c>
      <c r="E35" s="3" t="s">
        <v>1098</v>
      </c>
      <c r="I35" s="4" t="str">
        <f>IFERROR(__xludf.DUMMYFUNCTION("GOOGLETRANSLATE(A35, ""en"", ""bn"")"),"৩৪")</f>
        <v>৩৪</v>
      </c>
      <c r="J35" s="4" t="str">
        <f>IFERROR(__xludf.DUMMYFUNCTION("GOOGLETRANSLATE(B35, ""en"", ""bn"")"),"কোন কৌশলটি দৌড়বিদদের গোল্লা চুটে সফল হতে সাহায্য করে?")</f>
        <v>কোন কৌশলটি দৌড়বিদদের গোল্লা চুটে সফল হতে সাহায্য করে?</v>
      </c>
      <c r="K35" s="4" t="str">
        <f>IFERROR(__xludf.DUMMYFUNCTION("GOOGLETRANSLATE(C35, ""en"", ""bn"")"),"ক) লুকিয়ে থাকা, খ) দলের সমন্বয়, গ) জোরে ডাক, ঘ) স্থির দাঁড়িয়ে থাকা")</f>
        <v>ক) লুকিয়ে থাকা, খ) দলের সমন্বয়, গ) জোরে ডাক, ঘ) স্থির দাঁড়িয়ে থাকা</v>
      </c>
      <c r="L35" s="4" t="str">
        <f>IFERROR(__xludf.DUMMYFUNCTION("GOOGLETRANSLATE(D35, ""en"", ""bn"")"),"খ) দলের সমন্বয়")</f>
        <v>খ) দলের সমন্বয়</v>
      </c>
      <c r="M35" s="4" t="str">
        <f>IFERROR(__xludf.DUMMYFUNCTION("GOOGLETRANSLATE(E35, ""en"", ""bn"")"),"দৌড়বিদরা প্রায়শই ট্যাগ এড়াতে এবং নিরাপদে চুটে পৌঁছানোর জন্য সমন্বয় সাধন করে।")</f>
        <v>দৌড়বিদরা প্রায়শই ট্যাগ এড়াতে এবং নিরাপদে চুটে পৌঁছানোর জন্য সমন্বয় সাধন করে।</v>
      </c>
    </row>
    <row r="36">
      <c r="A36" s="3">
        <v>35.0</v>
      </c>
      <c r="B36" s="3" t="s">
        <v>1099</v>
      </c>
      <c r="C36" s="3" t="s">
        <v>202</v>
      </c>
      <c r="D36" s="3" t="s">
        <v>203</v>
      </c>
      <c r="E36" s="3" t="s">
        <v>1100</v>
      </c>
      <c r="I36" s="4" t="str">
        <f>IFERROR(__xludf.DUMMYFUNCTION("GOOGLETRANSLATE(A36, ""en"", ""bn"")"),"৩৫")</f>
        <v>৩৫</v>
      </c>
      <c r="J36" s="4" t="str">
        <f>IFERROR(__xludf.DUMMYFUNCTION("GOOGLETRANSLATE(B36, ""en"", ""bn"")"),"গোল্লা চুটে, একটি ম্যাচে সাধারণত কয়টি রাউন্ড খেলা হয়?")</f>
        <v>গোল্লা চুটে, একটি ম্যাচে সাধারণত কয়টি রাউন্ড খেলা হয়?</v>
      </c>
      <c r="K36" s="4" t="str">
        <f>IFERROR(__xludf.DUMMYFUNCTION("GOOGLETRANSLATE(C36, ""en"", ""bn"")"),"ক) ২, খ) ৩, গ) ৪, ঘ) ৫")</f>
        <v>ক) ২, খ) ৩, গ) ৪, ঘ) ৫</v>
      </c>
      <c r="L36" s="4" t="str">
        <f>IFERROR(__xludf.DUMMYFUNCTION("GOOGLETRANSLATE(D36, ""en"", ""bn"")"),"খ) ৩")</f>
        <v>খ) ৩</v>
      </c>
      <c r="M36" s="4" t="str">
        <f>IFERROR(__xludf.DUMMYFUNCTION("GOOGLETRANSLATE(E36, ""en"", ""bn"")"),"সাধারণত, গোল্লা চুট গেমগুলিতে বিজয়ী নির্ধারণের জন্য তিনটি রাউন্ড থাকে।")</f>
        <v>সাধারণত, গোল্লা চুট গেমগুলিতে বিজয়ী নির্ধারণের জন্য তিনটি রাউন্ড থাকে।</v>
      </c>
    </row>
    <row r="37">
      <c r="A37" s="3">
        <v>36.0</v>
      </c>
      <c r="B37" s="3" t="s">
        <v>1101</v>
      </c>
      <c r="C37" s="3" t="s">
        <v>1102</v>
      </c>
      <c r="D37" s="3" t="s">
        <v>1103</v>
      </c>
      <c r="E37" s="3" t="s">
        <v>1104</v>
      </c>
      <c r="I37" s="4" t="str">
        <f>IFERROR(__xludf.DUMMYFUNCTION("GOOGLETRANSLATE(A37, ""en"", ""bn"")"),"৩৬")</f>
        <v>৩৬</v>
      </c>
      <c r="J37" s="4" t="str">
        <f>IFERROR(__xludf.DUMMYFUNCTION("GOOGLETRANSLATE(B37, ""en"", ""bn"")"),"গোল্লা চুটে একটি সাধারণ জয়ের শর্ত কী?")</f>
        <v>গোল্লা চুটে একটি সাধারণ জয়ের শর্ত কী?</v>
      </c>
      <c r="K37" s="4" t="str">
        <f>IFERROR(__xludf.DUMMYFUNCTION("GOOGLETRANSLATE(C37, ""en"", ""bn"")"),"ক) সকল খেলোয়াড়কে ট্যাগ করা, খ) চুটে পৌঁছানো, গ) সর্বাধিক পয়েন্ট অর্জন করা, ঘ) সর্বশেষ খেলোয়াড়ের অবস্থান")</f>
        <v>ক) সকল খেলোয়াড়কে ট্যাগ করা, খ) চুটে পৌঁছানো, গ) সর্বাধিক পয়েন্ট অর্জন করা, ঘ) সর্বশেষ খেলোয়াড়ের অবস্থান</v>
      </c>
      <c r="L37" s="4" t="str">
        <f>IFERROR(__xludf.DUMMYFUNCTION("GOOGLETRANSLATE(D37, ""en"", ""bn"")"),"গ) সর্বাধিক পয়েন্ট অর্জনকারী")</f>
        <v>গ) সর্বাধিক পয়েন্ট অর্জনকারী</v>
      </c>
      <c r="M37" s="4" t="str">
        <f>IFERROR(__xludf.DUMMYFUNCTION("GOOGLETRANSLATE(E37, ""en"", ""bn"")"),"সফল চুট থেকে সর্বোচ্চ পয়েন্ট অর্জনকারী দল জয়লাভ করে।")</f>
        <v>সফল চুট থেকে সর্বোচ্চ পয়েন্ট অর্জনকারী দল জয়লাভ করে।</v>
      </c>
    </row>
    <row r="38">
      <c r="A38" s="3">
        <v>37.0</v>
      </c>
      <c r="B38" s="3" t="s">
        <v>1105</v>
      </c>
      <c r="C38" s="3" t="s">
        <v>1106</v>
      </c>
      <c r="D38" s="3" t="s">
        <v>1107</v>
      </c>
      <c r="E38" s="3" t="s">
        <v>1108</v>
      </c>
      <c r="I38" s="4" t="str">
        <f>IFERROR(__xludf.DUMMYFUNCTION("GOOGLETRANSLATE(A38, ""en"", ""bn"")"),"৩৭")</f>
        <v>৩৭</v>
      </c>
      <c r="J38" s="4" t="str">
        <f>IFERROR(__xludf.DUMMYFUNCTION("GOOGLETRANSLATE(B38, ""en"", ""bn"")"),"গোল্লা চুটে যদি কোনও শিকারি ক্লান্ত হয়ে পড়ে, তাহলে কে তার দায়িত্ব নেবে?")</f>
        <v>গোল্লা চুটে যদি কোনও শিকারি ক্লান্ত হয়ে পড়ে, তাহলে কে তার দায়িত্ব নেবে?</v>
      </c>
      <c r="K38" s="4" t="str">
        <f>IFERROR(__xludf.DUMMYFUNCTION("GOOGLETRANSLATE(C38, ""en"", ""bn"")"),"ক) দলের অন্য একজন খেলোয়াড়, খ) একজন বিকল্প খেলোয়াড়, গ) প্রতিপক্ষ দলের সদস্য, ঘ) কেউ নয়")</f>
        <v>ক) দলের অন্য একজন খেলোয়াড়, খ) একজন বিকল্প খেলোয়াড়, গ) প্রতিপক্ষ দলের সদস্য, ঘ) কেউ নয়</v>
      </c>
      <c r="L38" s="4" t="str">
        <f>IFERROR(__xludf.DUMMYFUNCTION("GOOGLETRANSLATE(D38, ""en"", ""bn"")"),"ক) দলের অন্য একজন খেলোয়াড়")</f>
        <v>ক) দলের অন্য একজন খেলোয়াড়</v>
      </c>
      <c r="M38" s="4" t="str">
        <f>IFERROR(__xludf.DUMMYFUNCTION("GOOGLETRANSLATE(E38, ""en"", ""bn"")"),"দলগুলো ক্লান্ত তাড়াকারীর পরিবর্তে অন্য খেলোয়াড়কে নিয়ে যেতে পারে।")</f>
        <v>দলগুলো ক্লান্ত তাড়াকারীর পরিবর্তে অন্য খেলোয়াড়কে নিয়ে যেতে পারে।</v>
      </c>
    </row>
    <row r="39">
      <c r="A39" s="3">
        <v>38.0</v>
      </c>
      <c r="B39" s="3" t="s">
        <v>1109</v>
      </c>
      <c r="C39" s="3" t="s">
        <v>1110</v>
      </c>
      <c r="D39" s="3" t="s">
        <v>1111</v>
      </c>
      <c r="E39" s="3" t="s">
        <v>1112</v>
      </c>
      <c r="I39" s="4" t="str">
        <f>IFERROR(__xludf.DUMMYFUNCTION("GOOGLETRANSLATE(A39, ""en"", ""bn"")"),"৩৮")</f>
        <v>৩৮</v>
      </c>
      <c r="J39" s="4" t="str">
        <f>IFERROR(__xludf.DUMMYFUNCTION("GOOGLETRANSLATE(B39, ""en"", ""bn"")"),"গোল্লা চুটে একজন 'নেতা' কী ভূমিকা পালন করে?")</f>
        <v>গোল্লা চুটে একজন 'নেতা' কী ভূমিকা পালন করে?</v>
      </c>
      <c r="K39" s="4" t="str">
        <f>IFERROR(__xludf.DUMMYFUNCTION("GOOGLETRANSLATE(C39, ""en"", ""bn"")"),"ক) কৌশলবিদ, খ) নিয়ম প্রয়োগকারী, গ) প্রাথমিক তাড়াকারী, ঘ) রেফারি")</f>
        <v>ক) কৌশলবিদ, খ) নিয়ম প্রয়োগকারী, গ) প্রাথমিক তাড়াকারী, ঘ) রেফারি</v>
      </c>
      <c r="L39" s="4" t="str">
        <f>IFERROR(__xludf.DUMMYFUNCTION("GOOGLETRANSLATE(D39, ""en"", ""bn"")"),"ক) কৌশলবিদ")</f>
        <v>ক) কৌশলবিদ</v>
      </c>
      <c r="M39" s="4" t="str">
        <f>IFERROR(__xludf.DUMMYFUNCTION("GOOGLETRANSLATE(E39, ""en"", ""bn"")"),"নেতা দলের কৌশল এবং খেলার পরিকল্পনা সমন্বয় করেন।")</f>
        <v>নেতা দলের কৌশল এবং খেলার পরিকল্পনা সমন্বয় করেন।</v>
      </c>
    </row>
    <row r="40">
      <c r="A40" s="3">
        <v>39.0</v>
      </c>
      <c r="B40" s="3" t="s">
        <v>1113</v>
      </c>
      <c r="C40" s="3" t="s">
        <v>1114</v>
      </c>
      <c r="D40" s="3" t="s">
        <v>1115</v>
      </c>
      <c r="E40" s="3" t="s">
        <v>1116</v>
      </c>
      <c r="I40" s="4" t="str">
        <f>IFERROR(__xludf.DUMMYFUNCTION("GOOGLETRANSLATE(A40, ""en"", ""bn"")"),"৩৯")</f>
        <v>৩৯</v>
      </c>
      <c r="J40" s="4" t="str">
        <f>IFERROR(__xludf.DUMMYFUNCTION("GOOGLETRANSLATE(B40, ""en"", ""bn"")"),"দৌড়বিদদের জন্য গোল্লা চুটে একটি অনন্য কৌশল কী?")</f>
        <v>দৌড়বিদদের জন্য গোল্লা চুটে একটি অনন্য কৌশল কী?</v>
      </c>
      <c r="K40" s="4" t="str">
        <f>IFERROR(__xludf.DUMMYFUNCTION("GOOGLETRANSLATE(C40, ""en"", ""bn"")"),"ক) সরলরেখায় দৌড়ানো, খ) আঁকাবাঁকা পথে চলা, গ) ছুটতে লুকিয়ে থাকা, ঘ) তাড়াতাড়ি তাড়ানো")</f>
        <v>ক) সরলরেখায় দৌড়ানো, খ) আঁকাবাঁকা পথে চলা, গ) ছুটতে লুকিয়ে থাকা, ঘ) তাড়াতাড়ি তাড়ানো</v>
      </c>
      <c r="L40" s="4" t="str">
        <f>IFERROR(__xludf.DUMMYFUNCTION("GOOGLETRANSLATE(D40, ""en"", ""bn"")"),"খ) জিগ-জ্যাগে চলাফেরা")</f>
        <v>খ) জিগ-জ্যাগে চলাফেরা</v>
      </c>
      <c r="M40" s="4" t="str">
        <f>IFERROR(__xludf.DUMMYFUNCTION("GOOGLETRANSLATE(E40, ""en"", ""bn"")"),"জিগ-জ্যাগ নড়াচড়া দৌড়বিদদের ধাওয়াকারীদের কার্যকরভাবে এড়াতে সাহায্য করে।")</f>
        <v>জিগ-জ্যাগ নড়াচড়া দৌড়বিদদের ধাওয়াকারীদের কার্যকরভাবে এড়াতে সাহায্য করে।</v>
      </c>
    </row>
    <row r="41">
      <c r="A41" s="3">
        <v>40.0</v>
      </c>
      <c r="B41" s="3" t="s">
        <v>1117</v>
      </c>
      <c r="C41" s="3" t="s">
        <v>1118</v>
      </c>
      <c r="D41" s="3" t="s">
        <v>1119</v>
      </c>
      <c r="E41" s="3" t="s">
        <v>1120</v>
      </c>
      <c r="I41" s="4" t="str">
        <f>IFERROR(__xludf.DUMMYFUNCTION("GOOGLETRANSLATE(A41, ""en"", ""bn"")"),"৪০")</f>
        <v>৪০</v>
      </c>
      <c r="J41" s="4" t="str">
        <f>IFERROR(__xludf.DUMMYFUNCTION("GOOGLETRANSLATE(B41, ""en"", ""bn"")"),"গোল্লা চুটে, একজন খেলোয়াড় কি এক রাউন্ডে একাধিক প্রতিপক্ষকে ট্যাগ করতে পারে?")</f>
        <v>গোল্লা চুটে, একজন খেলোয়াড় কি এক রাউন্ডে একাধিক প্রতিপক্ষকে ট্যাগ করতে পারে?</v>
      </c>
      <c r="K41" s="4" t="str">
        <f>IFERROR(__xludf.DUMMYFUNCTION("GOOGLETRANSLATE(C41, ""en"", ""bn"")"),"ক) হ্যাঁ, খ) না, গ) শুধুমাত্র শেষ রাউন্ডে, ঘ) রেফারি যদি অনুমতি দেন।")</f>
        <v>ক) হ্যাঁ, খ) না, গ) শুধুমাত্র শেষ রাউন্ডে, ঘ) রেফারি যদি অনুমতি দেন।</v>
      </c>
      <c r="L41" s="4" t="str">
        <f>IFERROR(__xludf.DUMMYFUNCTION("GOOGLETRANSLATE(D41, ""en"", ""bn"")"),"ক) হ্যাঁ")</f>
        <v>ক) হ্যাঁ</v>
      </c>
      <c r="M41" s="4" t="str">
        <f>IFERROR(__xludf.DUMMYFUNCTION("GOOGLETRANSLATE(E41, ""en"", ""bn"")"),"একজন তাড়াকারী একাধিক প্রতিপক্ষকে ধরতে পারলে তাকে ট্যাগ করতে পারে।")</f>
        <v>একজন তাড়াকারী একাধিক প্রতিপক্ষকে ধরতে পারলে তাকে ট্যাগ করতে পারে।</v>
      </c>
    </row>
    <row r="42">
      <c r="A42" s="3">
        <v>41.0</v>
      </c>
      <c r="B42" s="3" t="s">
        <v>1121</v>
      </c>
      <c r="C42" s="3" t="s">
        <v>1122</v>
      </c>
      <c r="D42" s="3" t="s">
        <v>1123</v>
      </c>
      <c r="E42" s="3" t="s">
        <v>1124</v>
      </c>
      <c r="I42" s="4" t="str">
        <f>IFERROR(__xludf.DUMMYFUNCTION("GOOGLETRANSLATE(A42, ""en"", ""bn"")"),"৪১")</f>
        <v>৪১</v>
      </c>
      <c r="J42" s="4" t="str">
        <f>IFERROR(__xludf.DUMMYFUNCTION("GOOGLETRANSLATE(B42, ""en"", ""bn"")"),"গোল্লা চুটে গোল করার ক্ষেত্রে রেফারির ভূমিকা কী?")</f>
        <v>গোল্লা চুটে গোল করার ক্ষেত্রে রেফারির ভূমিকা কী?</v>
      </c>
      <c r="K42" s="4" t="str">
        <f>IFERROR(__xludf.DUMMYFUNCTION("GOOGLETRANSLATE(C42, ""en"", ""bn"")"),"ক) পয়েন্ট যোগ করে, খ) পয়েন্ট যাচাই করে, গ) স্কোর সমন্বয় করে, ঘ) খেলোয়াড়দের কোচ করে")</f>
        <v>ক) পয়েন্ট যোগ করে, খ) পয়েন্ট যাচাই করে, গ) স্কোর সমন্বয় করে, ঘ) খেলোয়াড়দের কোচ করে</v>
      </c>
      <c r="L42" s="4" t="str">
        <f>IFERROR(__xludf.DUMMYFUNCTION("GOOGLETRANSLATE(D42, ""en"", ""bn"")"),"খ) পয়েন্ট যাচাই করে")</f>
        <v>খ) পয়েন্ট যাচাই করে</v>
      </c>
      <c r="M42" s="4" t="str">
        <f>IFERROR(__xludf.DUMMYFUNCTION("GOOGLETRANSLATE(E42, ""en"", ""bn"")"),"রেফারিরা খেলার সময় অর্জিত স্কোর যাচাই এবং নিশ্চিত করেন।")</f>
        <v>রেফারিরা খেলার সময় অর্জিত স্কোর যাচাই এবং নিশ্চিত করেন।</v>
      </c>
    </row>
    <row r="43">
      <c r="A43" s="3">
        <v>42.0</v>
      </c>
      <c r="B43" s="3" t="s">
        <v>1125</v>
      </c>
      <c r="C43" s="3" t="s">
        <v>1126</v>
      </c>
      <c r="D43" s="3" t="s">
        <v>1127</v>
      </c>
      <c r="E43" s="3" t="s">
        <v>1128</v>
      </c>
      <c r="I43" s="4" t="str">
        <f>IFERROR(__xludf.DUMMYFUNCTION("GOOGLETRANSLATE(A43, ""en"", ""bn"")"),"৪২")</f>
        <v>৪২</v>
      </c>
      <c r="J43" s="4" t="str">
        <f>IFERROR(__xludf.DUMMYFUNCTION("GOOGLETRANSLATE(B43, ""en"", ""bn"")"),"একজন তাড়াকারী কীভাবে গোল্লা চুটে ট্যাগ করার তাদের অভিপ্রায়কে ইঙ্গিত দেয়?")</f>
        <v>একজন তাড়াকারী কীভাবে গোল্লা চুটে ট্যাগ করার তাদের অভিপ্রায়কে ইঙ্গিত দেয়?</v>
      </c>
      <c r="K43" s="4" t="str">
        <f>IFERROR(__xludf.DUMMYFUNCTION("GOOGLETRANSLATE(C43, ""en"", ""bn"")"),"ক) ইশারা করে, খ) দৌড়ে, গ) চিৎকার করে, ঘ) মাটি স্পর্শ করে")</f>
        <v>ক) ইশারা করে, খ) দৌড়ে, গ) চিৎকার করে, ঘ) মাটি স্পর্শ করে</v>
      </c>
      <c r="L43" s="4" t="str">
        <f>IFERROR(__xludf.DUMMYFUNCTION("GOOGLETRANSLATE(D43, ""en"", ""bn"")"),"গ) চিৎকার করে")</f>
        <v>গ) চিৎকার করে</v>
      </c>
      <c r="M43" s="4" t="str">
        <f>IFERROR(__xludf.DUMMYFUNCTION("GOOGLETRANSLATE(E43, ""en"", ""bn"")"),"ধাওয়াকারীরা কখনও কখনও চিৎকার করে দৌড়বিদদের সতর্ক করার মাধ্যমে তাদের উদ্দেশ্যের ইঙ্গিত দেয়।")</f>
        <v>ধাওয়াকারীরা কখনও কখনও চিৎকার করে দৌড়বিদদের সতর্ক করার মাধ্যমে তাদের উদ্দেশ্যের ইঙ্গিত দেয়।</v>
      </c>
    </row>
    <row r="44">
      <c r="A44" s="3">
        <v>43.0</v>
      </c>
      <c r="B44" s="3" t="s">
        <v>1129</v>
      </c>
      <c r="C44" s="3" t="s">
        <v>1130</v>
      </c>
      <c r="D44" s="3" t="s">
        <v>1131</v>
      </c>
      <c r="E44" s="3" t="s">
        <v>1132</v>
      </c>
      <c r="I44" s="4" t="str">
        <f>IFERROR(__xludf.DUMMYFUNCTION("GOOGLETRANSLATE(A44, ""en"", ""bn"")"),"৪৩")</f>
        <v>৪৩</v>
      </c>
      <c r="J44" s="4" t="str">
        <f>IFERROR(__xludf.DUMMYFUNCTION("GOOGLETRANSLATE(B44, ""en"", ""bn"")"),"গোল্লা চাট খেলার সময় কি খেলোয়াড়রা পক্ষ পরিবর্তন করতে পারে?")</f>
        <v>গোল্লা চাট খেলার সময় কি খেলোয়াড়রা পক্ষ পরিবর্তন করতে পারে?</v>
      </c>
      <c r="K44" s="4" t="str">
        <f>IFERROR(__xludf.DUMMYFUNCTION("GOOGLETRANSLATE(C44, ""en"", ""bn"")"),"ক) হ্যাঁ, প্রতি রাউন্ডে, খ) না, গ) শুধুমাত্র টাই রাউন্ডে, ঘ) শুধুমাত্র আহত হলে")</f>
        <v>ক) হ্যাঁ, প্রতি রাউন্ডে, খ) না, গ) শুধুমাত্র টাই রাউন্ডে, ঘ) শুধুমাত্র আহত হলে</v>
      </c>
      <c r="L44" s="4" t="str">
        <f>IFERROR(__xludf.DUMMYFUNCTION("GOOGLETRANSLATE(D44, ""en"", ""bn"")"),"ক) হ্যাঁ, প্রতি রাউন্ডে")</f>
        <v>ক) হ্যাঁ, প্রতি রাউন্ডে</v>
      </c>
      <c r="M44" s="4" t="str">
        <f>IFERROR(__xludf.DUMMYFUNCTION("GOOGLETRANSLATE(E44, ""en"", ""bn"")"),"খেলার ভারসাম্য বজায় রাখার জন্য দলগুলি রাউন্ডের মধ্যে ভূমিকা পরিবর্তন করে।")</f>
        <v>খেলার ভারসাম্য বজায় রাখার জন্য দলগুলি রাউন্ডের মধ্যে ভূমিকা পরিবর্তন করে।</v>
      </c>
    </row>
    <row r="45">
      <c r="A45" s="3">
        <v>44.0</v>
      </c>
      <c r="B45" s="3" t="s">
        <v>1133</v>
      </c>
      <c r="C45" s="3" t="s">
        <v>1134</v>
      </c>
      <c r="D45" s="3" t="s">
        <v>1135</v>
      </c>
      <c r="E45" s="3" t="s">
        <v>1136</v>
      </c>
      <c r="I45" s="4" t="str">
        <f>IFERROR(__xludf.DUMMYFUNCTION("GOOGLETRANSLATE(A45, ""en"", ""bn"")"),"৪৪")</f>
        <v>৪৪</v>
      </c>
      <c r="J45" s="4" t="str">
        <f>IFERROR(__xludf.DUMMYFUNCTION("GOOGLETRANSLATE(B45, ""en"", ""bn"")"),"গোল্লা চুট-এ একজন 'সীমানা বিচারকের' ভূমিকা কী?")</f>
        <v>গোল্লা চুট-এ একজন 'সীমানা বিচারকের' ভূমিকা কী?</v>
      </c>
      <c r="K45" s="4" t="str">
        <f>IFERROR(__xludf.DUMMYFUNCTION("GOOGLETRANSLATE(C45, ""en"", ""bn"")"),"ক) মাঠের সীমা বজায় রাখে, খ) রাউন্ডের সময়, গ) ফাউল কল করে, ঘ) পয়েন্ট স্কোর করে")</f>
        <v>ক) মাঠের সীমা বজায় রাখে, খ) রাউন্ডের সময়, গ) ফাউল কল করে, ঘ) পয়েন্ট স্কোর করে</v>
      </c>
      <c r="L45" s="4" t="str">
        <f>IFERROR(__xludf.DUMMYFUNCTION("GOOGLETRANSLATE(D45, ""en"", ""bn"")"),"ক) ক্ষেত্রের সীমা বজায় রাখে")</f>
        <v>ক) ক্ষেত্রের সীমা বজায় রাখে</v>
      </c>
      <c r="M45" s="4" t="str">
        <f>IFERROR(__xludf.DUMMYFUNCTION("GOOGLETRANSLATE(E45, ""en"", ""bn"")"),"সীমানা বিচারকরা নিশ্চিত করেন যে খেলোয়াড়রা মাঠের সীমার মধ্যে থাকে।")</f>
        <v>সীমানা বিচারকরা নিশ্চিত করেন যে খেলোয়াড়রা মাঠের সীমার মধ্যে থাকে।</v>
      </c>
    </row>
    <row r="46">
      <c r="A46" s="3">
        <v>45.0</v>
      </c>
      <c r="B46" s="3" t="s">
        <v>1137</v>
      </c>
      <c r="C46" s="3" t="s">
        <v>1138</v>
      </c>
      <c r="D46" s="3" t="s">
        <v>1139</v>
      </c>
      <c r="E46" s="3" t="s">
        <v>1140</v>
      </c>
      <c r="I46" s="4" t="str">
        <f>IFERROR(__xludf.DUMMYFUNCTION("GOOGLETRANSLATE(A46, ""en"", ""bn"")"),"৪৫")</f>
        <v>৪৫</v>
      </c>
      <c r="J46" s="4" t="str">
        <f>IFERROR(__xludf.DUMMYFUNCTION("GOOGLETRANSLATE(B46, ""en"", ""bn"")"),"স্কোরের পরে চুটে পা রাখার নিয়ম কী?")</f>
        <v>স্কোরের পরে চুটে পা রাখার নিয়ম কী?</v>
      </c>
      <c r="K46" s="4" t="str">
        <f>IFERROR(__xludf.DUMMYFUNCTION("GOOGLETRANSLATE(C46, ""en"", ""bn"")"),"ক) খেলোয়াড়কে ৫ সেকেন্ড অপেক্ষা করতে হবে, খ) তাৎক্ষণিক প্রবেশের অনুমতি দেওয়া হবে, গ) প্রথমে ট্যাগ করা আবশ্যক, ঘ) রেফারির সংকেতের জন্য অপেক্ষা করতে হবে।")</f>
        <v>ক) খেলোয়াড়কে ৫ সেকেন্ড অপেক্ষা করতে হবে, খ) তাৎক্ষণিক প্রবেশের অনুমতি দেওয়া হবে, গ) প্রথমে ট্যাগ করা আবশ্যক, ঘ) রেফারির সংকেতের জন্য অপেক্ষা করতে হবে।</v>
      </c>
      <c r="L46" s="4" t="str">
        <f>IFERROR(__xludf.DUMMYFUNCTION("GOOGLETRANSLATE(D46, ""en"", ""bn"")"),"খ) তাৎক্ষণিক প্রবেশের অনুমতি")</f>
        <v>খ) তাৎক্ষণিক প্রবেশের অনুমতি</v>
      </c>
      <c r="M46" s="4" t="str">
        <f>IFERROR(__xludf.DUMMYFUNCTION("GOOGLETRANSLATE(E46, ""en"", ""bn"")"),"ট্যাগ এড়াতে খেলোয়াড়রা গোল করার পরপরই চুটে প্রবেশ করতে পারে।")</f>
        <v>ট্যাগ এড়াতে খেলোয়াড়রা গোল করার পরপরই চুটে প্রবেশ করতে পারে।</v>
      </c>
    </row>
    <row r="47">
      <c r="A47" s="3">
        <v>46.0</v>
      </c>
      <c r="B47" s="3" t="s">
        <v>1141</v>
      </c>
      <c r="C47" s="3" t="s">
        <v>1142</v>
      </c>
      <c r="D47" s="3" t="s">
        <v>1143</v>
      </c>
      <c r="E47" s="3" t="s">
        <v>1144</v>
      </c>
      <c r="I47" s="4" t="str">
        <f>IFERROR(__xludf.DUMMYFUNCTION("GOOGLETRANSLATE(A47, ""en"", ""bn"")"),"৪৬")</f>
        <v>৪৬</v>
      </c>
      <c r="J47" s="4" t="str">
        <f>IFERROR(__xludf.DUMMYFUNCTION("GOOGLETRANSLATE(B47, ""en"", ""bn"")"),"গোল্লা চুটে, চুট এলাকার প্রাথমিক উদ্দেশ্য কী?")</f>
        <v>গোল্লা চুটে, চুট এলাকার প্রাথমিক উদ্দেশ্য কী?</v>
      </c>
      <c r="K47" s="4" t="str">
        <f>IFERROR(__xludf.DUMMYFUNCTION("GOOGLETRANSLATE(C47, ""en"", ""bn"")"),"ক) দৌড়বিদদের জন্য একটি সূচনা বিন্দু, খ) একটি নিরাপদ অঞ্চল, গ) একটি পেনাল্টি অঞ্চল, ঘ) স্কোর করার জন্য একটি অঞ্চল")</f>
        <v>ক) দৌড়বিদদের জন্য একটি সূচনা বিন্দু, খ) একটি নিরাপদ অঞ্চল, গ) একটি পেনাল্টি অঞ্চল, ঘ) স্কোর করার জন্য একটি অঞ্চল</v>
      </c>
      <c r="L47" s="4" t="str">
        <f>IFERROR(__xludf.DUMMYFUNCTION("GOOGLETRANSLATE(D47, ""en"", ""bn"")"),"খ) একটি নিরাপদ অঞ্চল")</f>
        <v>খ) একটি নিরাপদ অঞ্চল</v>
      </c>
      <c r="M47" s="4" t="str">
        <f>IFERROR(__xludf.DUMMYFUNCTION("GOOGLETRANSLATE(E47, ""en"", ""bn"")"),"ছুট এলাকাটি একটি নিরাপদ অঞ্চল হিসেবে কাজ করে যেখানে দৌড়বিদদের তাড়াকারীরা ট্যাগ করতে পারে না।")</f>
        <v>ছুট এলাকাটি একটি নিরাপদ অঞ্চল হিসেবে কাজ করে যেখানে দৌড়বিদদের তাড়াকারীরা ট্যাগ করতে পারে না।</v>
      </c>
    </row>
    <row r="48">
      <c r="A48" s="3">
        <v>47.0</v>
      </c>
      <c r="B48" s="3" t="s">
        <v>1145</v>
      </c>
      <c r="C48" s="3" t="s">
        <v>1146</v>
      </c>
      <c r="D48" s="3" t="s">
        <v>1147</v>
      </c>
      <c r="E48" s="3" t="s">
        <v>1148</v>
      </c>
      <c r="I48" s="4" t="str">
        <f>IFERROR(__xludf.DUMMYFUNCTION("GOOGLETRANSLATE(A48, ""en"", ""bn"")"),"৪৭")</f>
        <v>৪৭</v>
      </c>
      <c r="J48" s="4" t="str">
        <f>IFERROR(__xludf.DUMMYFUNCTION("GOOGLETRANSLATE(B48, ""en"", ""bn"")"),"যদি একজন চেজার একজন দৌড়বিদকে ট্যাগ করে, তাহলে ট্যাগ করা দৌড়বিদটির অবস্থা কী হবে?")</f>
        <v>যদি একজন চেজার একজন দৌড়বিদকে ট্যাগ করে, তাহলে ট্যাগ করা দৌড়বিদটির অবস্থা কী হবে?</v>
      </c>
      <c r="K48" s="4" t="str">
        <f>IFERROR(__xludf.DUMMYFUNCTION("GOOGLETRANSLATE(C48, ""en"", ""bn"")"),"ক) নিরাপদ, খ) রাউন্ডের জন্য আউট, গ) একটি পয়েন্ট পেয়েছে, ঘ) একজন তাড়াকারী হয়ে উঠেছে")</f>
        <v>ক) নিরাপদ, খ) রাউন্ডের জন্য আউট, গ) একটি পয়েন্ট পেয়েছে, ঘ) একজন তাড়াকারী হয়ে উঠেছে</v>
      </c>
      <c r="L48" s="4" t="str">
        <f>IFERROR(__xludf.DUMMYFUNCTION("GOOGLETRANSLATE(D48, ""en"", ""bn"")"),"খ) রাউন্ডের জন্য ছিটকে যান")</f>
        <v>খ) রাউন্ডের জন্য ছিটকে যান</v>
      </c>
      <c r="M48" s="4" t="str">
        <f>IFERROR(__xludf.DUMMYFUNCTION("GOOGLETRANSLATE(E48, ""en"", ""bn"")"),"ট্যাগযুক্ত দৌড়বিদদের রাউন্ডের বাকি অংশের জন্য বাদ দেওয়া হবে বলে মনে করা হবে।")</f>
        <v>ট্যাগযুক্ত দৌড়বিদদের রাউন্ডের বাকি অংশের জন্য বাদ দেওয়া হবে বলে মনে করা হবে।</v>
      </c>
    </row>
    <row r="49">
      <c r="A49" s="3">
        <v>48.0</v>
      </c>
      <c r="B49" s="3" t="s">
        <v>1149</v>
      </c>
      <c r="C49" s="3" t="s">
        <v>1150</v>
      </c>
      <c r="D49" s="3" t="s">
        <v>1151</v>
      </c>
      <c r="E49" s="3" t="s">
        <v>1152</v>
      </c>
      <c r="I49" s="4" t="str">
        <f>IFERROR(__xludf.DUMMYFUNCTION("GOOGLETRANSLATE(A49, ""en"", ""bn"")"),"৪৮")</f>
        <v>৪৮</v>
      </c>
      <c r="J49" s="4" t="str">
        <f>IFERROR(__xludf.DUMMYFUNCTION("GOOGLETRANSLATE(B49, ""en"", ""bn"")"),"গোল্লা চুটে দৌড়বিদদের ব্যবহৃত একটি সাধারণ কৌশল কী?")</f>
        <v>গোল্লা চুটে দৌড়বিদদের ব্যবহৃত একটি সাধারণ কৌশল কী?</v>
      </c>
      <c r="K49" s="4" t="str">
        <f>IFERROR(__xludf.DUMMYFUNCTION("GOOGLETRANSLATE(C49, ""en"", ""bn"")"),"ক) সরলরেখায় দৌড়ানো, খ) আঁকাবাঁকা ধরণে দৌড়ানো, গ) লুকিয়ে থাকা, ঘ) স্থির থাকা")</f>
        <v>ক) সরলরেখায় দৌড়ানো, খ) আঁকাবাঁকা ধরণে দৌড়ানো, গ) লুকিয়ে থাকা, ঘ) স্থির থাকা</v>
      </c>
      <c r="L49" s="4" t="str">
        <f>IFERROR(__xludf.DUMMYFUNCTION("GOOGLETRANSLATE(D49, ""en"", ""bn"")"),"খ) জিগজ্যাগ প্যাটার্নে দৌড়ানো")</f>
        <v>খ) জিগজ্যাগ প্যাটার্নে দৌড়ানো</v>
      </c>
      <c r="M49" s="4" t="str">
        <f>IFERROR(__xludf.DUMMYFUNCTION("GOOGLETRANSLATE(E49, ""en"", ""bn"")"),"দৌড়বিদরা প্রায়শই ধাওয়াকারীদের আরও কার্যকরভাবে এড়াতে জিগজ্যাগ প্যাটার্ন ব্যবহার করে।")</f>
        <v>দৌড়বিদরা প্রায়শই ধাওয়াকারীদের আরও কার্যকরভাবে এড়াতে জিগজ্যাগ প্যাটার্ন ব্যবহার করে।</v>
      </c>
    </row>
    <row r="50">
      <c r="A50" s="3">
        <v>49.0</v>
      </c>
      <c r="B50" s="3" t="s">
        <v>1153</v>
      </c>
      <c r="C50" s="3" t="s">
        <v>1154</v>
      </c>
      <c r="D50" s="3" t="s">
        <v>226</v>
      </c>
      <c r="E50" s="3" t="s">
        <v>1155</v>
      </c>
      <c r="I50" s="4" t="str">
        <f>IFERROR(__xludf.DUMMYFUNCTION("GOOGLETRANSLATE(A50, ""en"", ""bn"")"),"৪৯")</f>
        <v>৪৯</v>
      </c>
      <c r="J50" s="4" t="str">
        <f>IFERROR(__xludf.DUMMYFUNCTION("GOOGLETRANSLATE(B50, ""en"", ""bn"")"),"গোল্লা চুট খেলায় প্রতিটি দলে সাধারণত কতজন খেলোয়াড় থাকে?")</f>
        <v>গোল্লা চুট খেলায় প্রতিটি দলে সাধারণত কতজন খেলোয়াড় থাকে?</v>
      </c>
      <c r="K50" s="4" t="str">
        <f>IFERROR(__xludf.DUMMYFUNCTION("GOOGLETRANSLATE(C50, ""en"", ""bn"")"),"ক) ৫, খ) ৭, গ) ৯, ঘ) ১০")</f>
        <v>ক) ৫, খ) ৭, গ) ৯, ঘ) ১০</v>
      </c>
      <c r="L50" s="4" t="str">
        <f>IFERROR(__xludf.DUMMYFUNCTION("GOOGLETRANSLATE(D50, ""en"", ""bn"")"),"খ) ৭")</f>
        <v>খ) ৭</v>
      </c>
      <c r="M50" s="4" t="str">
        <f>IFERROR(__xludf.DUMMYFUNCTION("GOOGLETRANSLATE(E50, ""en"", ""bn"")"),"গোল্লা চুটের একটি আদর্শ খেলায় সাধারণত প্রতি দলে ৭ জন খেলোয়াড় থাকে।")</f>
        <v>গোল্লা চুটের একটি আদর্শ খেলায় সাধারণত প্রতি দলে ৭ জন খেলোয়াড় থাকে।</v>
      </c>
    </row>
    <row r="51">
      <c r="A51" s="3">
        <v>50.0</v>
      </c>
      <c r="B51" s="3" t="s">
        <v>1156</v>
      </c>
      <c r="C51" s="3" t="s">
        <v>1157</v>
      </c>
      <c r="D51" s="3" t="s">
        <v>1158</v>
      </c>
      <c r="E51" s="3" t="s">
        <v>1159</v>
      </c>
      <c r="I51" s="4" t="str">
        <f>IFERROR(__xludf.DUMMYFUNCTION("GOOGLETRANSLATE(A51, ""en"", ""bn"")"),"৫০")</f>
        <v>৫০</v>
      </c>
      <c r="J51" s="4" t="str">
        <f>IFERROR(__xludf.DUMMYFUNCTION("GOOGLETRANSLATE(B51, ""en"", ""bn"")"),"গোল্লা চুটে, প্রতিটি রাউন্ডে কোন অ্যাকশন শুরু হয়?")</f>
        <v>গোল্লা চুটে, প্রতিটি রাউন্ডে কোন অ্যাকশন শুরু হয়?</v>
      </c>
      <c r="K51" s="4" t="str">
        <f>IFERROR(__xludf.DUMMYFUNCTION("GOOGLETRANSLATE(C51, ""en"", ""bn"")"),"ক) বাঁশি বাজাও, খ) মুদ্রা ছুঁড়ে মারো, গ) চুট করার জন্য দৌড়, ঘ) কাউন্টডাউন")</f>
        <v>ক) বাঁশি বাজাও, খ) মুদ্রা ছুঁড়ে মারো, গ) চুট করার জন্য দৌড়, ঘ) কাউন্টডাউন</v>
      </c>
      <c r="L51" s="4" t="str">
        <f>IFERROR(__xludf.DUMMYFUNCTION("GOOGLETRANSLATE(D51, ""en"", ""bn"")"),"ক) একটি বাঁশি বাজানো")</f>
        <v>ক) একটি বাঁশি বাজানো</v>
      </c>
      <c r="M51" s="4" t="str">
        <f>IFERROR(__xludf.DUMMYFUNCTION("GOOGLETRANSLATE(E51, ""en"", ""bn"")"),"রেফারির বাঁশি বাজলেই গোল্লা চুটে প্রতিটি রাউন্ডের শুরুর ইঙ্গিত পাওয়া যায়।")</f>
        <v>রেফারির বাঁশি বাজলেই গোল্লা চুটে প্রতিটি রাউন্ডের শুরুর ইঙ্গিত পাওয়া যায়।</v>
      </c>
    </row>
    <row r="52">
      <c r="A52" s="3">
        <v>51.0</v>
      </c>
      <c r="B52" s="3" t="s">
        <v>1160</v>
      </c>
      <c r="C52" s="3" t="s">
        <v>1161</v>
      </c>
      <c r="D52" s="3" t="s">
        <v>1162</v>
      </c>
      <c r="E52" s="3" t="s">
        <v>1163</v>
      </c>
      <c r="I52" s="4" t="str">
        <f>IFERROR(__xludf.DUMMYFUNCTION("GOOGLETRANSLATE(A52, ""en"", ""bn"")"),"৫১")</f>
        <v>৫১</v>
      </c>
      <c r="J52" s="4" t="str">
        <f>IFERROR(__xludf.DUMMYFUNCTION("GOOGLETRANSLATE(B52, ""en"", ""bn"")"),"গোল্লা চুটে রেফারির ভূমিকা কী?")</f>
        <v>গোল্লা চুটে রেফারির ভূমিকা কী?</v>
      </c>
      <c r="K52" s="4" t="str">
        <f>IFERROR(__xludf.DUMMYFUNCTION("GOOGLETRANSLATE(C52, ""en"", ""bn"")"),"ক) পয়েন্ট অর্জন করা, খ) নিয়ম প্রয়োগ করা, গ) দল নির্বাচন করা, ঘ) একজন তাড়াকারী হিসেবে খেলা")</f>
        <v>ক) পয়েন্ট অর্জন করা, খ) নিয়ম প্রয়োগ করা, গ) দল নির্বাচন করা, ঘ) একজন তাড়াকারী হিসেবে খেলা</v>
      </c>
      <c r="L52" s="4" t="str">
        <f>IFERROR(__xludf.DUMMYFUNCTION("GOOGLETRANSLATE(D52, ""en"", ""bn"")"),"খ) নিয়ম প্রয়োগ করা")</f>
        <v>খ) নিয়ম প্রয়োগ করা</v>
      </c>
      <c r="M52" s="4" t="str">
        <f>IFERROR(__xludf.DUMMYFUNCTION("GOOGLETRANSLATE(E52, ""en"", ""bn"")"),"রেফারি নিশ্চিত করেন যে সমস্ত খেলোয়াড় খেলার নিয়ম মেনে চলছে।")</f>
        <v>রেফারি নিশ্চিত করেন যে সমস্ত খেলোয়াড় খেলার নিয়ম মেনে চলছে।</v>
      </c>
    </row>
    <row r="53">
      <c r="A53" s="3">
        <v>52.0</v>
      </c>
      <c r="B53" s="3" t="s">
        <v>1164</v>
      </c>
      <c r="C53" s="3" t="s">
        <v>1165</v>
      </c>
      <c r="D53" s="3" t="s">
        <v>1018</v>
      </c>
      <c r="E53" s="3" t="s">
        <v>1166</v>
      </c>
      <c r="I53" s="4" t="str">
        <f>IFERROR(__xludf.DUMMYFUNCTION("GOOGLETRANSLATE(A53, ""en"", ""bn"")"),"৫২")</f>
        <v>৫২</v>
      </c>
      <c r="J53" s="4" t="str">
        <f>IFERROR(__xludf.DUMMYFUNCTION("GOOGLETRANSLATE(B53, ""en"", ""bn"")"),"যদি একজন দৌড়বিদকে চটের বাইরে একজন ধাওয়াকারী ট্যাগ করে, তাহলে তার পরিণতি কী হবে?")</f>
        <v>যদি একজন দৌড়বিদকে চটের বাইরে একজন ধাওয়াকারী ট্যাগ করে, তাহলে তার পরিণতি কী হবে?</v>
      </c>
      <c r="K53" s="4" t="str">
        <f>IFERROR(__xludf.DUMMYFUNCTION("GOOGLETRANSLATE(C53, ""en"", ""bn"")"),"ক) তারা একটি পয়েন্ট স্কোর করে, খ) তারা রাউন্ডের জন্য ছিটকে যায়, গ) তারা দল বদল করে, ঘ) তারা তাড়াতাড়ি হয়।")</f>
        <v>ক) তারা একটি পয়েন্ট স্কোর করে, খ) তারা রাউন্ডের জন্য ছিটকে যায়, গ) তারা দল বদল করে, ঘ) তারা তাড়াতাড়ি হয়।</v>
      </c>
      <c r="L53" s="4" t="str">
        <f>IFERROR(__xludf.DUMMYFUNCTION("GOOGLETRANSLATE(D53, ""en"", ""bn"")"),"খ) তারা রাউন্ডের জন্য বাইরে।")</f>
        <v>খ) তারা রাউন্ডের জন্য বাইরে।</v>
      </c>
      <c r="M53" s="4" t="str">
        <f>IFERROR(__xludf.DUMMYFUNCTION("GOOGLETRANSLATE(E53, ""en"", ""bn"")"),"চটের বাইরে ট্যাগ করা দৌড়বিদদের সেই রাউন্ডের খেলা থেকে সরিয়ে দেওয়া হয়।")</f>
        <v>চটের বাইরে ট্যাগ করা দৌড়বিদদের সেই রাউন্ডের খেলা থেকে সরিয়ে দেওয়া হয়।</v>
      </c>
    </row>
    <row r="54">
      <c r="A54" s="3">
        <v>53.0</v>
      </c>
      <c r="B54" s="3" t="s">
        <v>1167</v>
      </c>
      <c r="C54" s="3" t="s">
        <v>1168</v>
      </c>
      <c r="D54" s="3" t="s">
        <v>1169</v>
      </c>
      <c r="E54" s="3" t="s">
        <v>1170</v>
      </c>
      <c r="I54" s="4" t="str">
        <f>IFERROR(__xludf.DUMMYFUNCTION("GOOGLETRANSLATE(A54, ""en"", ""bn"")"),"৫৩")</f>
        <v>৫৩</v>
      </c>
      <c r="J54" s="4" t="str">
        <f>IFERROR(__xludf.DUMMYFUNCTION("GOOGLETRANSLATE(B54, ""en"", ""bn"")"),"গোল্লা চুটে কোন জিনিসটিকে ফাউল হিসেবে বিবেচনা করা হয়?")</f>
        <v>গোল্লা চুটে কোন জিনিসটিকে ফাউল হিসেবে বিবেচনা করা হয়?</v>
      </c>
      <c r="K54" s="4" t="str">
        <f>IFERROR(__xludf.DUMMYFUNCTION("GOOGLETRANSLATE(C54, ""en"", ""bn"")"),"ক) খুব দ্রুত দৌড়ানো, খ) চিৎকার করা, গ) চুতের খুব কাছে ট্যাগ করা, ঘ) মাঠ ছেড়ে যাওয়া")</f>
        <v>ক) খুব দ্রুত দৌড়ানো, খ) চিৎকার করা, গ) চুতের খুব কাছে ট্যাগ করা, ঘ) মাঠ ছেড়ে যাওয়া</v>
      </c>
      <c r="L54" s="4" t="str">
        <f>IFERROR(__xludf.DUMMYFUNCTION("GOOGLETRANSLATE(D54, ""en"", ""bn"")"),"ঘ) মাঠ ত্যাগ করা")</f>
        <v>ঘ) মাঠ ত্যাগ করা</v>
      </c>
      <c r="M54" s="4" t="str">
        <f>IFERROR(__xludf.DUMMYFUNCTION("GOOGLETRANSLATE(E54, ""en"", ""bn"")"),"গোল্লা চুতে মাঠের সীমানা ত্যাগ করাকে ফাউল হিসেবে বিবেচনা করা হয়।")</f>
        <v>গোল্লা চুতে মাঠের সীমানা ত্যাগ করাকে ফাউল হিসেবে বিবেচনা করা হয়।</v>
      </c>
    </row>
    <row r="55">
      <c r="A55" s="3">
        <v>54.0</v>
      </c>
      <c r="B55" s="3" t="s">
        <v>1171</v>
      </c>
      <c r="C55" s="3" t="s">
        <v>1172</v>
      </c>
      <c r="D55" s="3" t="s">
        <v>1173</v>
      </c>
      <c r="E55" s="3" t="s">
        <v>1174</v>
      </c>
      <c r="I55" s="4" t="str">
        <f>IFERROR(__xludf.DUMMYFUNCTION("GOOGLETRANSLATE(A55, ""en"", ""bn"")"),"৫৪")</f>
        <v>৫৪</v>
      </c>
      <c r="J55" s="4" t="str">
        <f>IFERROR(__xludf.DUMMYFUNCTION("GOOGLETRANSLATE(B55, ""en"", ""bn"")"),"একজন দৌড়বিদকে সফলভাবে চিহ্নিত করার জন্য একজন তাড়াকারীকে কী করতে হবে?")</f>
        <v>একজন দৌড়বিদকে সফলভাবে চিহ্নিত করার জন্য একজন তাড়াকারীকে কী করতে হবে?</v>
      </c>
      <c r="K55" s="4" t="str">
        <f>IFERROR(__xludf.DUMMYFUNCTION("GOOGLETRANSLATE(C55, ""en"", ""bn"")"),"ক) তাদের হালকাভাবে স্পর্শ করো, খ) তাদের নাম চিৎকার করো, গ) চুপচাপ দাঁড়িয়ে থাকো, ঘ) তাদের অর্ধেক তাড়া করো")</f>
        <v>ক) তাদের হালকাভাবে স্পর্শ করো, খ) তাদের নাম চিৎকার করো, গ) চুপচাপ দাঁড়িয়ে থাকো, ঘ) তাদের অর্ধেক তাড়া করো</v>
      </c>
      <c r="L55" s="4" t="str">
        <f>IFERROR(__xludf.DUMMYFUNCTION("GOOGLETRANSLATE(D55, ""en"", ""bn"")"),"ক) হালকাভাবে স্পর্শ করুন")</f>
        <v>ক) হালকাভাবে স্পর্শ করুন</v>
      </c>
      <c r="M55" s="4" t="str">
        <f>IFERROR(__xludf.DUMMYFUNCTION("GOOGLETRANSLATE(E55, ""en"", ""bn"")"),"একজন ধাওয়াকারীকে সফলভাবে ট্যাগ করার জন্য একজন দৌড়বিদকে স্পর্শ করতে হবে।")</f>
        <v>একজন ধাওয়াকারীকে সফলভাবে ট্যাগ করার জন্য একজন দৌড়বিদকে স্পর্শ করতে হবে।</v>
      </c>
    </row>
    <row r="56">
      <c r="A56" s="3">
        <v>55.0</v>
      </c>
      <c r="B56" s="3" t="s">
        <v>1175</v>
      </c>
      <c r="C56" s="3" t="s">
        <v>1176</v>
      </c>
      <c r="D56" s="3" t="s">
        <v>1093</v>
      </c>
      <c r="E56" s="3" t="s">
        <v>1177</v>
      </c>
      <c r="I56" s="4" t="str">
        <f>IFERROR(__xludf.DUMMYFUNCTION("GOOGLETRANSLATE(A56, ""en"", ""bn"")"),"৫৫")</f>
        <v>৫৫</v>
      </c>
      <c r="J56" s="4" t="str">
        <f>IFERROR(__xludf.DUMMYFUNCTION("GOOGLETRANSLATE(B56, ""en"", ""bn"")"),"গোল্লা চুটে একজন দৌড়বিদের জন্য কোন দক্ষতা সবচেয়ে মূল্যবান?")</f>
        <v>গোল্লা চুটে একজন দৌড়বিদের জন্য কোন দক্ষতা সবচেয়ে মূল্যবান?</v>
      </c>
      <c r="K56" s="4" t="str">
        <f>IFERROR(__xludf.DUMMYFUNCTION("GOOGLETRANSLATE(C56, ""en"", ""bn"")"),"ক) শক্তি, খ) গতি, গ) উচ্চস্বরে, ঘ) লাফানো")</f>
        <v>ক) শক্তি, খ) গতি, গ) উচ্চস্বরে, ঘ) লাফানো</v>
      </c>
      <c r="L56" s="4" t="str">
        <f>IFERROR(__xludf.DUMMYFUNCTION("GOOGLETRANSLATE(D56, ""en"", ""bn"")"),"খ) গতি")</f>
        <v>খ) গতি</v>
      </c>
      <c r="M56" s="4" t="str">
        <f>IFERROR(__xludf.DUMMYFUNCTION("GOOGLETRANSLATE(E56, ""en"", ""bn"")"),"দৌড়বিদদের দ্বারা চিহ্নিত হওয়া এড়াতে দৌড়বিদদের জন্য গতি অপরিহার্য।")</f>
        <v>দৌড়বিদদের দ্বারা চিহ্নিত হওয়া এড়াতে দৌড়বিদদের জন্য গতি অপরিহার্য।</v>
      </c>
    </row>
    <row r="57">
      <c r="A57" s="3">
        <v>56.0</v>
      </c>
      <c r="B57" s="3" t="s">
        <v>1178</v>
      </c>
      <c r="C57" s="3" t="s">
        <v>1179</v>
      </c>
      <c r="D57" s="3" t="s">
        <v>1180</v>
      </c>
      <c r="E57" s="3" t="s">
        <v>1181</v>
      </c>
      <c r="I57" s="4" t="str">
        <f>IFERROR(__xludf.DUMMYFUNCTION("GOOGLETRANSLATE(A57, ""en"", ""bn"")"),"৫৬")</f>
        <v>৫৬</v>
      </c>
      <c r="J57" s="4" t="str">
        <f>IFERROR(__xludf.DUMMYFUNCTION("GOOGLETRANSLATE(B57, ""en"", ""bn"")"),"গোল্লা চুটে একটি দল কীভাবে পয়েন্ট স্কোর করে?")</f>
        <v>গোল্লা চুটে একটি দল কীভাবে পয়েন্ট স্কোর করে?</v>
      </c>
      <c r="K57" s="4" t="str">
        <f>IFERROR(__xludf.DUMMYFUNCTION("GOOGLETRANSLATE(C57, ""en"", ""bn"")"),"ক) ধাওয়াকারীদের ট্যাগ করে, খ) চুট পর্যন্ত পৌঁছানোর মাধ্যমে, গ) চিৎকার করে, ঘ) দ্রুত দৌড়ানোর মাধ্যমে")</f>
        <v>ক) ধাওয়াকারীদের ট্যাগ করে, খ) চুট পর্যন্ত পৌঁছানোর মাধ্যমে, গ) চিৎকার করে, ঘ) দ্রুত দৌড়ানোর মাধ্যমে</v>
      </c>
      <c r="L57" s="4" t="str">
        <f>IFERROR(__xludf.DUMMYFUNCTION("GOOGLETRANSLATE(D57, ""en"", ""bn"")"),"খ) চুটে পৌঁছে")</f>
        <v>খ) চুটে পৌঁছে</v>
      </c>
      <c r="M57" s="4" t="str">
        <f>IFERROR(__xludf.DUMMYFUNCTION("GOOGLETRANSLATE(E57, ""en"", ""bn"")"),"ট্যাগ না করেই চুট এলাকায় পৌঁছালে দলের পয়েন্ট পাওয়া যায়।")</f>
        <v>ট্যাগ না করেই চুট এলাকায় পৌঁছালে দলের পয়েন্ট পাওয়া যায়।</v>
      </c>
    </row>
    <row r="58">
      <c r="A58" s="3">
        <v>57.0</v>
      </c>
      <c r="B58" s="3" t="s">
        <v>1182</v>
      </c>
      <c r="C58" s="3" t="s">
        <v>1183</v>
      </c>
      <c r="D58" s="3" t="s">
        <v>1077</v>
      </c>
      <c r="E58" s="3" t="s">
        <v>1184</v>
      </c>
      <c r="I58" s="4" t="str">
        <f>IFERROR(__xludf.DUMMYFUNCTION("GOOGLETRANSLATE(A58, ""en"", ""bn"")"),"৫৭")</f>
        <v>৫৭</v>
      </c>
      <c r="J58" s="4" t="str">
        <f>IFERROR(__xludf.DUMMYFUNCTION("GOOGLETRANSLATE(B58, ""en"", ""bn"")"),"""গোল্লা চুট""-এ, ট্যাগিং এড়াতে কি ধাওয়াকারীরা চুটের কোনও অংশ ব্যবহার করতে পারে?")</f>
        <v>"গোল্লা চুট"-এ, ট্যাগিং এড়াতে কি ধাওয়াকারীরা চুটের কোনও অংশ ব্যবহার করতে পারে?</v>
      </c>
      <c r="K58" s="4" t="str">
        <f>IFERROR(__xludf.DUMMYFUNCTION("GOOGLETRANSLATE(C58, ""en"", ""bn"")"),"ক) হ্যাঁ, খ) না, গ) কেবল পিছনের দিক, ঘ) কেবল পাশগুলি")</f>
        <v>ক) হ্যাঁ, খ) না, গ) কেবল পিছনের দিক, ঘ) কেবল পাশগুলি</v>
      </c>
      <c r="L58" s="4" t="str">
        <f>IFERROR(__xludf.DUMMYFUNCTION("GOOGLETRANSLATE(D58, ""en"", ""bn"")"),"খ) না")</f>
        <v>খ) না</v>
      </c>
      <c r="M58" s="4" t="str">
        <f>IFERROR(__xludf.DUMMYFUNCTION("GOOGLETRANSLATE(E58, ""en"", ""bn"")"),"ট্যাগিং এড়াতে ধাওয়াকারীদের এই চাট ব্যবহার করার অনুমতি নেই।")</f>
        <v>ট্যাগিং এড়াতে ধাওয়াকারীদের এই চাট ব্যবহার করার অনুমতি নেই।</v>
      </c>
    </row>
    <row r="59">
      <c r="A59" s="3">
        <v>58.0</v>
      </c>
      <c r="B59" s="3" t="s">
        <v>1185</v>
      </c>
      <c r="C59" s="3" t="s">
        <v>1186</v>
      </c>
      <c r="D59" s="3" t="s">
        <v>1187</v>
      </c>
      <c r="E59" s="3" t="s">
        <v>1188</v>
      </c>
      <c r="I59" s="4" t="str">
        <f>IFERROR(__xludf.DUMMYFUNCTION("GOOGLETRANSLATE(A59, ""en"", ""bn"")"),"৫৮")</f>
        <v>৫৮</v>
      </c>
      <c r="J59" s="4" t="str">
        <f>IFERROR(__xludf.DUMMYFUNCTION("GOOGLETRANSLATE(B59, ""en"", ""bn"")"),"খেলার শুরুতে প্রথম তাড়াকারী কীভাবে সিদ্ধান্ত নেওয়া হয়?")</f>
        <v>খেলার শুরুতে প্রথম তাড়াকারী কীভাবে সিদ্ধান্ত নেওয়া হয়?</v>
      </c>
      <c r="K59" s="4" t="str">
        <f>IFERROR(__xludf.DUMMYFUNCTION("GOOGLETRANSLATE(C59, ""en"", ""bn"")"),"ক) স্বেচ্ছাসেবক দ্বারা, খ) দলের ভোট দ্বারা, গ) মুদ্রা টস দ্বারা, ঘ) এলোমেলো নির্বাচন")</f>
        <v>ক) স্বেচ্ছাসেবক দ্বারা, খ) দলের ভোট দ্বারা, গ) মুদ্রা টস দ্বারা, ঘ) এলোমেলো নির্বাচন</v>
      </c>
      <c r="L59" s="4" t="str">
        <f>IFERROR(__xludf.DUMMYFUNCTION("GOOGLETRANSLATE(D59, ""en"", ""bn"")"),"গ) মুদ্রা টস দ্বারা")</f>
        <v>গ) মুদ্রা টস দ্বারা</v>
      </c>
      <c r="M59" s="4" t="str">
        <f>IFERROR(__xludf.DUMMYFUNCTION("GOOGLETRANSLATE(E59, ""en"", ""bn"")"),"কোন দল তাড়া করার জন্য শুরু করে তা নির্ধারণ করতে প্রায়শই মুদ্রা টস ব্যবহার করা হয়।")</f>
        <v>কোন দল তাড়া করার জন্য শুরু করে তা নির্ধারণ করতে প্রায়শই মুদ্রা টস ব্যবহার করা হয়।</v>
      </c>
    </row>
    <row r="60">
      <c r="A60" s="3">
        <v>59.0</v>
      </c>
      <c r="B60" s="3" t="s">
        <v>1189</v>
      </c>
      <c r="C60" s="3" t="s">
        <v>1190</v>
      </c>
      <c r="D60" s="3" t="s">
        <v>203</v>
      </c>
      <c r="E60" s="3" t="s">
        <v>1191</v>
      </c>
      <c r="I60" s="4" t="str">
        <f>IFERROR(__xludf.DUMMYFUNCTION("GOOGLETRANSLATE(A60, ""en"", ""bn"")"),"৫৯")</f>
        <v>৫৯</v>
      </c>
      <c r="J60" s="4" t="str">
        <f>IFERROR(__xludf.DUMMYFUNCTION("GOOGLETRANSLATE(B60, ""en"", ""bn"")"),"গোল্লা চুটের একটি পূর্ণাঙ্গ খেলায় সাধারণত কত রাউন্ড খেলা হয়?")</f>
        <v>গোল্লা চুটের একটি পূর্ণাঙ্গ খেলায় সাধারণত কত রাউন্ড খেলা হয়?</v>
      </c>
      <c r="K60" s="4" t="str">
        <f>IFERROR(__xludf.DUMMYFUNCTION("GOOGLETRANSLATE(C60, ""en"", ""bn"")"),"ক) ২, খ) ৩, গ) ৫, ঘ) ৭")</f>
        <v>ক) ২, খ) ৩, গ) ৫, ঘ) ৭</v>
      </c>
      <c r="L60" s="4" t="str">
        <f>IFERROR(__xludf.DUMMYFUNCTION("GOOGLETRANSLATE(D60, ""en"", ""bn"")"),"খ) ৩")</f>
        <v>খ) ৩</v>
      </c>
      <c r="M60" s="4" t="str">
        <f>IFERROR(__xludf.DUMMYFUNCTION("GOOGLETRANSLATE(E60, ""en"", ""bn"")"),"বেশিরভাগ গোল্লা চুট গেমে বিজয়ী নির্ধারণের জন্য তিনটি রাউন্ড থাকে।")</f>
        <v>বেশিরভাগ গোল্লা চুট গেমে বিজয়ী নির্ধারণের জন্য তিনটি রাউন্ড থাকে।</v>
      </c>
    </row>
    <row r="61">
      <c r="A61" s="3">
        <v>60.0</v>
      </c>
      <c r="B61" s="3" t="s">
        <v>1192</v>
      </c>
      <c r="C61" s="3" t="s">
        <v>1193</v>
      </c>
      <c r="D61" s="3" t="s">
        <v>1194</v>
      </c>
      <c r="E61" s="3" t="s">
        <v>1195</v>
      </c>
      <c r="I61" s="4" t="str">
        <f>IFERROR(__xludf.DUMMYFUNCTION("GOOGLETRANSLATE(A61, ""en"", ""bn"")"),"৬০")</f>
        <v>৬০</v>
      </c>
      <c r="J61" s="4" t="str">
        <f>IFERROR(__xludf.DUMMYFUNCTION("GOOGLETRANSLATE(B61, ""en"", ""bn"")"),"রাউন্ডের শেষে যদি চেজার কোনও রানারকে ট্যাগ করতে ব্যর্থ হয় তবে কী হবে?")</f>
        <v>রাউন্ডের শেষে যদি চেজার কোনও রানারকে ট্যাগ করতে ব্যর্থ হয় তবে কী হবে?</v>
      </c>
      <c r="K61" s="4" t="str">
        <f>IFERROR(__xludf.DUMMYFUNCTION("GOOGLETRANSLATE(C61, ""en"", ""bn"")"),"ক) তাড়াকারীর দল পয়েন্ট হারায়, খ) তাড়াকারী আউট হয়, গ) তাড়াকারীর দল রাউন্ড হেরে যায়, ঘ) কোন পেনাল্টি নেই")</f>
        <v>ক) তাড়াকারীর দল পয়েন্ট হারায়, খ) তাড়াকারী আউট হয়, গ) তাড়াকারীর দল রাউন্ড হেরে যায়, ঘ) কোন পেনাল্টি নেই</v>
      </c>
      <c r="L61" s="4" t="str">
        <f>IFERROR(__xludf.DUMMYFUNCTION("GOOGLETRANSLATE(D61, ""en"", ""bn"")"),"গ) চেজারের দল রাউন্ডে হেরে যায়")</f>
        <v>গ) চেজারের দল রাউন্ডে হেরে যায়</v>
      </c>
      <c r="M61" s="4" t="str">
        <f>IFERROR(__xludf.DUMMYFUNCTION("GOOGLETRANSLATE(E61, ""en"", ""bn"")"),"যদি কোনও রানার ট্যাগ না থাকে, তাহলে চেজারের দল রাউন্ডটি হারিয়ে ফেলবে।")</f>
        <v>যদি কোনও রানার ট্যাগ না থাকে, তাহলে চেজারের দল রাউন্ডটি হারিয়ে ফেলবে।</v>
      </c>
    </row>
    <row r="62">
      <c r="A62" s="3">
        <v>61.0</v>
      </c>
      <c r="B62" s="3" t="s">
        <v>1196</v>
      </c>
      <c r="C62" s="3" t="s">
        <v>1197</v>
      </c>
      <c r="D62" s="3" t="s">
        <v>1198</v>
      </c>
      <c r="E62" s="3" t="s">
        <v>1199</v>
      </c>
      <c r="I62" s="4" t="str">
        <f>IFERROR(__xludf.DUMMYFUNCTION("GOOGLETRANSLATE(A62, ""en"", ""bn"")"),"৬১")</f>
        <v>৬১</v>
      </c>
      <c r="J62" s="4" t="str">
        <f>IFERROR(__xludf.DUMMYFUNCTION("GOOGLETRANSLATE(B62, ""en"", ""bn"")"),"গোল্লা চুটে, কেন্দ্রীয় নিরাপদ অঞ্চলটি সাধারণত কোন আকৃতিতে আঁকা হয়?")</f>
        <v>গোল্লা চুটে, কেন্দ্রীয় নিরাপদ অঞ্চলটি সাধারণত কোন আকৃতিতে আঁকা হয়?</v>
      </c>
      <c r="K62" s="4" t="str">
        <f>IFERROR(__xludf.DUMMYFUNCTION("GOOGLETRANSLATE(C62, ""en"", ""bn"")"),"ক) বৃত্ত, খ) ত্রিভুজ, গ) বর্গক্ষেত্র, ঘ) রেখা")</f>
        <v>ক) বৃত্ত, খ) ত্রিভুজ, গ) বর্গক্ষেত্র, ঘ) রেখা</v>
      </c>
      <c r="L62" s="4" t="str">
        <f>IFERROR(__xludf.DUMMYFUNCTION("GOOGLETRANSLATE(D62, ""en"", ""bn"")"),"ক) বৃত্ত")</f>
        <v>ক) বৃত্ত</v>
      </c>
      <c r="M62" s="4" t="str">
        <f>IFERROR(__xludf.DUMMYFUNCTION("GOOGLETRANSLATE(E62, ""en"", ""bn"")"),"চুট বা নিরাপদ অঞ্চলটি সাধারণত গোলাকার হয় যাতে চারদিক থেকে সমানভাবে প্রবেশ করা যায়।")</f>
        <v>চুট বা নিরাপদ অঞ্চলটি সাধারণত গোলাকার হয় যাতে চারদিক থেকে সমানভাবে প্রবেশ করা যায়।</v>
      </c>
    </row>
    <row r="63">
      <c r="A63" s="3">
        <v>62.0</v>
      </c>
      <c r="B63" s="3" t="s">
        <v>1200</v>
      </c>
      <c r="C63" s="3" t="s">
        <v>1201</v>
      </c>
      <c r="D63" s="3" t="s">
        <v>1202</v>
      </c>
      <c r="E63" s="3" t="s">
        <v>1203</v>
      </c>
      <c r="I63" s="4" t="str">
        <f>IFERROR(__xludf.DUMMYFUNCTION("GOOGLETRANSLATE(A63, ""en"", ""bn"")"),"৬২")</f>
        <v>৬২</v>
      </c>
      <c r="J63" s="4" t="str">
        <f>IFERROR(__xludf.DUMMYFUNCTION("GOOGLETRANSLATE(B63, ""en"", ""bn"")"),"যদি কোন শিকারী ছুট এলাকায় পা রাখে তাহলে কী হবে?")</f>
        <v>যদি কোন শিকারী ছুট এলাকায় পা রাখে তাহলে কী হবে?</v>
      </c>
      <c r="K63" s="4" t="str">
        <f>IFERROR(__xludf.DUMMYFUNCTION("GOOGLETRANSLATE(C63, ""en"", ""bn"")"),"ক) ট্যাগ আউট, খ) ফাউল, গ) রাউন্ড রিস্টার্ট, ঘ) কোন প্রভাব নেই")</f>
        <v>ক) ট্যাগ আউট, খ) ফাউল, গ) রাউন্ড রিস্টার্ট, ঘ) কোন প্রভাব নেই</v>
      </c>
      <c r="L63" s="4" t="str">
        <f>IFERROR(__xludf.DUMMYFUNCTION("GOOGLETRANSLATE(D63, ""en"", ""bn"")"),"খ) ফাউল")</f>
        <v>খ) ফাউল</v>
      </c>
      <c r="M63" s="4" t="str">
        <f>IFERROR(__xludf.DUMMYFUNCTION("GOOGLETRANSLATE(E63, ""en"", ""bn"")"),"ধাওয়াকারীদের ছুটে প্রবেশ করতে দেওয়া হয় না; এটা করা ফাউল হিসেবে বিবেচিত হবে।")</f>
        <v>ধাওয়াকারীদের ছুটে প্রবেশ করতে দেওয়া হয় না; এটা করা ফাউল হিসেবে বিবেচিত হবে।</v>
      </c>
    </row>
    <row r="64">
      <c r="A64" s="3">
        <v>63.0</v>
      </c>
      <c r="B64" s="3" t="s">
        <v>1204</v>
      </c>
      <c r="C64" s="3" t="s">
        <v>1205</v>
      </c>
      <c r="D64" s="3" t="s">
        <v>559</v>
      </c>
      <c r="E64" s="3" t="s">
        <v>1206</v>
      </c>
      <c r="I64" s="4" t="str">
        <f>IFERROR(__xludf.DUMMYFUNCTION("GOOGLETRANSLATE(A64, ""en"", ""bn"")"),"৬৩")</f>
        <v>৬৩</v>
      </c>
      <c r="J64" s="4" t="str">
        <f>IFERROR(__xludf.DUMMYFUNCTION("GOOGLETRANSLATE(B64, ""en"", ""bn"")"),"কোন দলের ভূমিকায় ঘেরা থাকা এড়াতে অবিরাম নড়াচড়া প্রয়োজন?")</f>
        <v>কোন দলের ভূমিকায় ঘেরা থাকা এড়াতে অবিরাম নড়াচড়া প্রয়োজন?</v>
      </c>
      <c r="K64" s="4" t="str">
        <f>IFERROR(__xludf.DUMMYFUNCTION("GOOGLETRANSLATE(C64, ""en"", ""bn"")"),"ক) রানার, খ) চেজার, গ) লিডার, ঘ) রেফারি")</f>
        <v>ক) রানার, খ) চেজার, গ) লিডার, ঘ) রেফারি</v>
      </c>
      <c r="L64" s="4" t="str">
        <f>IFERROR(__xludf.DUMMYFUNCTION("GOOGLETRANSLATE(D64, ""en"", ""bn"")"),"ক) দৌড়বিদ")</f>
        <v>ক) দৌড়বিদ</v>
      </c>
      <c r="M64" s="4" t="str">
        <f>IFERROR(__xludf.DUMMYFUNCTION("GOOGLETRANSLATE(E64, ""en"", ""bn"")"),"দৌড়বিদদের অবশ্যই চলতে হবে যাতে তারা ধাওয়াকারীদের দ্বারা বেষ্টিত না হয়।")</f>
        <v>দৌড়বিদদের অবশ্যই চলতে হবে যাতে তারা ধাওয়াকারীদের দ্বারা বেষ্টিত না হয়।</v>
      </c>
    </row>
    <row r="65">
      <c r="A65" s="3">
        <v>64.0</v>
      </c>
      <c r="B65" s="3" t="s">
        <v>1207</v>
      </c>
      <c r="C65" s="3" t="s">
        <v>1208</v>
      </c>
      <c r="D65" s="3" t="s">
        <v>1209</v>
      </c>
      <c r="E65" s="3" t="s">
        <v>1210</v>
      </c>
      <c r="I65" s="4" t="str">
        <f>IFERROR(__xludf.DUMMYFUNCTION("GOOGLETRANSLATE(A65, ""en"", ""bn"")"),"৬৪")</f>
        <v>৬৪</v>
      </c>
      <c r="J65" s="4" t="str">
        <f>IFERROR(__xludf.DUMMYFUNCTION("GOOGLETRANSLATE(B65, ""en"", ""bn"")"),"যদি একটি দলে খেলোয়াড় কম থাকে, তাহলে দলগুলো কীভাবে ভারসাম্যপূর্ণ হয়?")</f>
        <v>যদি একটি দলে খেলোয়াড় কম থাকে, তাহলে দলগুলো কীভাবে ভারসাম্যপূর্ণ হয়?</v>
      </c>
      <c r="K65" s="4" t="str">
        <f>IFERROR(__xludf.DUMMYFUNCTION("GOOGLETRANSLATE(C65, ""en"", ""bn"")"),"ক) নতুন খেলোয়াড় নিয়োগ করা, খ) পয়েন্ট সমন্বয় করা, গ) অতিরিক্ত বাঁক ঘোরানো, ঘ) প্রতিস্থাপন ঘূর্ণন")</f>
        <v>ক) নতুন খেলোয়াড় নিয়োগ করা, খ) পয়েন্ট সমন্বয় করা, গ) অতিরিক্ত বাঁক ঘোরানো, ঘ) প্রতিস্থাপন ঘূর্ণন</v>
      </c>
      <c r="L65" s="4" t="str">
        <f>IFERROR(__xludf.DUMMYFUNCTION("GOOGLETRANSLATE(D65, ""en"", ""bn"")"),"ঘ) বিকল্প ঘূর্ণন")</f>
        <v>ঘ) বিকল্প ঘূর্ণন</v>
      </c>
      <c r="M65" s="4" t="str">
        <f>IFERROR(__xludf.DUMMYFUNCTION("GOOGLETRANSLATE(E65, ""en"", ""bn"")"),"অসম সংখ্যার ভারসাম্য বজায় রাখার জন্য দলগুলি প্রায়শই বিকল্প বা ঘূর্ণন ব্যবহার করে।")</f>
        <v>অসম সংখ্যার ভারসাম্য বজায় রাখার জন্য দলগুলি প্রায়শই বিকল্প বা ঘূর্ণন ব্যবহার করে।</v>
      </c>
    </row>
    <row r="66">
      <c r="A66" s="3">
        <v>65.0</v>
      </c>
      <c r="B66" s="3" t="s">
        <v>1211</v>
      </c>
      <c r="C66" s="3" t="s">
        <v>1212</v>
      </c>
      <c r="D66" s="3" t="s">
        <v>238</v>
      </c>
      <c r="E66" s="3" t="s">
        <v>1213</v>
      </c>
      <c r="I66" s="4" t="str">
        <f>IFERROR(__xludf.DUMMYFUNCTION("GOOGLETRANSLATE(A66, ""en"", ""bn"")"),"৬৫")</f>
        <v>৬৫</v>
      </c>
      <c r="J66" s="4" t="str">
        <f>IFERROR(__xludf.DUMMYFUNCTION("GOOGLETRANSLATE(B66, ""en"", ""bn"")"),"গোল্লা চুটে, মাঠের সীমানা সাধারণত কীভাবে চিহ্নিত করা হয়?")</f>
        <v>গোল্লা চুটে, মাঠের সীমানা সাধারণত কীভাবে চিহ্নিত করা হয়?</v>
      </c>
      <c r="K66" s="4" t="str">
        <f>IFERROR(__xludf.DUMMYFUNCTION("GOOGLETRANSLATE(C66, ""en"", ""bn"")"),"ক) চক, খ) দড়ি, গ) লাঠি, ঘ) উপরের সবগুলো")</f>
        <v>ক) চক, খ) দড়ি, গ) লাঠি, ঘ) উপরের সবগুলো</v>
      </c>
      <c r="L66" s="4" t="str">
        <f>IFERROR(__xludf.DUMMYFUNCTION("GOOGLETRANSLATE(D66, ""en"", ""bn"")"),"ঘ) উপরের সবগুলো")</f>
        <v>ঘ) উপরের সবগুলো</v>
      </c>
      <c r="M66" s="4" t="str">
        <f>IFERROR(__xludf.DUMMYFUNCTION("GOOGLETRANSLATE(E66, ""en"", ""bn"")"),"স্থাপনার উপর নির্ভর করে চক, দড়ি বা লাঠি দিয়ে সীমানা চিহ্নিত করা যেতে পারে।")</f>
        <v>স্থাপনার উপর নির্ভর করে চক, দড়ি বা লাঠি দিয়ে সীমানা চিহ্নিত করা যেতে পারে।</v>
      </c>
    </row>
    <row r="67">
      <c r="A67" s="3">
        <v>66.0</v>
      </c>
      <c r="B67" s="3" t="s">
        <v>1214</v>
      </c>
      <c r="C67" s="3" t="s">
        <v>1215</v>
      </c>
      <c r="D67" s="3" t="s">
        <v>1216</v>
      </c>
      <c r="E67" s="3" t="s">
        <v>1217</v>
      </c>
      <c r="I67" s="4" t="str">
        <f>IFERROR(__xludf.DUMMYFUNCTION("GOOGLETRANSLATE(A67, ""en"", ""bn"")"),"৬৬")</f>
        <v>৬৬</v>
      </c>
      <c r="J67" s="4" t="str">
        <f>IFERROR(__xludf.DUMMYFUNCTION("GOOGLETRANSLATE(B67, ""en"", ""bn"")"),"একসাথে সর্বোচ্চ কত সংখ্যক দল খেলতে পারবে?")</f>
        <v>একসাথে সর্বোচ্চ কত সংখ্যক দল খেলতে পারবে?</v>
      </c>
      <c r="K67" s="4" t="str">
        <f>IFERROR(__xludf.DUMMYFUNCTION("GOOGLETRANSLATE(C67, ""en"", ""bn"")"),"ক) ২, খ) ৩, গ) ৪, ঘ) সীমাহীন")</f>
        <v>ক) ২, খ) ৩, গ) ৪, ঘ) সীমাহীন</v>
      </c>
      <c r="L67" s="4" t="str">
        <f>IFERROR(__xludf.DUMMYFUNCTION("GOOGLETRANSLATE(D67, ""en"", ""bn"")"),"ক) ২")</f>
        <v>ক) ২</v>
      </c>
      <c r="M67" s="4" t="str">
        <f>IFERROR(__xludf.DUMMYFUNCTION("GOOGLETRANSLATE(E67, ""en"", ""bn"")"),"স্ট্যান্ডার্ড গোল্লা চুট একবারে দুটি দলের মধ্যে খেলা হয়।")</f>
        <v>স্ট্যান্ডার্ড গোল্লা চুট একবারে দুটি দলের মধ্যে খেলা হয়।</v>
      </c>
    </row>
    <row r="68">
      <c r="A68" s="3">
        <v>67.0</v>
      </c>
      <c r="B68" s="3" t="s">
        <v>1218</v>
      </c>
      <c r="C68" s="3" t="s">
        <v>1219</v>
      </c>
      <c r="D68" s="3" t="s">
        <v>1220</v>
      </c>
      <c r="E68" s="3" t="s">
        <v>1221</v>
      </c>
      <c r="I68" s="4" t="str">
        <f>IFERROR(__xludf.DUMMYFUNCTION("GOOGLETRANSLATE(A68, ""en"", ""bn"")"),"৬৭")</f>
        <v>৬৭</v>
      </c>
      <c r="J68" s="4" t="str">
        <f>IFERROR(__xludf.DUMMYFUNCTION("GOOGLETRANSLATE(B68, ""en"", ""bn"")"),"খেলার সময় কোন খেলোয়াড়ের ভূমিকা সতীর্থদের নির্দেশনা দেয়?")</f>
        <v>খেলার সময় কোন খেলোয়াড়ের ভূমিকা সতীর্থদের নির্দেশনা দেয়?</v>
      </c>
      <c r="K68" s="4" t="str">
        <f>IFERROR(__xludf.DUMMYFUNCTION("GOOGLETRANSLATE(C68, ""en"", ""bn"")"),"ক) চেজার, খ) রানার, গ) লিডার, ঘ) রেফারি")</f>
        <v>ক) চেজার, খ) রানার, গ) লিডার, ঘ) রেফারি</v>
      </c>
      <c r="L68" s="4" t="str">
        <f>IFERROR(__xludf.DUMMYFUNCTION("GOOGLETRANSLATE(D68, ""en"", ""bn"")"),"গ) নেতা")</f>
        <v>গ) নেতা</v>
      </c>
      <c r="M68" s="4" t="str">
        <f>IFERROR(__xludf.DUMMYFUNCTION("GOOGLETRANSLATE(E68, ""en"", ""bn"")"),"নেতা খেলার সময় কৌশলগুলি পরিচালনা এবং সমন্বয় করেন।")</f>
        <v>নেতা খেলার সময় কৌশলগুলি পরিচালনা এবং সমন্বয় করেন।</v>
      </c>
    </row>
    <row r="69">
      <c r="A69" s="3">
        <v>68.0</v>
      </c>
      <c r="B69" s="3" t="s">
        <v>1222</v>
      </c>
      <c r="C69" s="3" t="s">
        <v>1223</v>
      </c>
      <c r="D69" s="3" t="s">
        <v>238</v>
      </c>
      <c r="E69" s="3" t="s">
        <v>1224</v>
      </c>
      <c r="I69" s="4" t="str">
        <f>IFERROR(__xludf.DUMMYFUNCTION("GOOGLETRANSLATE(A69, ""en"", ""bn"")"),"৬৮")</f>
        <v>৬৮</v>
      </c>
      <c r="J69" s="4" t="str">
        <f>IFERROR(__xludf.DUMMYFUNCTION("GOOGLETRANSLATE(B69, ""en"", ""bn"")"),"যদি কোনও তাড়াকারী ট্যাগিং ছাড়াও শারীরিক বলপ্রয়োগ করে, তাহলে তার শাস্তি কী?")</f>
        <v>যদি কোনও তাড়াকারী ট্যাগিং ছাড়াও শারীরিক বলপ্রয়োগ করে, তাহলে তার শাস্তি কী?</v>
      </c>
      <c r="K69" s="4" t="str">
        <f>IFERROR(__xludf.DUMMYFUNCTION("GOOGLETRANSLATE(C69, ""en"", ""bn"")"),"ক) পয়েন্ট কর্তন, খ) সতর্কতা, গ) রাউন্ড হারানো, ঘ) উপরের সবগুলো")</f>
        <v>ক) পয়েন্ট কর্তন, খ) সতর্কতা, গ) রাউন্ড হারানো, ঘ) উপরের সবগুলো</v>
      </c>
      <c r="L69" s="4" t="str">
        <f>IFERROR(__xludf.DUMMYFUNCTION("GOOGLETRANSLATE(D69, ""en"", ""bn"")"),"ঘ) উপরের সবগুলো")</f>
        <v>ঘ) উপরের সবগুলো</v>
      </c>
      <c r="M69" s="4" t="str">
        <f>IFERROR(__xludf.DUMMYFUNCTION("GOOGLETRANSLATE(E69, ""en"", ""bn"")"),"ট্যাগিংয়ের বাইরে বলপ্রয়োগ করলে সতর্কতা, কর্তন, অথবা রাউন্ড লস সহ শাস্তিযোগ্য শাস্তি।")</f>
        <v>ট্যাগিংয়ের বাইরে বলপ্রয়োগ করলে সতর্কতা, কর্তন, অথবা রাউন্ড লস সহ শাস্তিযোগ্য শাস্তি।</v>
      </c>
    </row>
    <row r="70">
      <c r="A70" s="3">
        <v>69.0</v>
      </c>
      <c r="B70" s="3" t="s">
        <v>1225</v>
      </c>
      <c r="C70" s="3" t="s">
        <v>1226</v>
      </c>
      <c r="D70" s="3" t="s">
        <v>1227</v>
      </c>
      <c r="E70" s="3" t="s">
        <v>1228</v>
      </c>
      <c r="I70" s="4" t="str">
        <f>IFERROR(__xludf.DUMMYFUNCTION("GOOGLETRANSLATE(A70, ""en"", ""bn"")"),"৬৯")</f>
        <v>৬৯</v>
      </c>
      <c r="J70" s="4" t="str">
        <f>IFERROR(__xludf.DUMMYFUNCTION("GOOGLETRANSLATE(B70, ""en"", ""bn"")"),"কোন পদক্ষেপ একজন দৌড়বিদকে তাৎক্ষণিকভাবে অযোগ্য ঘোষণা করে?")</f>
        <v>কোন পদক্ষেপ একজন দৌড়বিদকে তাৎক্ষণিকভাবে অযোগ্য ঘোষণা করে?</v>
      </c>
      <c r="K70" s="4" t="str">
        <f>IFERROR(__xludf.DUMMYFUNCTION("GOOGLETRANSLATE(C70, ""en"", ""bn"")"),"ক) চুটে প্রবেশ করা, খ) সীমানা ত্যাগ করা, গ) খুব দ্রুত দৌড়ানো, ঘ) কথা বলা")</f>
        <v>ক) চুটে প্রবেশ করা, খ) সীমানা ত্যাগ করা, গ) খুব দ্রুত দৌড়ানো, ঘ) কথা বলা</v>
      </c>
      <c r="L70" s="4" t="str">
        <f>IFERROR(__xludf.DUMMYFUNCTION("GOOGLETRANSLATE(D70, ""en"", ""bn"")"),"খ) সীমানা ত্যাগ")</f>
        <v>খ) সীমানা ত্যাগ</v>
      </c>
      <c r="M70" s="4" t="str">
        <f>IFERROR(__xludf.DUMMYFUNCTION("GOOGLETRANSLATE(E70, ""en"", ""bn"")"),"নির্ধারিত মাঠ ত্যাগকারী দৌড়বিদদের তাৎক্ষণিকভাবে অযোগ্য ঘোষণা করা হবে।")</f>
        <v>নির্ধারিত মাঠ ত্যাগকারী দৌড়বিদদের তাৎক্ষণিকভাবে অযোগ্য ঘোষণা করা হবে।</v>
      </c>
    </row>
    <row r="71">
      <c r="A71" s="3">
        <v>70.0</v>
      </c>
      <c r="B71" s="3" t="s">
        <v>1229</v>
      </c>
      <c r="C71" s="3" t="s">
        <v>1230</v>
      </c>
      <c r="D71" s="3" t="s">
        <v>1231</v>
      </c>
      <c r="E71" s="3" t="s">
        <v>1232</v>
      </c>
      <c r="I71" s="4" t="str">
        <f>IFERROR(__xludf.DUMMYFUNCTION("GOOGLETRANSLATE(A71, ""en"", ""bn"")"),"৭০")</f>
        <v>৭০</v>
      </c>
      <c r="J71" s="4" t="str">
        <f>IFERROR(__xludf.DUMMYFUNCTION("GOOGLETRANSLATE(B71, ""en"", ""bn"")"),"প্রতিটি রাউন্ডের পর দল পরিবর্তনের ক্ষেত্রে কীভাবে ন্যায্যতা নিশ্চিত করা হয়?")</f>
        <v>প্রতিটি রাউন্ডের পর দল পরিবর্তনের ক্ষেত্রে কীভাবে ন্যায্যতা নিশ্চিত করা হয়?</v>
      </c>
      <c r="K71" s="4" t="str">
        <f>IFERROR(__xludf.DUMMYFUNCTION("GOOGLETRANSLATE(C71, ""en"", ""bn"")"),"ক) মুদ্রা টস, খ) রেফারির ডাক, গ) স্বয়ংক্রিয় ভূমিকা বিপরীতকরণ, ঘ) বোনাস পয়েন্ট")</f>
        <v>ক) মুদ্রা টস, খ) রেফারির ডাক, গ) স্বয়ংক্রিয় ভূমিকা বিপরীতকরণ, ঘ) বোনাস পয়েন্ট</v>
      </c>
      <c r="L71" s="4" t="str">
        <f>IFERROR(__xludf.DUMMYFUNCTION("GOOGLETRANSLATE(D71, ""en"", ""bn"")"),"গ) স্বয়ংক্রিয় ভূমিকা বিপরীতকরণ")</f>
        <v>গ) স্বয়ংক্রিয় ভূমিকা বিপরীতকরণ</v>
      </c>
      <c r="M71" s="4" t="str">
        <f>IFERROR(__xludf.DUMMYFUNCTION("GOOGLETRANSLATE(E71, ""en"", ""bn"")"),"প্রতিটি রাউন্ডের পর দলগুলি স্বয়ংক্রিয়ভাবে ভূমিকা পরিবর্তন করে, যাতে ন্যায্যতা নিশ্চিত করা যায়।")</f>
        <v>প্রতিটি রাউন্ডের পর দলগুলি স্বয়ংক্রিয়ভাবে ভূমিকা পরিবর্তন করে, যাতে ন্যায্যতা নিশ্চিত করা যায়।</v>
      </c>
    </row>
    <row r="72">
      <c r="A72" s="3">
        <v>71.0</v>
      </c>
      <c r="B72" s="3" t="s">
        <v>1233</v>
      </c>
      <c r="C72" s="3" t="s">
        <v>1234</v>
      </c>
      <c r="D72" s="3" t="s">
        <v>1235</v>
      </c>
      <c r="E72" s="3" t="s">
        <v>1236</v>
      </c>
      <c r="I72" s="4" t="str">
        <f>IFERROR(__xludf.DUMMYFUNCTION("GOOGLETRANSLATE(A72, ""en"", ""bn"")"),"৭১")</f>
        <v>৭১</v>
      </c>
      <c r="J72" s="4" t="str">
        <f>IFERROR(__xludf.DUMMYFUNCTION("GOOGLETRANSLATE(B72, ""en"", ""bn"")"),"""গোল্লা চুট"" ছবিতে, একজন বিকল্প খেলোয়াড়ের উদ্দেশ্য কী?")</f>
        <v>"গোল্লা চুট" ছবিতে, একজন বিকল্প খেলোয়াড়ের উদ্দেশ্য কী?</v>
      </c>
      <c r="K72" s="4" t="str">
        <f>IFERROR(__xludf.DUMMYFUNCTION("GOOGLETRANSLATE(C72, ""en"", ""bn"")"),"ক) স্কোর ধরে রাখুন, খ) ক্লান্ত খেলোয়াড়দের প্রতিস্থাপন করুন, গ) রেফারি হিসেবে কাজ করুন, ঘ) প্রতিপক্ষকে বিভ্রান্ত করুন")</f>
        <v>ক) স্কোর ধরে রাখুন, খ) ক্লান্ত খেলোয়াড়দের প্রতিস্থাপন করুন, গ) রেফারি হিসেবে কাজ করুন, ঘ) প্রতিপক্ষকে বিভ্রান্ত করুন</v>
      </c>
      <c r="L72" s="4" t="str">
        <f>IFERROR(__xludf.DUMMYFUNCTION("GOOGLETRANSLATE(D72, ""en"", ""bn"")"),"খ) ক্লান্ত খেলোয়াড়দের প্রতিস্থাপন করুন")</f>
        <v>খ) ক্লান্ত খেলোয়াড়দের প্রতিস্থাপন করুন</v>
      </c>
      <c r="M72" s="4" t="str">
        <f>IFERROR(__xludf.DUMMYFUNCTION("GOOGLETRANSLATE(E72, ""en"", ""bn"")"),"খেলা চালিয়ে যাওয়ার জন্য ক্লান্ত বা আহত খেলোয়াড়দের পরিবর্তে বদলি খেলোয়াড়রা খেলায় নামায়।")</f>
        <v>খেলা চালিয়ে যাওয়ার জন্য ক্লান্ত বা আহত খেলোয়াড়দের পরিবর্তে বদলি খেলোয়াড়রা খেলায় নামায়।</v>
      </c>
    </row>
    <row r="73">
      <c r="A73" s="3">
        <v>72.0</v>
      </c>
      <c r="B73" s="3" t="s">
        <v>1237</v>
      </c>
      <c r="C73" s="3" t="s">
        <v>1238</v>
      </c>
      <c r="D73" s="3" t="s">
        <v>1239</v>
      </c>
      <c r="E73" s="3" t="s">
        <v>1240</v>
      </c>
      <c r="I73" s="4" t="str">
        <f>IFERROR(__xludf.DUMMYFUNCTION("GOOGLETRANSLATE(A73, ""en"", ""bn"")"),"৭২")</f>
        <v>৭২</v>
      </c>
      <c r="J73" s="4" t="str">
        <f>IFERROR(__xludf.DUMMYFUNCTION("GOOGLETRANSLATE(B73, ""en"", ""bn"")"),"ট্যাগ হওয়ার পর যদি কোনও খেলোয়াড় চুটে প্রবেশ করে, তাহলে তার নিয়ম কী?")</f>
        <v>ট্যাগ হওয়ার পর যদি কোনও খেলোয়াড় চুটে প্রবেশ করে, তাহলে তার নিয়ম কী?</v>
      </c>
      <c r="K73" s="4" t="str">
        <f>IFERROR(__xludf.DUMMYFUNCTION("GOOGLETRANSLATE(C73, ""en"", ""bn"")"),"ক) এখনও নিরাপদ, খ) বাদ, গ) দলের স্কোর, ঘ) রাউন্ড রিসেট")</f>
        <v>ক) এখনও নিরাপদ, খ) বাদ, গ) দলের স্কোর, ঘ) রাউন্ড রিসেট</v>
      </c>
      <c r="L73" s="4" t="str">
        <f>IFERROR(__xludf.DUMMYFUNCTION("GOOGLETRANSLATE(D73, ""en"", ""bn"")"),"খ) বাদ দেওয়া হয়েছে")</f>
        <v>খ) বাদ দেওয়া হয়েছে</v>
      </c>
      <c r="M73" s="4" t="str">
        <f>IFERROR(__xludf.DUMMYFUNCTION("GOOGLETRANSLATE(E73, ""en"", ""bn"")"),"একবার ট্যাগ হওয়ার পর, একজন খেলোয়াড় চুট এন্ট্রি করে এলিমিনেশন এড়াতে পারবেন না।")</f>
        <v>একবার ট্যাগ হওয়ার পর, একজন খেলোয়াড় চুট এন্ট্রি করে এলিমিনেশন এড়াতে পারবেন না।</v>
      </c>
    </row>
    <row r="74">
      <c r="A74" s="3">
        <v>73.0</v>
      </c>
      <c r="B74" s="3" t="s">
        <v>1241</v>
      </c>
      <c r="C74" s="3" t="s">
        <v>1242</v>
      </c>
      <c r="D74" s="3" t="s">
        <v>1243</v>
      </c>
      <c r="E74" s="3" t="s">
        <v>1244</v>
      </c>
      <c r="I74" s="4" t="str">
        <f>IFERROR(__xludf.DUMMYFUNCTION("GOOGLETRANSLATE(A74, ""en"", ""bn"")"),"৭৩")</f>
        <v>৭৩</v>
      </c>
      <c r="J74" s="4" t="str">
        <f>IFERROR(__xludf.DUMMYFUNCTION("GOOGLETRANSLATE(B74, ""en"", ""bn"")"),"গোল্লা চুটে ফাঁকি দেওয়ার জন্য কোন দক্ষতা সবচেয়ে কার্যকর?")</f>
        <v>গোল্লা চুটে ফাঁকি দেওয়ার জন্য কোন দক্ষতা সবচেয়ে কার্যকর?</v>
      </c>
      <c r="K74" s="4" t="str">
        <f>IFERROR(__xludf.DUMMYFUNCTION("GOOGLETRANSLATE(C74, ""en"", ""bn"")"),"ক) শক্তি, খ) প্রতিফলন, গ) লাফানোর উচ্চতা, ঘ) কণ্ঠস্বর")</f>
        <v>ক) শক্তি, খ) প্রতিফলন, গ) লাফানোর উচ্চতা, ঘ) কণ্ঠস্বর</v>
      </c>
      <c r="L74" s="4" t="str">
        <f>IFERROR(__xludf.DUMMYFUNCTION("GOOGLETRANSLATE(D74, ""en"", ""bn"")"),"খ) প্রতিফলন")</f>
        <v>খ) প্রতিফলন</v>
      </c>
      <c r="M74" s="4" t="str">
        <f>IFERROR(__xludf.DUMMYFUNCTION("GOOGLETRANSLATE(E74, ""en"", ""bn"")"),"দ্রুত প্রতিচ্ছবি খেলোয়াড়দের হঠাৎ ট্যাগ করার প্রচেষ্টা এড়াতে সাহায্য করে।")</f>
        <v>দ্রুত প্রতিচ্ছবি খেলোয়াড়দের হঠাৎ ট্যাগ করার প্রচেষ্টা এড়াতে সাহায্য করে।</v>
      </c>
    </row>
    <row r="75">
      <c r="A75" s="3">
        <v>74.0</v>
      </c>
      <c r="B75" s="3" t="s">
        <v>1245</v>
      </c>
      <c r="C75" s="3" t="s">
        <v>1246</v>
      </c>
      <c r="D75" s="3" t="s">
        <v>1247</v>
      </c>
      <c r="E75" s="3" t="s">
        <v>1248</v>
      </c>
      <c r="I75" s="4" t="str">
        <f>IFERROR(__xludf.DUMMYFUNCTION("GOOGLETRANSLATE(A75, ""en"", ""bn"")"),"৭৪")</f>
        <v>৭৪</v>
      </c>
      <c r="J75" s="4" t="str">
        <f>IFERROR(__xludf.DUMMYFUNCTION("GOOGLETRANSLATE(B75, ""en"", ""bn"")"),"গোল্লা চুটে প্রতারণা কীভাবে রোধ করা হয়?")</f>
        <v>গোল্লা চুটে প্রতারণা কীভাবে রোধ করা হয়?</v>
      </c>
      <c r="K75" s="4" t="str">
        <f>IFERROR(__xludf.DUMMYFUNCTION("GOOGLETRANSLATE(C75, ""en"", ""bn"")"),"ক) অধিনায়করা দেখেন, খ) রেফারি নিয়ম প্রয়োগ করেন, গ) প্রতিপক্ষরা ট্র্যাক করেন, ঘ) বিচারকদের ভিড়")</f>
        <v>ক) অধিনায়করা দেখেন, খ) রেফারি নিয়ম প্রয়োগ করেন, গ) প্রতিপক্ষরা ট্র্যাক করেন, ঘ) বিচারকদের ভিড়</v>
      </c>
      <c r="L75" s="4" t="str">
        <f>IFERROR(__xludf.DUMMYFUNCTION("GOOGLETRANSLATE(D75, ""en"", ""bn"")"),"খ) রেফারি নিয়ম প্রয়োগ করেন")</f>
        <v>খ) রেফারি নিয়ম প্রয়োগ করেন</v>
      </c>
      <c r="M75" s="4" t="str">
        <f>IFERROR(__xludf.DUMMYFUNCTION("GOOGLETRANSLATE(E75, ""en"", ""bn"")"),"রেফারিরা খেলা চলাকালীন ন্যায্যতা নিশ্চিত করেন এবং জালিয়াতি রোধ করেন।")</f>
        <v>রেফারিরা খেলা চলাকালীন ন্যায্যতা নিশ্চিত করেন এবং জালিয়াতি রোধ করেন।</v>
      </c>
    </row>
    <row r="76">
      <c r="A76" s="3">
        <v>75.0</v>
      </c>
      <c r="B76" s="3" t="s">
        <v>1249</v>
      </c>
      <c r="C76" s="3" t="s">
        <v>1250</v>
      </c>
      <c r="D76" s="3" t="s">
        <v>1251</v>
      </c>
      <c r="E76" s="3" t="s">
        <v>1252</v>
      </c>
      <c r="I76" s="4" t="str">
        <f>IFERROR(__xludf.DUMMYFUNCTION("GOOGLETRANSLATE(A76, ""en"", ""bn"")"),"৭৫")</f>
        <v>৭৫</v>
      </c>
      <c r="J76" s="4" t="str">
        <f>IFERROR(__xludf.DUMMYFUNCTION("GOOGLETRANSLATE(B76, ""en"", ""bn"")"),"গোল্লা চুটে, চুট এবং সীমানার মধ্যে সর্বনিম্ন নিরাপদ দূরত্ব কত?")</f>
        <v>গোল্লা চুটে, চুট এবং সীমানার মধ্যে সর্বনিম্ন নিরাপদ দূরত্ব কত?</v>
      </c>
      <c r="K76" s="4" t="str">
        <f>IFERROR(__xludf.DUMMYFUNCTION("GOOGLETRANSLATE(C76, ""en"", ""bn"")"),"ক) ৫ ফুট, খ) ১০ ফুট, গ) ১৫ ফুট, ঘ) ২০ ফুট")</f>
        <v>ক) ৫ ফুট, খ) ১০ ফুট, গ) ১৫ ফুট, ঘ) ২০ ফুট</v>
      </c>
      <c r="L76" s="4" t="str">
        <f>IFERROR(__xludf.DUMMYFUNCTION("GOOGLETRANSLATE(D76, ""en"", ""bn"")"),"খ) ১০ ফুট")</f>
        <v>খ) ১০ ফুট</v>
      </c>
      <c r="M76" s="4" t="str">
        <f>IFERROR(__xludf.DUMMYFUNCTION("GOOGLETRANSLATE(E76, ""en"", ""bn"")"),"খেলা মসৃণভাবে খেলার জন্য সাধারণত কমপক্ষে ১০ ফুট ব্যবধান বজায় রাখা হয়।")</f>
        <v>খেলা মসৃণভাবে খেলার জন্য সাধারণত কমপক্ষে ১০ ফুট ব্যবধান বজায় রাখা হয়।</v>
      </c>
    </row>
    <row r="77">
      <c r="A77" s="3">
        <v>76.0</v>
      </c>
      <c r="B77" s="3" t="s">
        <v>1253</v>
      </c>
      <c r="C77" s="3" t="s">
        <v>1254</v>
      </c>
      <c r="D77" s="3" t="s">
        <v>1255</v>
      </c>
      <c r="E77" s="3" t="s">
        <v>1256</v>
      </c>
      <c r="I77" s="4" t="str">
        <f>IFERROR(__xludf.DUMMYFUNCTION("GOOGLETRANSLATE(A77, ""en"", ""bn"")"),"৭৬")</f>
        <v>৭৬</v>
      </c>
      <c r="J77" s="4" t="str">
        <f>IFERROR(__xludf.DUMMYFUNCTION("GOOGLETRANSLATE(B77, ""en"", ""bn"")"),"যদি কোন খেলোয়াড় গোল না করেই আবার চুটে প্রবেশ করে তাহলে কী হবে?")</f>
        <v>যদি কোন খেলোয়াড় গোল না করেই আবার চুটে প্রবেশ করে তাহলে কী হবে?</v>
      </c>
      <c r="K77" s="4" t="str">
        <f>IFERROR(__xludf.DUMMYFUNCTION("GOOGLETRANSLATE(C77, ""en"", ""bn"")"),"ক) কোন প্রভাব নেই, খ) বাদ দেওয়া হয়েছে, গ) সতর্কীকরণ, ঘ) বোনাস সুযোগ")</f>
        <v>ক) কোন প্রভাব নেই, খ) বাদ দেওয়া হয়েছে, গ) সতর্কীকরণ, ঘ) বোনাস সুযোগ</v>
      </c>
      <c r="L77" s="4" t="str">
        <f>IFERROR(__xludf.DUMMYFUNCTION("GOOGLETRANSLATE(D77, ""en"", ""bn"")"),"ক) কোন প্রভাব নেই")</f>
        <v>ক) কোন প্রভাব নেই</v>
      </c>
      <c r="M77" s="4" t="str">
        <f>IFERROR(__xludf.DUMMYFUNCTION("GOOGLETRANSLATE(E77, ""en"", ""bn"")"),"গোল না করে আবার চুটে প্রবেশ করার অর্থ হল খেলোয়াড় নিরাপদ, কোনও পয়েন্ট যোগ করা হয়নি।")</f>
        <v>গোল না করে আবার চুটে প্রবেশ করার অর্থ হল খেলোয়াড় নিরাপদ, কোনও পয়েন্ট যোগ করা হয়নি।</v>
      </c>
    </row>
    <row r="78">
      <c r="A78" s="3">
        <v>77.0</v>
      </c>
      <c r="B78" s="3" t="s">
        <v>1257</v>
      </c>
      <c r="C78" s="3" t="s">
        <v>1258</v>
      </c>
      <c r="D78" s="3" t="s">
        <v>1259</v>
      </c>
      <c r="E78" s="3" t="s">
        <v>1260</v>
      </c>
      <c r="I78" s="4" t="str">
        <f>IFERROR(__xludf.DUMMYFUNCTION("GOOGLETRANSLATE(A78, ""en"", ""bn"")"),"৭৭")</f>
        <v>৭৭</v>
      </c>
      <c r="J78" s="4" t="str">
        <f>IFERROR(__xludf.DUMMYFUNCTION("GOOGLETRANSLATE(B78, ""en"", ""bn"")"),"দৌড়বিদদের জন্য এর মধ্যে কোনটি অনুমোদিত নয়?")</f>
        <v>দৌড়বিদদের জন্য এর মধ্যে কোনটি অনুমোদিত নয়?</v>
      </c>
      <c r="K78" s="4" t="str">
        <f>IFERROR(__xludf.DUMMYFUNCTION("GOOGLETRANSLATE(C78, ""en"", ""bn"")"),"ক) জিগ-জ্যাগ দৌড়ানো, খ) চুটে থাকা, গ) সীমানা পেরিয়ে যাওয়া, ঘ) দলের সমন্বয়")</f>
        <v>ক) জিগ-জ্যাগ দৌড়ানো, খ) চুটে থাকা, গ) সীমানা পেরিয়ে যাওয়া, ঘ) দলের সমন্বয়</v>
      </c>
      <c r="L78" s="4" t="str">
        <f>IFERROR(__xludf.DUMMYFUNCTION("GOOGLETRANSLATE(D78, ""en"", ""bn"")"),"গ) সীমানা থেকে বেরিয়ে আসা")</f>
        <v>গ) সীমানা থেকে বেরিয়ে আসা</v>
      </c>
      <c r="M78" s="4" t="str">
        <f>IFERROR(__xludf.DUMMYFUNCTION("GOOGLETRANSLATE(E78, ""en"", ""bn"")"),"দৌড়বিদরা খেলার সীমানা অতিক্রম করতে পারে না; এর ফলে বাদ পড়তে হয়।")</f>
        <v>দৌড়বিদরা খেলার সীমানা অতিক্রম করতে পারে না; এর ফলে বাদ পড়তে হয়।</v>
      </c>
    </row>
    <row r="79">
      <c r="A79" s="3">
        <v>78.0</v>
      </c>
      <c r="B79" s="3" t="s">
        <v>1261</v>
      </c>
      <c r="C79" s="3" t="s">
        <v>1262</v>
      </c>
      <c r="D79" s="3" t="s">
        <v>1263</v>
      </c>
      <c r="E79" s="3" t="s">
        <v>1264</v>
      </c>
      <c r="I79" s="4" t="str">
        <f>IFERROR(__xludf.DUMMYFUNCTION("GOOGLETRANSLATE(A79, ""en"", ""bn"")"),"৭৮")</f>
        <v>৭৮</v>
      </c>
      <c r="J79" s="4" t="str">
        <f>IFERROR(__xludf.DUMMYFUNCTION("GOOGLETRANSLATE(B79, ""en"", ""bn"")"),"গোল্লা চুট ম্যাচগুলিতে আবহাওয়ার প্রভাব কীভাবে পড়ে?")</f>
        <v>গোল্লা চুট ম্যাচগুলিতে আবহাওয়ার প্রভাব কীভাবে পড়ে?</v>
      </c>
      <c r="K79" s="4" t="str">
        <f>IFERROR(__xludf.DUMMYFUNCTION("GOOGLETRANSLATE(C79, ""en"", ""bn"")"),"ক) ভারী বৃষ্টি হলে বাতিল, খ) ঘরের ভেতরে খেলা, গ) নির্বিশেষে অব্যাহত, ঘ) বর্ধিত রাউন্ড")</f>
        <v>ক) ভারী বৃষ্টি হলে বাতিল, খ) ঘরের ভেতরে খেলা, গ) নির্বিশেষে অব্যাহত, ঘ) বর্ধিত রাউন্ড</v>
      </c>
      <c r="L79" s="4" t="str">
        <f>IFERROR(__xludf.DUMMYFUNCTION("GOOGLETRANSLATE(D79, ""en"", ""bn"")"),"ক) ভারী বৃষ্টি হলে বাতিল করা হয়")</f>
        <v>ক) ভারী বৃষ্টি হলে বাতিল করা হয়</v>
      </c>
      <c r="M79" s="4" t="str">
        <f>IFERROR(__xludf.DUMMYFUNCTION("GOOGLETRANSLATE(E79, ""en"", ""bn"")"),"সাধারণত ভারী বৃষ্টিতে বাইরের গোল্লা চাট খেলা বাতিল বা স্থগিত করা হয়।")</f>
        <v>সাধারণত ভারী বৃষ্টিতে বাইরের গোল্লা চাট খেলা বাতিল বা স্থগিত করা হয়।</v>
      </c>
    </row>
    <row r="80">
      <c r="A80" s="3">
        <v>79.0</v>
      </c>
      <c r="B80" s="3" t="s">
        <v>1265</v>
      </c>
      <c r="C80" s="3" t="s">
        <v>1266</v>
      </c>
      <c r="D80" s="3" t="s">
        <v>1267</v>
      </c>
      <c r="E80" s="3" t="s">
        <v>1268</v>
      </c>
      <c r="I80" s="4" t="str">
        <f>IFERROR(__xludf.DUMMYFUNCTION("GOOGLETRANSLATE(A80, ""en"", ""bn"")"),"৭৯")</f>
        <v>৭৯</v>
      </c>
      <c r="J80" s="4" t="str">
        <f>IFERROR(__xludf.DUMMYFUNCTION("GOOGLETRANSLATE(B80, ""en"", ""bn"")"),"গোল্লা চুট ম্যাচগুলিতে টাইমকিপারের ভূমিকা কী?")</f>
        <v>গোল্লা চুট ম্যাচগুলিতে টাইমকিপারের ভূমিকা কী?</v>
      </c>
      <c r="K80" s="4" t="str">
        <f>IFERROR(__xludf.DUMMYFUNCTION("GOOGLETRANSLATE(C80, ""en"", ""bn"")"),"ক) ট্র্যাক স্কোর, খ) ট্র্যাক রাউন্ড লেন্থ, গ) ট্যাগ প্লেয়ার, ঘ) কল ফাউল")</f>
        <v>ক) ট্র্যাক স্কোর, খ) ট্র্যাক রাউন্ড লেন্থ, গ) ট্যাগ প্লেয়ার, ঘ) কল ফাউল</v>
      </c>
      <c r="L80" s="4" t="str">
        <f>IFERROR(__xludf.DUMMYFUNCTION("GOOGLETRANSLATE(D80, ""en"", ""bn"")"),"খ) ট্র্যাকের বৃত্তাকার দৈর্ঘ্য")</f>
        <v>খ) ট্র্যাকের বৃত্তাকার দৈর্ঘ্য</v>
      </c>
      <c r="M80" s="4" t="str">
        <f>IFERROR(__xludf.DUMMYFUNCTION("GOOGLETRANSLATE(E80, ""en"", ""bn"")"),"টাইমকিপার নিশ্চিত করে যে রাউন্ডগুলি সম্মত দৈর্ঘ্যের বেশি না হয়।")</f>
        <v>টাইমকিপার নিশ্চিত করে যে রাউন্ডগুলি সম্মত দৈর্ঘ্যের বেশি না হয়।</v>
      </c>
    </row>
    <row r="81">
      <c r="A81" s="3">
        <v>80.0</v>
      </c>
      <c r="B81" s="3" t="s">
        <v>1269</v>
      </c>
      <c r="C81" s="3" t="s">
        <v>1270</v>
      </c>
      <c r="D81" s="3" t="s">
        <v>1271</v>
      </c>
      <c r="E81" s="3" t="s">
        <v>1272</v>
      </c>
      <c r="I81" s="4" t="str">
        <f>IFERROR(__xludf.DUMMYFUNCTION("GOOGLETRANSLATE(A81, ""en"", ""bn"")"),"৮০")</f>
        <v>৮০</v>
      </c>
      <c r="J81" s="4" t="str">
        <f>IFERROR(__xludf.DUMMYFUNCTION("GOOGLETRANSLATE(B81, ""en"", ""bn"")"),"দৌড়বিদদের জন্য দলগত সমন্বয়ের সুবিধা কী?")</f>
        <v>দৌড়বিদদের জন্য দলগত সমন্বয়ের সুবিধা কী?</v>
      </c>
      <c r="K81" s="4" t="str">
        <f>IFERROR(__xludf.DUMMYFUNCTION("GOOGLETRANSLATE(C81, ""en"", ""bn"")"),"ক) রেফারিকে বিভ্রান্ত করে, খ) তাড়াকারীদের বিভ্রান্ত করে, গ) গোলের সম্ভাবনা উন্নত করে, ঘ) রাউন্ড প্রসারিত করে")</f>
        <v>ক) রেফারিকে বিভ্রান্ত করে, খ) তাড়াকারীদের বিভ্রান্ত করে, গ) গোলের সম্ভাবনা উন্নত করে, ঘ) রাউন্ড প্রসারিত করে</v>
      </c>
      <c r="L81" s="4" t="str">
        <f>IFERROR(__xludf.DUMMYFUNCTION("GOOGLETRANSLATE(D81, ""en"", ""bn"")"),"গ) গোলের সম্ভাবনা উন্নত করে")</f>
        <v>গ) গোলের সম্ভাবনা উন্নত করে</v>
      </c>
      <c r="M81" s="4" t="str">
        <f>IFERROR(__xludf.DUMMYFUNCTION("GOOGLETRANSLATE(E81, ""en"", ""bn"")"),"দৌড়বিদরা একসাথে সমন্বয় করলে নিরাপদে চুটে পৌঁছানোর সম্ভাবনা বৃদ্ধি পায়।")</f>
        <v>দৌড়বিদরা একসাথে সমন্বয় করলে নিরাপদে চুটে পৌঁছানোর সম্ভাবনা বৃদ্ধি পায়।</v>
      </c>
    </row>
    <row r="82">
      <c r="A82" s="3">
        <v>81.0</v>
      </c>
      <c r="B82" s="3" t="s">
        <v>1273</v>
      </c>
      <c r="C82" s="3" t="s">
        <v>1274</v>
      </c>
      <c r="D82" s="3" t="s">
        <v>1275</v>
      </c>
      <c r="E82" s="3" t="s">
        <v>1276</v>
      </c>
      <c r="I82" s="4" t="str">
        <f>IFERROR(__xludf.DUMMYFUNCTION("GOOGLETRANSLATE(A82, ""en"", ""bn"")"),"৮১")</f>
        <v>৮১</v>
      </c>
      <c r="J82" s="4" t="str">
        <f>IFERROR(__xludf.DUMMYFUNCTION("GOOGLETRANSLATE(B82, ""en"", ""bn"")"),"যদি একজন ধাওয়াকারী চাটের ভেতরে একজন দৌড়বিদকে ট্যাগ করে তাহলে কী হবে?")</f>
        <v>যদি একজন ধাওয়াকারী চাটের ভেতরে একজন দৌড়বিদকে ট্যাগ করে তাহলে কী হবে?</v>
      </c>
      <c r="K82" s="4" t="str">
        <f>IFERROR(__xludf.DUMMYFUNCTION("GOOGLETRANSLATE(C82, ""en"", ""bn"")"),"ক) রানার নিরাপদ, খ) রানার বাইরে, গ) রাউন্ড রিস্টার্ট, ঘ) উভয়ই বাইরে")</f>
        <v>ক) রানার নিরাপদ, খ) রানার বাইরে, গ) রাউন্ড রিস্টার্ট, ঘ) উভয়ই বাইরে</v>
      </c>
      <c r="L82" s="4" t="str">
        <f>IFERROR(__xludf.DUMMYFUNCTION("GOOGLETRANSLATE(D82, ""en"", ""bn"")"),"ক) দৌড়বিদ নিরাপদ")</f>
        <v>ক) দৌড়বিদ নিরাপদ</v>
      </c>
      <c r="M82" s="4" t="str">
        <f>IFERROR(__xludf.DUMMYFUNCTION("GOOGLETRANSLATE(E82, ""en"", ""bn"")"),"দৌড়বিদদের চটের ভেতরে ট্যাগ করা যাবে না কারণ এটি একটি নিরাপদ অঞ্চল।")</f>
        <v>দৌড়বিদদের চটের ভেতরে ট্যাগ করা যাবে না কারণ এটি একটি নিরাপদ অঞ্চল।</v>
      </c>
    </row>
    <row r="83">
      <c r="A83" s="3">
        <v>82.0</v>
      </c>
      <c r="B83" s="3" t="s">
        <v>1277</v>
      </c>
      <c r="C83" s="3" t="s">
        <v>1278</v>
      </c>
      <c r="D83" s="3" t="s">
        <v>1279</v>
      </c>
      <c r="E83" s="3" t="s">
        <v>1280</v>
      </c>
      <c r="I83" s="4" t="str">
        <f>IFERROR(__xludf.DUMMYFUNCTION("GOOGLETRANSLATE(A83, ""en"", ""bn"")"),"৮২")</f>
        <v>৮২</v>
      </c>
      <c r="J83" s="4" t="str">
        <f>IFERROR(__xludf.DUMMYFUNCTION("GOOGLETRANSLATE(B83, ""en"", ""bn"")"),"প্রথম রাউন্ডের চেজার দল কীভাবে নির্বাচিত হয়?")</f>
        <v>প্রথম রাউন্ডের চেজার দল কীভাবে নির্বাচিত হয়?</v>
      </c>
      <c r="K83" s="4" t="str">
        <f>IFERROR(__xludf.DUMMYFUNCTION("GOOGLETRANSLATE(C83, ""en"", ""bn"")"),"ক) মুদ্রা টস, খ) রেফারির সিদ্ধান্ত, গ) অধিনায়কের পছন্দ, ঘ) স্বেচ্ছাসেবক")</f>
        <v>ক) মুদ্রা টস, খ) রেফারির সিদ্ধান্ত, গ) অধিনায়কের পছন্দ, ঘ) স্বেচ্ছাসেবক</v>
      </c>
      <c r="L83" s="4" t="str">
        <f>IFERROR(__xludf.DUMMYFUNCTION("GOOGLETRANSLATE(D83, ""en"", ""bn"")"),"ক) মুদ্রা টস")</f>
        <v>ক) মুদ্রা টস</v>
      </c>
      <c r="M83" s="4" t="str">
        <f>IFERROR(__xludf.DUMMYFUNCTION("GOOGLETRANSLATE(E83, ""en"", ""bn"")"),"প্রাথমিকভাবে তাড়া করা দলটি মুদ্রা টসের মাধ্যমে নির্বাচিত হয়।")</f>
        <v>প্রাথমিকভাবে তাড়া করা দলটি মুদ্রা টসের মাধ্যমে নির্বাচিত হয়।</v>
      </c>
    </row>
    <row r="84">
      <c r="A84" s="3">
        <v>83.0</v>
      </c>
      <c r="B84" s="3" t="s">
        <v>1281</v>
      </c>
      <c r="C84" s="3" t="s">
        <v>1282</v>
      </c>
      <c r="D84" s="3" t="s">
        <v>1283</v>
      </c>
      <c r="E84" s="3" t="s">
        <v>1284</v>
      </c>
      <c r="I84" s="4" t="str">
        <f>IFERROR(__xludf.DUMMYFUNCTION("GOOGLETRANSLATE(A84, ""en"", ""bn"")"),"৮৩")</f>
        <v>৮৩</v>
      </c>
      <c r="J84" s="4" t="str">
        <f>IFERROR(__xludf.DUMMYFUNCTION("GOOGLETRANSLATE(B84, ""en"", ""bn"")"),"যদি উভয় দলই প্রথমে তাড়া করতে অস্বীকৃতি জানায় তাহলে কী হবে?")</f>
        <v>যদি উভয় দলই প্রথমে তাড়া করতে অস্বীকৃতি জানায় তাহলে কী হবে?</v>
      </c>
      <c r="K84" s="4" t="str">
        <f>IFERROR(__xludf.DUMMYFUNCTION("GOOGLETRANSLATE(C84, ""en"", ""bn"")"),"ক) রাউন্ড বাতিল, খ) কয়েন টস, গ) খেলা নেই, ঘ) র‍্যান্ডম পিক")</f>
        <v>ক) রাউন্ড বাতিল, খ) কয়েন টস, গ) খেলা নেই, ঘ) র‍্যান্ডম পিক</v>
      </c>
      <c r="L84" s="4" t="str">
        <f>IFERROR(__xludf.DUMMYFUNCTION("GOOGLETRANSLATE(D84, ""en"", ""bn"")"),"খ) মুদ্রা টস")</f>
        <v>খ) মুদ্রা টস</v>
      </c>
      <c r="M84" s="4" t="str">
        <f>IFERROR(__xludf.DUMMYFUNCTION("GOOGLETRANSLATE(E84, ""en"", ""bn"")"),"যদি কোন দলই তাড়া করতে রাজি না হয়, তাহলে মুদ্রা টস করে সিদ্ধান্ত নেওয়া হবে।")</f>
        <v>যদি কোন দলই তাড়া করতে রাজি না হয়, তাহলে মুদ্রা টস করে সিদ্ধান্ত নেওয়া হবে।</v>
      </c>
    </row>
    <row r="85">
      <c r="A85" s="3">
        <v>84.0</v>
      </c>
      <c r="B85" s="3" t="s">
        <v>1285</v>
      </c>
      <c r="C85" s="3" t="s">
        <v>1286</v>
      </c>
      <c r="D85" s="3" t="s">
        <v>1287</v>
      </c>
      <c r="E85" s="3" t="s">
        <v>1288</v>
      </c>
      <c r="I85" s="4" t="str">
        <f>IFERROR(__xludf.DUMMYFUNCTION("GOOGLETRANSLATE(A85, ""en"", ""bn"")"),"৮৪")</f>
        <v>৮৪</v>
      </c>
      <c r="J85" s="4" t="str">
        <f>IFERROR(__xludf.DUMMYFUNCTION("GOOGLETRANSLATE(B85, ""en"", ""bn"")"),"একই সময়ে দুইজন দৌড়বিদকে ট্যাগ করা হলে তার বিধান কী?")</f>
        <v>একই সময়ে দুইজন দৌড়বিদকে ট্যাগ করা হলে তার বিধান কী?</v>
      </c>
      <c r="K85" s="4" t="str">
        <f>IFERROR(__xludf.DUMMYFUNCTION("GOOGLETRANSLATE(C85, ""en"", ""bn"")"),"ক) প্রথম ট্যাগ গণনা করা হয়েছে, খ) উভয়ই আউট হয়েছে, গ) রিপ্লে রাউন্ড, ঘ) কোনও ট্যাগ বৈধ নয়")</f>
        <v>ক) প্রথম ট্যাগ গণনা করা হয়েছে, খ) উভয়ই আউট হয়েছে, গ) রিপ্লে রাউন্ড, ঘ) কোনও ট্যাগ বৈধ নয়</v>
      </c>
      <c r="L85" s="4" t="str">
        <f>IFERROR(__xludf.DUMMYFUNCTION("GOOGLETRANSLATE(D85, ""en"", ""bn"")"),"খ) উভয়ই বাইরে")</f>
        <v>খ) উভয়ই বাইরে</v>
      </c>
      <c r="M85" s="4" t="str">
        <f>IFERROR(__xludf.DUMMYFUNCTION("GOOGLETRANSLATE(E85, ""en"", ""bn"")"),"যদি একজন চেজার একসাথে একাধিক দৌড়বিদকে ট্যাগ করে, তাহলে উভয়ই বাদ পড়বে।")</f>
        <v>যদি একজন চেজার একসাথে একাধিক দৌড়বিদকে ট্যাগ করে, তাহলে উভয়ই বাদ পড়বে।</v>
      </c>
    </row>
    <row r="86">
      <c r="A86" s="3">
        <v>85.0</v>
      </c>
      <c r="B86" s="3" t="s">
        <v>1289</v>
      </c>
      <c r="C86" s="3" t="s">
        <v>1290</v>
      </c>
      <c r="D86" s="3" t="s">
        <v>1119</v>
      </c>
      <c r="E86" s="3" t="s">
        <v>1291</v>
      </c>
      <c r="I86" s="4" t="str">
        <f>IFERROR(__xludf.DUMMYFUNCTION("GOOGLETRANSLATE(A86, ""en"", ""bn"")"),"৮৫")</f>
        <v>৮৫</v>
      </c>
      <c r="J86" s="4" t="str">
        <f>IFERROR(__xludf.DUMMYFUNCTION("GOOGLETRANSLATE(B86, ""en"", ""bn"")"),"যদি কোন দৌড়বিদ কেবল এক পা দিয়ে তার ছুট স্পর্শ করে, তাহলে কি তারা নিরাপদ?")</f>
        <v>যদি কোন দৌড়বিদ কেবল এক পা দিয়ে তার ছুট স্পর্শ করে, তাহলে কি তারা নিরাপদ?</v>
      </c>
      <c r="K86" s="4" t="str">
        <f>IFERROR(__xludf.DUMMYFUNCTION("GOOGLETRANSLATE(C86, ""en"", ""bn"")"),"ক) হ্যাঁ, খ) না, গ) শুধুমাত্র যদি উভয় পা স্পর্শ করে, ঘ) রেফারির উপর নির্ভর করে")</f>
        <v>ক) হ্যাঁ, খ) না, গ) শুধুমাত্র যদি উভয় পা স্পর্শ করে, ঘ) রেফারির উপর নির্ভর করে</v>
      </c>
      <c r="L86" s="4" t="str">
        <f>IFERROR(__xludf.DUMMYFUNCTION("GOOGLETRANSLATE(D86, ""en"", ""bn"")"),"ক) হ্যাঁ")</f>
        <v>ক) হ্যাঁ</v>
      </c>
      <c r="M86" s="4" t="str">
        <f>IFERROR(__xludf.DUMMYFUNCTION("GOOGLETRANSLATE(E86, ""en"", ""bn"")"),"শরীরের যেকোনো অংশ দিয়ে চুট স্পর্শ করলে দৌড়বিদ নিরাপদ থাকে।")</f>
        <v>শরীরের যেকোনো অংশ দিয়ে চুট স্পর্শ করলে দৌড়বিদ নিরাপদ থাকে।</v>
      </c>
    </row>
    <row r="87">
      <c r="A87" s="3">
        <v>86.0</v>
      </c>
      <c r="B87" s="3" t="s">
        <v>1292</v>
      </c>
      <c r="C87" s="3" t="s">
        <v>1293</v>
      </c>
      <c r="D87" s="3" t="s">
        <v>1077</v>
      </c>
      <c r="E87" s="3" t="s">
        <v>1294</v>
      </c>
      <c r="I87" s="4" t="str">
        <f>IFERROR(__xludf.DUMMYFUNCTION("GOOGLETRANSLATE(A87, ""en"", ""bn"")"),"৮৬")</f>
        <v>৮৬</v>
      </c>
      <c r="J87" s="4" t="str">
        <f>IFERROR(__xludf.DUMMYFUNCTION("GOOGLETRANSLATE(B87, ""en"", ""bn"")"),"একজন খেলোয়াড় কি রেফারির সিদ্ধান্তের সাথে তর্ক করতে পারে?")</f>
        <v>একজন খেলোয়াড় কি রেফারির সিদ্ধান্তের সাথে তর্ক করতে পারে?</v>
      </c>
      <c r="K87" s="4" t="str">
        <f>IFERROR(__xludf.DUMMYFUNCTION("GOOGLETRANSLATE(C87, ""en"", ""bn"")"),"ক) হ্যাঁ, খ) না, গ) কেবল অধিনায়ক, ঘ) খেলার পরে")</f>
        <v>ক) হ্যাঁ, খ) না, গ) কেবল অধিনায়ক, ঘ) খেলার পরে</v>
      </c>
      <c r="L87" s="4" t="str">
        <f>IFERROR(__xludf.DUMMYFUNCTION("GOOGLETRANSLATE(D87, ""en"", ""bn"")"),"খ) না")</f>
        <v>খ) না</v>
      </c>
      <c r="M87" s="4" t="str">
        <f>IFERROR(__xludf.DUMMYFUNCTION("GOOGLETRANSLATE(E87, ""en"", ""bn"")"),"খেলার সময় খেলোয়াড়দের রেফারির সিদ্ধান্তের সাথে তর্ক করার অনুমতি নেই।")</f>
        <v>খেলার সময় খেলোয়াড়দের রেফারির সিদ্ধান্তের সাথে তর্ক করার অনুমতি নেই।</v>
      </c>
    </row>
    <row r="88">
      <c r="A88" s="3">
        <v>87.0</v>
      </c>
      <c r="B88" s="3" t="s">
        <v>1295</v>
      </c>
      <c r="C88" s="3" t="s">
        <v>1296</v>
      </c>
      <c r="D88" s="3" t="s">
        <v>1297</v>
      </c>
      <c r="E88" s="3" t="s">
        <v>1298</v>
      </c>
      <c r="I88" s="4" t="str">
        <f>IFERROR(__xludf.DUMMYFUNCTION("GOOGLETRANSLATE(A88, ""en"", ""bn"")"),"৮৭")</f>
        <v>৮৭</v>
      </c>
      <c r="J88" s="4" t="str">
        <f>IFERROR(__xludf.DUMMYFUNCTION("GOOGLETRANSLATE(B88, ""en"", ""bn"")"),"যদি একজন দৌড়বিদ ইচ্ছাকৃতভাবে একজন চেজারকে ধাক্কা দেয় তাহলে কী হবে?")</f>
        <v>যদি একজন দৌড়বিদ ইচ্ছাকৃতভাবে একজন চেজারকে ধাক্কা দেয় তাহলে কী হবে?</v>
      </c>
      <c r="K88" s="4" t="str">
        <f>IFERROR(__xludf.DUMMYFUNCTION("GOOGLETRANSLATE(C88, ""en"", ""bn"")"),"ক) অনুমোদিত, খ) সতর্কতা, গ) রাউন্ডের জন্য আউট, ঘ) রাউন্ড শূন্যতা")</f>
        <v>ক) অনুমোদিত, খ) সতর্কতা, গ) রাউন্ডের জন্য আউট, ঘ) রাউন্ড শূন্যতা</v>
      </c>
      <c r="L88" s="4" t="str">
        <f>IFERROR(__xludf.DUMMYFUNCTION("GOOGLETRANSLATE(D88, ""en"", ""bn"")"),"গ) রাউন্ডের জন্য বাইরে")</f>
        <v>গ) রাউন্ডের জন্য বাইরে</v>
      </c>
      <c r="M88" s="4" t="str">
        <f>IFERROR(__xludf.DUMMYFUNCTION("GOOGLETRANSLATE(E88, ""en"", ""bn"")"),"ট্যাগিং ব্যতীত শারীরিক সংস্পর্শের ফলে নির্মূল হয়।")</f>
        <v>ট্যাগিং ব্যতীত শারীরিক সংস্পর্শের ফলে নির্মূল হয়।</v>
      </c>
    </row>
    <row r="89">
      <c r="A89" s="3">
        <v>88.0</v>
      </c>
      <c r="B89" s="3" t="s">
        <v>1299</v>
      </c>
      <c r="C89" s="3" t="s">
        <v>1300</v>
      </c>
      <c r="D89" s="3" t="s">
        <v>1077</v>
      </c>
      <c r="E89" s="3" t="s">
        <v>1301</v>
      </c>
      <c r="I89" s="4" t="str">
        <f>IFERROR(__xludf.DUMMYFUNCTION("GOOGLETRANSLATE(A89, ""en"", ""bn"")"),"৮৮")</f>
        <v>৮৮</v>
      </c>
      <c r="J89" s="4" t="str">
        <f>IFERROR(__xludf.DUMMYFUNCTION("GOOGLETRANSLATE(B89, ""en"", ""bn"")"),"ধাওয়াকারীরা কি চুটের কাছে বাধা তৈরি করতে পারে?")</f>
        <v>ধাওয়াকারীরা কি চুটের কাছে বাধা তৈরি করতে পারে?</v>
      </c>
      <c r="K89" s="4" t="str">
        <f>IFERROR(__xludf.DUMMYFUNCTION("GOOGLETRANSLATE(C89, ""en"", ""bn"")"),"ক) হ্যাঁ, খ) না, গ) শুধুমাত্র রেফারি অনুমতি দিলে, ঘ) শুধুমাত্র চূড়ান্ত রাউন্ডে")</f>
        <v>ক) হ্যাঁ, খ) না, গ) শুধুমাত্র রেফারি অনুমতি দিলে, ঘ) শুধুমাত্র চূড়ান্ত রাউন্ডে</v>
      </c>
      <c r="L89" s="4" t="str">
        <f>IFERROR(__xludf.DUMMYFUNCTION("GOOGLETRANSLATE(D89, ""en"", ""bn"")"),"খ) না")</f>
        <v>খ) না</v>
      </c>
      <c r="M89" s="4" t="str">
        <f>IFERROR(__xludf.DUMMYFUNCTION("GOOGLETRANSLATE(E89, ""en"", ""bn"")"),"ধাওয়াকারীরা সরাসরি চুট ব্লক করতে পারে না; এটি একটি ফাউল হিসাবে বিবেচিত হয়।")</f>
        <v>ধাওয়াকারীরা সরাসরি চুট ব্লক করতে পারে না; এটি একটি ফাউল হিসাবে বিবেচিত হয়।</v>
      </c>
    </row>
    <row r="90">
      <c r="A90" s="3">
        <v>89.0</v>
      </c>
      <c r="B90" s="3" t="s">
        <v>1302</v>
      </c>
      <c r="C90" s="3" t="s">
        <v>1303</v>
      </c>
      <c r="D90" s="3" t="s">
        <v>1304</v>
      </c>
      <c r="E90" s="3" t="s">
        <v>1305</v>
      </c>
      <c r="I90" s="4" t="str">
        <f>IFERROR(__xludf.DUMMYFUNCTION("GOOGLETRANSLATE(A90, ""en"", ""bn"")"),"৮৯")</f>
        <v>৮৯</v>
      </c>
      <c r="J90" s="4" t="str">
        <f>IFERROR(__xludf.DUMMYFUNCTION("GOOGLETRANSLATE(B90, ""en"", ""bn"")"),"ফাউলের ​​পর রাউন্ড পুনরায় শুরু করার নিয়ম কী?")</f>
        <v>ফাউলের ​​পর রাউন্ড পুনরায় শুরু করার নিয়ম কী?</v>
      </c>
      <c r="K90" s="4" t="str">
        <f>IFERROR(__xludf.DUMMYFUNCTION("GOOGLETRANSLATE(C90, ""en"", ""bn"")"),"ক) রাউন্ড পুনরায় শুরু, খ) প্রতিপক্ষ পয়েন্ট অর্জন করে, গ) ফাউল দল খেলোয়াড়কে হারায়, ঘ) চুট থেকে পুনরায় খেলা")</f>
        <v>ক) রাউন্ড পুনরায় শুরু, খ) প্রতিপক্ষ পয়েন্ট অর্জন করে, গ) ফাউল দল খেলোয়াড়কে হারায়, ঘ) চুট থেকে পুনরায় খেলা</v>
      </c>
      <c r="L90" s="4" t="str">
        <f>IFERROR(__xludf.DUMMYFUNCTION("GOOGLETRANSLATE(D90, ""en"", ""bn"")"),"ক) রাউন্ড রিস্টার্ট")</f>
        <v>ক) রাউন্ড রিস্টার্ট</v>
      </c>
      <c r="M90" s="4" t="str">
        <f>IFERROR(__xludf.DUMMYFUNCTION("GOOGLETRANSLATE(E90, ""en"", ""bn"")"),"একটি ফাউল সাধারণত রাউন্ড পুনরায় শুরু করার দিকে পরিচালিত করে।")</f>
        <v>একটি ফাউল সাধারণত রাউন্ড পুনরায় শুরু করার দিকে পরিচালিত করে।</v>
      </c>
    </row>
    <row r="91">
      <c r="A91" s="3">
        <v>90.0</v>
      </c>
      <c r="B91" s="3" t="s">
        <v>1306</v>
      </c>
      <c r="C91" s="3" t="s">
        <v>1307</v>
      </c>
      <c r="D91" s="3" t="s">
        <v>1308</v>
      </c>
      <c r="E91" s="3" t="s">
        <v>1309</v>
      </c>
      <c r="I91" s="4" t="str">
        <f>IFERROR(__xludf.DUMMYFUNCTION("GOOGLETRANSLATE(A91, ""en"", ""bn"")"),"৯০")</f>
        <v>৯০</v>
      </c>
      <c r="J91" s="4" t="str">
        <f>IFERROR(__xludf.DUMMYFUNCTION("GOOGLETRANSLATE(B91, ""en"", ""bn"")"),"যদি একজন দৌড়বিদ তার মুখ স্পর্শ করার সাথে সাথে তাকে ট্যাগ করা হয়, তাহলে কী হবে?")</f>
        <v>যদি একজন দৌড়বিদ তার মুখ স্পর্শ করার সাথে সাথে তাকে ট্যাগ করা হয়, তাহলে কী হবে?</v>
      </c>
      <c r="K91" s="4" t="str">
        <f>IFERROR(__xludf.DUMMYFUNCTION("GOOGLETRANSLATE(C91, ""en"", ""bn"")"),"ক) রানার আউট, খ) রানার সেফ, গ) উভয়ই আউট, ঘ) রাউন্ড রিপ্লে")</f>
        <v>ক) রানার আউট, খ) রানার সেফ, গ) উভয়ই আউট, ঘ) রাউন্ড রিপ্লে</v>
      </c>
      <c r="L91" s="4" t="str">
        <f>IFERROR(__xludf.DUMMYFUNCTION("GOOGLETRANSLATE(D91, ""en"", ""bn"")"),"খ) রানার সেফ")</f>
        <v>খ) রানার সেফ</v>
      </c>
      <c r="M91" s="4" t="str">
        <f>IFERROR(__xludf.DUMMYFUNCTION("GOOGLETRANSLATE(E91, ""en"", ""bn"")"),"প্রথমে চুট স্পর্শ করলে দৌড়বিদ নিরাপদ থাকে, এমনকি তাৎক্ষণিকভাবে ট্যাগ করা হলেও।")</f>
        <v>প্রথমে চুট স্পর্শ করলে দৌড়বিদ নিরাপদ থাকে, এমনকি তাৎক্ষণিকভাবে ট্যাগ করা হলেও।</v>
      </c>
    </row>
    <row r="92">
      <c r="A92" s="3">
        <v>91.0</v>
      </c>
      <c r="B92" s="3" t="s">
        <v>1310</v>
      </c>
      <c r="C92" s="3" t="s">
        <v>23</v>
      </c>
      <c r="D92" s="3" t="s">
        <v>24</v>
      </c>
      <c r="E92" s="3" t="s">
        <v>1311</v>
      </c>
      <c r="I92" s="4" t="str">
        <f>IFERROR(__xludf.DUMMYFUNCTION("GOOGLETRANSLATE(A92, ""en"", ""bn"")"),"৯১")</f>
        <v>৯১</v>
      </c>
      <c r="J92" s="4" t="str">
        <f>IFERROR(__xludf.DUMMYFUNCTION("GOOGLETRANSLATE(B92, ""en"", ""bn"")"),"একটি রাউন্ডের সমাপ্তির সংকেত কয়টি বাঁশি দেয়?")</f>
        <v>একটি রাউন্ডের সমাপ্তির সংকেত কয়টি বাঁশি দেয়?</v>
      </c>
      <c r="K92" s="4" t="str">
        <f>IFERROR(__xludf.DUMMYFUNCTION("GOOGLETRANSLATE(C92, ""en"", ""bn"")"),"ক) ১, খ) ২, গ) ৩, ঘ) ৪")</f>
        <v>ক) ১, খ) ২, গ) ৩, ঘ) ৪</v>
      </c>
      <c r="L92" s="4" t="str">
        <f>IFERROR(__xludf.DUMMYFUNCTION("GOOGLETRANSLATE(D92, ""en"", ""bn"")"),"খ) ২")</f>
        <v>খ) ২</v>
      </c>
      <c r="M92" s="4" t="str">
        <f>IFERROR(__xludf.DUMMYFUNCTION("GOOGLETRANSLATE(E92, ""en"", ""bn"")"),"একটি রাউন্ডের সমাপ্তি সংকেত দেওয়ার জন্য সাধারণত দুটি বাঁশি ব্যবহার করা হয়।")</f>
        <v>একটি রাউন্ডের সমাপ্তি সংকেত দেওয়ার জন্য সাধারণত দুটি বাঁশি ব্যবহার করা হয়।</v>
      </c>
    </row>
    <row r="93">
      <c r="A93" s="3">
        <v>92.0</v>
      </c>
      <c r="B93" s="3" t="s">
        <v>1312</v>
      </c>
      <c r="C93" s="3" t="s">
        <v>1313</v>
      </c>
      <c r="D93" s="3" t="s">
        <v>1314</v>
      </c>
      <c r="E93" s="3" t="s">
        <v>1315</v>
      </c>
      <c r="I93" s="4" t="str">
        <f>IFERROR(__xludf.DUMMYFUNCTION("GOOGLETRANSLATE(A93, ""en"", ""bn"")"),"৯২")</f>
        <v>৯২</v>
      </c>
      <c r="J93" s="4" t="str">
        <f>IFERROR(__xludf.DUMMYFUNCTION("GOOGLETRANSLATE(B93, ""en"", ""bn"")"),"রেফারির সংকেতের আগে যদি কোনও দল মাঠে প্রবেশ করে তবে কী হবে?")</f>
        <v>রেফারির সংকেতের আগে যদি কোনও দল মাঠে প্রবেশ করে তবে কী হবে?</v>
      </c>
      <c r="K93" s="4" t="str">
        <f>IFERROR(__xludf.DUMMYFUNCTION("GOOGLETRANSLATE(C93, ""en"", ""bn"")"),"ক) সতর্কীকরণ, খ) তাৎক্ষণিক ফাউল, গ) প্রতিপক্ষের স্কোর, ঘ) রাউন্ড বাতিল")</f>
        <v>ক) সতর্কীকরণ, খ) তাৎক্ষণিক ফাউল, গ) প্রতিপক্ষের স্কোর, ঘ) রাউন্ড বাতিল</v>
      </c>
      <c r="L93" s="4" t="str">
        <f>IFERROR(__xludf.DUMMYFUNCTION("GOOGLETRANSLATE(D93, ""en"", ""bn"")"),"খ) তাৎক্ষণিক ফাউল")</f>
        <v>খ) তাৎক্ষণিক ফাউল</v>
      </c>
      <c r="M93" s="4" t="str">
        <f>IFERROR(__xludf.DUMMYFUNCTION("GOOGLETRANSLATE(E93, ""en"", ""bn"")"),"রেফারির সংকেতের আগে প্রবেশ করলে ফাউল হিসেবে গণ্য হবে।")</f>
        <v>রেফারির সংকেতের আগে প্রবেশ করলে ফাউল হিসেবে গণ্য হবে।</v>
      </c>
    </row>
    <row r="94">
      <c r="A94" s="3">
        <v>93.0</v>
      </c>
      <c r="B94" s="3" t="s">
        <v>1316</v>
      </c>
      <c r="C94" s="3" t="s">
        <v>1317</v>
      </c>
      <c r="D94" s="3" t="s">
        <v>1318</v>
      </c>
      <c r="E94" s="3" t="s">
        <v>1319</v>
      </c>
      <c r="I94" s="4" t="str">
        <f>IFERROR(__xludf.DUMMYFUNCTION("GOOGLETRANSLATE(A94, ""en"", ""bn"")"),"৯৩")</f>
        <v>৯৩</v>
      </c>
      <c r="J94" s="4" t="str">
        <f>IFERROR(__xludf.DUMMYFUNCTION("GOOGLETRANSLATE(B94, ""en"", ""bn"")"),"যদি কোন খেলোয়াড় ট্যাগ হওয়ার ভান করে, তাহলে নিয়ম কী?")</f>
        <v>যদি কোন খেলোয়াড় ট্যাগ হওয়ার ভান করে, তাহলে নিয়ম কী?</v>
      </c>
      <c r="K94" s="4" t="str">
        <f>IFERROR(__xludf.DUMMYFUNCTION("GOOGLETRANSLATE(C94, ""en"", ""bn"")"),"ক) অনুমোদিত, খ) সতর্কতা, গ) বহিষ্কৃত হিসেবে গণ্য, ঘ) উপেক্ষা করা")</f>
        <v>ক) অনুমোদিত, খ) সতর্কতা, গ) বহিষ্কৃত হিসেবে গণ্য, ঘ) উপেক্ষা করা</v>
      </c>
      <c r="L94" s="4" t="str">
        <f>IFERROR(__xludf.DUMMYFUNCTION("GOOGLETRANSLATE(D94, ""en"", ""bn"")"),"গ) বহিষ্কৃত হিসেবে গণ্য করা হয়")</f>
        <v>গ) বহিষ্কৃত হিসেবে গণ্য করা হয়</v>
      </c>
      <c r="M94" s="4" t="str">
        <f>IFERROR(__xludf.DUMMYFUNCTION("GOOGLETRANSLATE(E94, ""en"", ""bn"")"),"ট্যাগ হওয়ার ভান করা প্রতারণা, তাই খেলোয়াড়কে সরিয়ে দেওয়া হয়।")</f>
        <v>ট্যাগ হওয়ার ভান করা প্রতারণা, তাই খেলোয়াড়কে সরিয়ে দেওয়া হয়।</v>
      </c>
    </row>
    <row r="95">
      <c r="A95" s="3">
        <v>94.0</v>
      </c>
      <c r="B95" s="3" t="s">
        <v>1320</v>
      </c>
      <c r="C95" s="3" t="s">
        <v>1321</v>
      </c>
      <c r="D95" s="3" t="s">
        <v>1322</v>
      </c>
      <c r="E95" s="3" t="s">
        <v>1323</v>
      </c>
      <c r="I95" s="4" t="str">
        <f>IFERROR(__xludf.DUMMYFUNCTION("GOOGLETRANSLATE(A95, ""en"", ""bn"")"),"৯৪")</f>
        <v>৯৪</v>
      </c>
      <c r="J95" s="4" t="str">
        <f>IFERROR(__xludf.DUMMYFUNCTION("GOOGLETRANSLATE(B95, ""en"", ""bn"")"),"একটি দল এক রাউন্ডে সর্বোচ্চ কতবার চেজার পরিবর্তন করতে পারে?")</f>
        <v>একটি দল এক রাউন্ডে সর্বোচ্চ কতবার চেজার পরিবর্তন করতে পারে?</v>
      </c>
      <c r="K95" s="4" t="str">
        <f>IFERROR(__xludf.DUMMYFUNCTION("GOOGLETRANSLATE(C95, ""en"", ""bn"")"),"ক) একবার, খ) দুবার, গ) সীমাহীন, ঘ) অনুমোদিত নয়")</f>
        <v>ক) একবার, খ) দুবার, গ) সীমাহীন, ঘ) অনুমোদিত নয়</v>
      </c>
      <c r="L95" s="4" t="str">
        <f>IFERROR(__xludf.DUMMYFUNCTION("GOOGLETRANSLATE(D95, ""en"", ""bn"")"),"গ) সীমাহীন")</f>
        <v>গ) সীমাহীন</v>
      </c>
      <c r="M95" s="4" t="str">
        <f>IFERROR(__xludf.DUMMYFUNCTION("GOOGLETRANSLATE(E95, ""en"", ""bn"")"),"দলগুলি তাদের সক্রিয় চেজার যতবার প্রয়োজন ততবার পরিবর্তন করতে পারে।")</f>
        <v>দলগুলি তাদের সক্রিয় চেজার যতবার প্রয়োজন ততবার পরিবর্তন করতে পারে।</v>
      </c>
    </row>
    <row r="96">
      <c r="A96" s="3">
        <v>95.0</v>
      </c>
      <c r="B96" s="3" t="s">
        <v>1324</v>
      </c>
      <c r="C96" s="3" t="s">
        <v>1325</v>
      </c>
      <c r="D96" s="3" t="s">
        <v>1326</v>
      </c>
      <c r="E96" s="3" t="s">
        <v>1327</v>
      </c>
      <c r="I96" s="4" t="str">
        <f>IFERROR(__xludf.DUMMYFUNCTION("GOOGLETRANSLATE(A96, ""en"", ""bn"")"),"৯৫")</f>
        <v>৯৫</v>
      </c>
      <c r="J96" s="4" t="str">
        <f>IFERROR(__xludf.DUMMYFUNCTION("GOOGLETRANSLATE(B96, ""en"", ""bn"")"),"যদি রেফারি কোনও ট্যাগ সম্পর্কে অনিশ্চিত থাকেন, তাহলে রায় কী হবে?")</f>
        <v>যদি রেফারি কোনও ট্যাগ সম্পর্কে অনিশ্চিত থাকেন, তাহলে রায় কী হবে?</v>
      </c>
      <c r="K96" s="4" t="str">
        <f>IFERROR(__xludf.DUMMYFUNCTION("GOOGLETRANSLATE(C96, ""en"", ""bn"")"),"ক) রানার সেফ, খ) রানার আউট, গ) উভয়ই আউট, ঘ) রিপ্লে রাউন্ড")</f>
        <v>ক) রানার সেফ, খ) রানার আউট, গ) উভয়ই আউট, ঘ) রিপ্লে রাউন্ড</v>
      </c>
      <c r="L96" s="4" t="str">
        <f>IFERROR(__xludf.DUMMYFUNCTION("GOOGLETRANSLATE(D96, ""en"", ""bn"")"),"ঘ) রিপ্লে রাউন্ড")</f>
        <v>ঘ) রিপ্লে রাউন্ড</v>
      </c>
      <c r="M96" s="4" t="str">
        <f>IFERROR(__xludf.DUMMYFUNCTION("GOOGLETRANSLATE(E96, ""en"", ""bn"")"),"রাউন্ডটি পুনরায় খেলার মাধ্যমে বিতর্কিত পরিস্থিতির সমাধান করা হয়।")</f>
        <v>রাউন্ডটি পুনরায় খেলার মাধ্যমে বিতর্কিত পরিস্থিতির সমাধান করা হয়।</v>
      </c>
    </row>
    <row r="97">
      <c r="A97" s="3">
        <v>96.0</v>
      </c>
      <c r="B97" s="3" t="s">
        <v>1328</v>
      </c>
      <c r="C97" s="3" t="s">
        <v>1329</v>
      </c>
      <c r="D97" s="3" t="s">
        <v>1330</v>
      </c>
      <c r="E97" s="3" t="s">
        <v>1331</v>
      </c>
      <c r="I97" s="4" t="str">
        <f>IFERROR(__xludf.DUMMYFUNCTION("GOOGLETRANSLATE(A97, ""en"", ""bn"")"),"৯৬")</f>
        <v>৯৬</v>
      </c>
      <c r="J97" s="4" t="str">
        <f>IFERROR(__xludf.DUMMYFUNCTION("GOOGLETRANSLATE(B97, ""en"", ""bn"")"),"যদি কোন তাড়াকারী সীমানা অতিক্রম করে তাহলে তার শাস্তি কী?")</f>
        <v>যদি কোন তাড়াকারী সীমানা অতিক্রম করে তাহলে তার শাস্তি কী?</v>
      </c>
      <c r="K97" s="4" t="str">
        <f>IFERROR(__xludf.DUMMYFUNCTION("GOOGLETRANSLATE(C97, ""en"", ""bn"")"),"ক) কিছুই না, খ) চেজার আউট, গ) দল রাউন্ড হেরে গেছে, ঘ) সতর্কতা")</f>
        <v>ক) কিছুই না, খ) চেজার আউট, গ) দল রাউন্ড হেরে গেছে, ঘ) সতর্কতা</v>
      </c>
      <c r="L97" s="4" t="str">
        <f>IFERROR(__xludf.DUMMYFUNCTION("GOOGLETRANSLATE(D97, ""en"", ""bn"")"),"খ) চেজার আউট")</f>
        <v>খ) চেজার আউট</v>
      </c>
      <c r="M97" s="4" t="str">
        <f>IFERROR(__xludf.DUMMYFUNCTION("GOOGLETRANSLATE(E97, ""en"", ""bn"")"),"সীমানা ত্যাগকারী তাড়াকারীদের বাদ বলে গণ্য করা হবে।")</f>
        <v>সীমানা ত্যাগকারী তাড়াকারীদের বাদ বলে গণ্য করা হবে।</v>
      </c>
    </row>
    <row r="98">
      <c r="A98" s="3">
        <v>97.0</v>
      </c>
      <c r="B98" s="3" t="s">
        <v>1332</v>
      </c>
      <c r="C98" s="3" t="s">
        <v>1333</v>
      </c>
      <c r="D98" s="3" t="s">
        <v>1119</v>
      </c>
      <c r="E98" s="3" t="s">
        <v>1334</v>
      </c>
      <c r="I98" s="4" t="str">
        <f>IFERROR(__xludf.DUMMYFUNCTION("GOOGLETRANSLATE(A98, ""en"", ""bn"")"),"৯৭")</f>
        <v>৯৭</v>
      </c>
      <c r="J98" s="4" t="str">
        <f>IFERROR(__xludf.DUMMYFUNCTION("GOOGLETRANSLATE(B98, ""en"", ""bn"")"),"একজন দৌড়বিদ কি যেকোনো দিক থেকে চুটে প্রবেশ করতে পারে?")</f>
        <v>একজন দৌড়বিদ কি যেকোনো দিক থেকে চুটে প্রবেশ করতে পারে?</v>
      </c>
      <c r="K98" s="4" t="str">
        <f>IFERROR(__xludf.DUMMYFUNCTION("GOOGLETRANSLATE(C98, ""en"", ""bn"")"),"ক) হ্যাঁ, খ) না, গ) কেবল সামনে থেকে, ঘ) কেবল পাশ থেকে")</f>
        <v>ক) হ্যাঁ, খ) না, গ) কেবল সামনে থেকে, ঘ) কেবল পাশ থেকে</v>
      </c>
      <c r="L98" s="4" t="str">
        <f>IFERROR(__xludf.DUMMYFUNCTION("GOOGLETRANSLATE(D98, ""en"", ""bn"")"),"ক) হ্যাঁ")</f>
        <v>ক) হ্যাঁ</v>
      </c>
      <c r="M98" s="4" t="str">
        <f>IFERROR(__xludf.DUMMYFUNCTION("GOOGLETRANSLATE(E98, ""en"", ""bn"")"),"দৌড়বিদরা যেকোনো দিক থেকে চটে প্রবেশ করতে পারে।")</f>
        <v>দৌড়বিদরা যেকোনো দিক থেকে চটে প্রবেশ করতে পারে।</v>
      </c>
    </row>
    <row r="99">
      <c r="A99" s="3">
        <v>98.0</v>
      </c>
      <c r="B99" s="3" t="s">
        <v>1335</v>
      </c>
      <c r="C99" s="3" t="s">
        <v>1336</v>
      </c>
      <c r="D99" s="3" t="s">
        <v>1337</v>
      </c>
      <c r="E99" s="3" t="s">
        <v>1338</v>
      </c>
      <c r="I99" s="4" t="str">
        <f>IFERROR(__xludf.DUMMYFUNCTION("GOOGLETRANSLATE(A99, ""en"", ""bn"")"),"৯৮")</f>
        <v>৯৮</v>
      </c>
      <c r="J99" s="4" t="str">
        <f>IFERROR(__xludf.DUMMYFUNCTION("GOOGLETRANSLATE(B99, ""en"", ""bn"")"),"যদি কোন খেলোয়াড় তাড়া না করেই চুটে প্রবেশ করে তাহলে কী হবে?")</f>
        <v>যদি কোন খেলোয়াড় তাড়া না করেই চুটে প্রবেশ করে তাহলে কী হবে?</v>
      </c>
      <c r="K99" s="4" t="str">
        <f>IFERROR(__xludf.DUMMYFUNCTION("GOOGLETRANSLATE(C99, ""en"", ""bn"")"),"ক) এখনও নিরাপদ, খ) ফাউল, গ) রাউন্ড এন্ড, ঘ) আউট")</f>
        <v>ক) এখনও নিরাপদ, খ) ফাউল, গ) রাউন্ড এন্ড, ঘ) আউট</v>
      </c>
      <c r="L99" s="4" t="str">
        <f>IFERROR(__xludf.DUMMYFUNCTION("GOOGLETRANSLATE(D99, ""en"", ""bn"")"),"ক) এখনও নিরাপদ")</f>
        <v>ক) এখনও নিরাপদ</v>
      </c>
      <c r="M99" s="4" t="str">
        <f>IFERROR(__xludf.DUMMYFUNCTION("GOOGLETRANSLATE(E99, ""en"", ""bn"")"),"তাড়া না করেই চুটে প্রবেশ করা যাবে এবং খেলোয়াড় নিরাপদ থাকবে।")</f>
        <v>তাড়া না করেই চুটে প্রবেশ করা যাবে এবং খেলোয়াড় নিরাপদ থাকবে।</v>
      </c>
    </row>
    <row r="100">
      <c r="A100" s="3">
        <v>99.0</v>
      </c>
      <c r="B100" s="3" t="s">
        <v>1339</v>
      </c>
      <c r="C100" s="3" t="s">
        <v>1340</v>
      </c>
      <c r="D100" s="3" t="s">
        <v>1341</v>
      </c>
      <c r="E100" s="3" t="s">
        <v>1342</v>
      </c>
      <c r="I100" s="4" t="str">
        <f>IFERROR(__xludf.DUMMYFUNCTION("GOOGLETRANSLATE(A100, ""en"", ""bn"")"),"৯৯")</f>
        <v>৯৯</v>
      </c>
      <c r="J100" s="4" t="str">
        <f>IFERROR(__xludf.DUMMYFUNCTION("GOOGLETRANSLATE(B100, ""en"", ""bn"")"),"একটি রাউন্ড চলাকালীন মাঠে কতজন খেলোয়াড়কে সক্রিয় থাকতে হবে?")</f>
        <v>একটি রাউন্ড চলাকালীন মাঠে কতজন খেলোয়াড়কে সক্রিয় থাকতে হবে?</v>
      </c>
      <c r="K100" s="4" t="str">
        <f>IFERROR(__xludf.DUMMYFUNCTION("GOOGLETRANSLATE(C100, ""en"", ""bn"")"),"ক) সকল দলের সদস্য, খ) কমপক্ষে ৫ জন, গ) কমপক্ষে ৬ জন, ঘ) চুক্তি অনুসারে")</f>
        <v>ক) সকল দলের সদস্য, খ) কমপক্ষে ৫ জন, গ) কমপক্ষে ৬ জন, ঘ) চুক্তি অনুসারে</v>
      </c>
      <c r="L100" s="4" t="str">
        <f>IFERROR(__xludf.DUMMYFUNCTION("GOOGLETRANSLATE(D100, ""en"", ""bn"")"),"ক) সকল দলের সদস্য")</f>
        <v>ক) সকল দলের সদস্য</v>
      </c>
      <c r="M100" s="4" t="str">
        <f>IFERROR(__xludf.DUMMYFUNCTION("GOOGLETRANSLATE(E100, ""en"", ""bn"")"),"প্রতিটি দলের সকল খেলোয়াড়কে একটি রাউন্ডে অংশগ্রহণ করতে হবে।")</f>
        <v>প্রতিটি দলের সকল খেলোয়াড়কে একটি রাউন্ডে অংশগ্রহণ করতে হবে।</v>
      </c>
    </row>
    <row r="101">
      <c r="A101" s="3">
        <v>100.0</v>
      </c>
      <c r="B101" s="3" t="s">
        <v>1343</v>
      </c>
      <c r="C101" s="3" t="s">
        <v>1344</v>
      </c>
      <c r="D101" s="3" t="s">
        <v>1345</v>
      </c>
      <c r="E101" s="3" t="s">
        <v>1346</v>
      </c>
      <c r="I101" s="4" t="str">
        <f>IFERROR(__xludf.DUMMYFUNCTION("GOOGLETRANSLATE(A101, ""en"", ""bn"")"),"১০০")</f>
        <v>১০০</v>
      </c>
      <c r="J101" s="4" t="str">
        <f>IFERROR(__xludf.DUMMYFUNCTION("GOOGLETRANSLATE(B101, ""en"", ""bn"")"),"যদি কোনও ট্যাগযুক্ত খেলোয়াড় মাঠ ছাড়তে অস্বীকৃতি জানায়, তাহলে কী হবে?")</f>
        <v>যদি কোনও ট্যাগযুক্ত খেলোয়াড় মাঠ ছাড়তে অস্বীকৃতি জানায়, তাহলে কী হবে?</v>
      </c>
      <c r="K101" s="4" t="str">
        <f>IFERROR(__xludf.DUMMYFUNCTION("GOOGLETRANSLATE(C101, ""en"", ""bn"")"),"ক) সতর্কীকরণ, খ) রাউন্ড থামানো, গ) প্রতিপক্ষ পয়েন্ট অর্জন করে, ঘ) রেফারি তাদের বের করে দেন")</f>
        <v>ক) সতর্কীকরণ, খ) রাউন্ড থামানো, গ) প্রতিপক্ষ পয়েন্ট অর্জন করে, ঘ) রেফারি তাদের বের করে দেন</v>
      </c>
      <c r="L101" s="4" t="str">
        <f>IFERROR(__xludf.DUMMYFUNCTION("GOOGLETRANSLATE(D101, ""en"", ""bn"")"),"ঘ) রেফারি তাদের বের করে দেন")</f>
        <v>ঘ) রেফারি তাদের বের করে দেন</v>
      </c>
      <c r="M101" s="4" t="str">
        <f>IFERROR(__xludf.DUMMYFUNCTION("GOOGLETRANSLATE(E101, ""en"", ""bn"")"),"রেফারিদের অবাধ্য খেলোয়াড়দের খেলা থেকে অপসারণের ক্ষমতা রয়েছে।")</f>
        <v>রেফারিদের অবাধ্য খেলোয়াড়দের খেলা থেকে অপসারণের ক্ষমতা রয়েছে।</v>
      </c>
    </row>
    <row r="102">
      <c r="A102" s="3">
        <v>101.0</v>
      </c>
      <c r="B102" s="3" t="s">
        <v>1347</v>
      </c>
      <c r="C102" s="3" t="s">
        <v>1348</v>
      </c>
      <c r="D102" s="3" t="s">
        <v>1349</v>
      </c>
      <c r="E102" s="3" t="s">
        <v>1350</v>
      </c>
      <c r="I102" s="4" t="str">
        <f>IFERROR(__xludf.DUMMYFUNCTION("GOOGLETRANSLATE(A102, ""en"", ""bn"")"),"১০১")</f>
        <v>১০১</v>
      </c>
      <c r="J102" s="4" t="str">
        <f>IFERROR(__xludf.DUMMYFUNCTION("GOOGLETRANSLATE(B102, ""en"", ""bn"")"),"খেলার সময় অধিনায়কের প্রধান কর্তব্য কী?")</f>
        <v>খেলার সময় অধিনায়কের প্রধান কর্তব্য কী?</v>
      </c>
      <c r="K102" s="4" t="str">
        <f>IFERROR(__xludf.DUMMYFUNCTION("GOOGLETRANSLATE(C102, ""en"", ""bn"")"),"ক) পয়েন্ট অর্জন, খ) সরাসরি দলের কৌশল, গ) রেফারি হিসেবে কাজ করা, ঘ) প্রতিপক্ষকে তাড়া করা")</f>
        <v>ক) পয়েন্ট অর্জন, খ) সরাসরি দলের কৌশল, গ) রেফারি হিসেবে কাজ করা, ঘ) প্রতিপক্ষকে তাড়া করা</v>
      </c>
      <c r="L102" s="4" t="str">
        <f>IFERROR(__xludf.DUMMYFUNCTION("GOOGLETRANSLATE(D102, ""en"", ""bn"")"),"খ) সরাসরি দলের কৌশল")</f>
        <v>খ) সরাসরি দলের কৌশল</v>
      </c>
      <c r="M102" s="4" t="str">
        <f>IFERROR(__xludf.DUMMYFUNCTION("GOOGLETRANSLATE(E102, ""en"", ""bn"")"),"অধিনায়করা দিকনির্দেশনা প্রদান করেন এবং সতীর্থদের অনুপ্রাণিত করেন।")</f>
        <v>অধিনায়করা দিকনির্দেশনা প্রদান করেন এবং সতীর্থদের অনুপ্রাণিত করেন।</v>
      </c>
    </row>
    <row r="103">
      <c r="A103" s="3">
        <v>102.0</v>
      </c>
      <c r="B103" s="3" t="s">
        <v>1351</v>
      </c>
      <c r="C103" s="3" t="s">
        <v>1352</v>
      </c>
      <c r="D103" s="3" t="s">
        <v>1353</v>
      </c>
      <c r="E103" s="3" t="s">
        <v>1354</v>
      </c>
      <c r="I103" s="4" t="str">
        <f>IFERROR(__xludf.DUMMYFUNCTION("GOOGLETRANSLATE(A103, ""en"", ""bn"")"),"১০২")</f>
        <v>১০২</v>
      </c>
      <c r="J103" s="4" t="str">
        <f>IFERROR(__xludf.DUMMYFUNCTION("GOOGLETRANSLATE(B103, ""en"", ""bn"")"),"যদি কোন দৌড়বিদ গোল করার পর আবার চুটে প্রবেশ করে, তাহলে আবার দৌড়ানোর আগে তাকে কী করতে হবে?")</f>
        <v>যদি কোন দৌড়বিদ গোল করার পর আবার চুটে প্রবেশ করে, তাহলে আবার দৌড়ানোর আগে তাকে কী করতে হবে?</v>
      </c>
      <c r="K103" s="4" t="str">
        <f>IFERROR(__xludf.DUMMYFUNCTION("GOOGLETRANSLATE(C103, ""en"", ""bn"")"),"ক) বাঁশির জন্য অপেক্ষা করুন, খ) অধিনায়কের অনুমোদন নিন, গ) পুরোপুরি বেরিয়ে আসুন, ঘ) কিছুই না")</f>
        <v>ক) বাঁশির জন্য অপেক্ষা করুন, খ) অধিনায়কের অনুমোদন নিন, গ) পুরোপুরি বেরিয়ে আসুন, ঘ) কিছুই না</v>
      </c>
      <c r="L103" s="4" t="str">
        <f>IFERROR(__xludf.DUMMYFUNCTION("GOOGLETRANSLATE(D103, ""en"", ""bn"")"),"ক) বাঁশির জন্য অপেক্ষা করুন")</f>
        <v>ক) বাঁশির জন্য অপেক্ষা করুন</v>
      </c>
      <c r="M103" s="4" t="str">
        <f>IFERROR(__xludf.DUMMYFUNCTION("GOOGLETRANSLATE(E103, ""en"", ""bn"")"),"একটি বাঁশি তাদের পরবর্তী প্রচেষ্টা নিরাপদে পুনরায় শুরু করে।")</f>
        <v>একটি বাঁশি তাদের পরবর্তী প্রচেষ্টা নিরাপদে পুনরায় শুরু করে।</v>
      </c>
    </row>
    <row r="104">
      <c r="A104" s="3">
        <v>103.0</v>
      </c>
      <c r="B104" s="3" t="s">
        <v>1355</v>
      </c>
      <c r="C104" s="3" t="s">
        <v>1356</v>
      </c>
      <c r="D104" s="3" t="s">
        <v>1357</v>
      </c>
      <c r="E104" s="3" t="s">
        <v>1358</v>
      </c>
      <c r="I104" s="4" t="str">
        <f>IFERROR(__xludf.DUMMYFUNCTION("GOOGLETRANSLATE(A104, ""en"", ""bn"")"),"১০৩")</f>
        <v>১০৩</v>
      </c>
      <c r="J104" s="4" t="str">
        <f>IFERROR(__xludf.DUMMYFUNCTION("GOOGLETRANSLATE(B104, ""en"", ""bn"")"),"একটি আনুষ্ঠানিক টুর্নামেন্টে, ম্যাচের সময়কাল সাধারণত কীভাবে নির্ধারণ করা হয়?")</f>
        <v>একটি আনুষ্ঠানিক টুর্নামেন্টে, ম্যাচের সময়কাল সাধারণত কীভাবে নির্ধারণ করা হয়?</v>
      </c>
      <c r="K104" s="4" t="str">
        <f>IFERROR(__xludf.DUMMYFUNCTION("GOOGLETRANSLATE(C104, ""en"", ""bn"")"),"ক) এলোমেলোভাবে, খ) পূর্ব-সম্মত নিয়ম, গ) রেফারির মেজাজ, ঘ) দর্শকদের দ্বারা")</f>
        <v>ক) এলোমেলোভাবে, খ) পূর্ব-সম্মত নিয়ম, গ) রেফারির মেজাজ, ঘ) দর্শকদের দ্বারা</v>
      </c>
      <c r="L104" s="4" t="str">
        <f>IFERROR(__xludf.DUMMYFUNCTION("GOOGLETRANSLATE(D104, ""en"", ""bn"")"),"খ) পূর্ব-সম্মত নিয়ম")</f>
        <v>খ) পূর্ব-সম্মত নিয়ম</v>
      </c>
      <c r="M104" s="4" t="str">
        <f>IFERROR(__xludf.DUMMYFUNCTION("GOOGLETRANSLATE(E104, ""en"", ""bn"")"),"টুর্নামেন্টের নিয়ম খেলার আগে মোট সময়কাল নির্ধারণ করে।")</f>
        <v>টুর্নামেন্টের নিয়ম খেলার আগে মোট সময়কাল নির্ধারণ করে।</v>
      </c>
    </row>
    <row r="105">
      <c r="A105" s="3">
        <v>104.0</v>
      </c>
      <c r="B105" s="3" t="s">
        <v>1359</v>
      </c>
      <c r="C105" s="3" t="s">
        <v>1360</v>
      </c>
      <c r="D105" s="3" t="s">
        <v>1361</v>
      </c>
      <c r="E105" s="3" t="s">
        <v>1362</v>
      </c>
      <c r="I105" s="4" t="str">
        <f>IFERROR(__xludf.DUMMYFUNCTION("GOOGLETRANSLATE(A105, ""en"", ""bn"")"),"১০৪")</f>
        <v>১০৪</v>
      </c>
      <c r="J105" s="4" t="str">
        <f>IFERROR(__xludf.DUMMYFUNCTION("GOOGLETRANSLATE(B105, ""en"", ""bn"")"),"যদি দুইজন দৌড়বিদ ধাওয়াকারীদের পালানোর সময় সংঘর্ষে লিপ্ত হয়, তাহলে কী হবে?")</f>
        <v>যদি দুইজন দৌড়বিদ ধাওয়াকারীদের পালানোর সময় সংঘর্ষে লিপ্ত হয়, তাহলে কী হবে?</v>
      </c>
      <c r="K105" s="4" t="str">
        <f>IFERROR(__xludf.DUMMYFUNCTION("GOOGLETRANSLATE(C105, ""en"", ""bn"")"),"ক) উভয়ই নিরাপদ, খ) উভয়ই বাইরে, গ) ট্যাগ না থাকলে চালিয়ে যান, ঘ) রাউন্ড পুনরায় চালু হয়")</f>
        <v>ক) উভয়ই নিরাপদ, খ) উভয়ই বাইরে, গ) ট্যাগ না থাকলে চালিয়ে যান, ঘ) রাউন্ড পুনরায় চালু হয়</v>
      </c>
      <c r="L105" s="4" t="str">
        <f>IFERROR(__xludf.DUMMYFUNCTION("GOOGLETRANSLATE(D105, ""en"", ""bn"")"),"গ) ট্যাগ না থাকলে চালিয়ে যান")</f>
        <v>গ) ট্যাগ না থাকলে চালিয়ে যান</v>
      </c>
      <c r="M105" s="4" t="str">
        <f>IFERROR(__xludf.DUMMYFUNCTION("GOOGLETRANSLATE(E105, ""en"", ""bn"")"),"সংঘর্ষ ফাউল নয়; ট্যাগ না করা পর্যন্ত এগুলি সক্রিয় থাকে।")</f>
        <v>সংঘর্ষ ফাউল নয়; ট্যাগ না করা পর্যন্ত এগুলি সক্রিয় থাকে।</v>
      </c>
    </row>
    <row r="106">
      <c r="A106" s="3">
        <v>105.0</v>
      </c>
      <c r="B106" s="3" t="s">
        <v>1363</v>
      </c>
      <c r="C106" s="3" t="s">
        <v>1364</v>
      </c>
      <c r="D106" s="3" t="s">
        <v>1365</v>
      </c>
      <c r="E106" s="3" t="s">
        <v>1366</v>
      </c>
      <c r="I106" s="4" t="str">
        <f>IFERROR(__xludf.DUMMYFUNCTION("GOOGLETRANSLATE(A106, ""en"", ""bn"")"),"১০৫")</f>
        <v>১০৫</v>
      </c>
      <c r="J106" s="4" t="str">
        <f>IFERROR(__xludf.DUMMYFUNCTION("GOOGLETRANSLATE(B106, ""en"", ""bn"")"),"দৌড়বিদদের আটকাতে চেজারদের জন্য কোন ফর্মেশন সবচেয়ে কার্যকর?")</f>
        <v>দৌড়বিদদের আটকাতে চেজারদের জন্য কোন ফর্মেশন সবচেয়ে কার্যকর?</v>
      </c>
      <c r="K106" s="4" t="str">
        <f>IFERROR(__xludf.DUMMYFUNCTION("GOOGLETRANSLATE(C106, ""en"", ""bn"")"),"ক) রেখা, খ) ত্রিভুজ, গ) বৃত্ত, ঘ) আঁকাবাঁকা")</f>
        <v>ক) রেখা, খ) ত্রিভুজ, গ) বৃত্ত, ঘ) আঁকাবাঁকা</v>
      </c>
      <c r="L106" s="4" t="str">
        <f>IFERROR(__xludf.DUMMYFUNCTION("GOOGLETRANSLATE(D106, ""en"", ""bn"")"),"খ) ত্রিভুজ")</f>
        <v>খ) ত্রিভুজ</v>
      </c>
      <c r="M106" s="4" t="str">
        <f>IFERROR(__xludf.DUMMYFUNCTION("GOOGLETRANSLATE(E106, ""en"", ""bn"")"),"একটি ত্রিভুজাকার গঠন একাধিক পালানোর পথ বন্ধ করতে সাহায্য করে।")</f>
        <v>একটি ত্রিভুজাকার গঠন একাধিক পালানোর পথ বন্ধ করতে সাহায্য করে।</v>
      </c>
    </row>
    <row r="107">
      <c r="A107" s="3">
        <v>106.0</v>
      </c>
      <c r="B107" s="3" t="s">
        <v>1367</v>
      </c>
      <c r="C107" s="3" t="s">
        <v>1368</v>
      </c>
      <c r="D107" s="3" t="s">
        <v>1369</v>
      </c>
      <c r="E107" s="3" t="s">
        <v>1370</v>
      </c>
      <c r="I107" s="4" t="str">
        <f>IFERROR(__xludf.DUMMYFUNCTION("GOOGLETRANSLATE(A107, ""en"", ""bn"")"),"১০৬")</f>
        <v>১০৬</v>
      </c>
      <c r="J107" s="4" t="str">
        <f>IFERROR(__xludf.DUMMYFUNCTION("GOOGLETRANSLATE(B107, ""en"", ""bn"")"),"একজন দৌড়বিদ কীভাবে একটি ভুল শুরু মোকাবেলা করেন?")</f>
        <v>একজন দৌড়বিদ কীভাবে একটি ভুল শুরু মোকাবেলা করেন?</v>
      </c>
      <c r="K107" s="4" t="str">
        <f>IFERROR(__xludf.DUMMYFUNCTION("GOOGLETRANSLATE(C107, ""en"", ""bn"")"),"ক) সতর্কতা, খ) পয়েন্ট ক্ষতি, গ) পুনরায় শুরু রাউন্ড, ঘ) বাদ দেওয়া")</f>
        <v>ক) সতর্কতা, খ) পয়েন্ট ক্ষতি, গ) পুনরায় শুরু রাউন্ড, ঘ) বাদ দেওয়া</v>
      </c>
      <c r="L107" s="4" t="str">
        <f>IFERROR(__xludf.DUMMYFUNCTION("GOOGLETRANSLATE(D107, ""en"", ""bn"")"),"ক) সতর্কতা")</f>
        <v>ক) সতর্কতা</v>
      </c>
      <c r="M107" s="4" t="str">
        <f>IFERROR(__xludf.DUMMYFUNCTION("GOOGLETRANSLATE(E107, ""en"", ""bn"")"),"যারা তাড়াতাড়ি শুরু করবেন তারা বাদ দৌড়বিদদের নয়, বরং সতর্কতা পাবেন।")</f>
        <v>যারা তাড়াতাড়ি শুরু করবেন তারা বাদ দৌড়বিদদের নয়, বরং সতর্কতা পাবেন।</v>
      </c>
    </row>
    <row r="108">
      <c r="A108" s="3">
        <v>107.0</v>
      </c>
      <c r="B108" s="3" t="s">
        <v>1371</v>
      </c>
      <c r="C108" s="3" t="s">
        <v>1372</v>
      </c>
      <c r="D108" s="3" t="s">
        <v>1373</v>
      </c>
      <c r="E108" s="3" t="s">
        <v>1374</v>
      </c>
      <c r="I108" s="4" t="str">
        <f>IFERROR(__xludf.DUMMYFUNCTION("GOOGLETRANSLATE(A108, ""en"", ""bn"")"),"১০৭")</f>
        <v>১০৭</v>
      </c>
      <c r="J108" s="4" t="str">
        <f>IFERROR(__xludf.DUMMYFUNCTION("GOOGLETRANSLATE(B108, ""en"", ""bn"")"),"দর্শকরা খেলায় হস্তক্ষেপ করলে নিয়ম কী?")</f>
        <v>দর্শকরা খেলায় হস্তক্ষেপ করলে নিয়ম কী?</v>
      </c>
      <c r="K108" s="4" t="str">
        <f>IFERROR(__xludf.DUMMYFUNCTION("GOOGLETRANSLATE(C108, ""en"", ""bn"")"),"ক) উপেক্ষা করুন, খ) রিপ্লে রাউন্ড, গ) রেফারি বিরতি দিতে পারেন, ঘ) খেলোয়াড়রা সিদ্ধান্ত নেন")</f>
        <v>ক) উপেক্ষা করুন, খ) রিপ্লে রাউন্ড, গ) রেফারি বিরতি দিতে পারেন, ঘ) খেলোয়াড়রা সিদ্ধান্ত নেন</v>
      </c>
      <c r="L108" s="4" t="str">
        <f>IFERROR(__xludf.DUMMYFUNCTION("GOOGLETRANSLATE(D108, ""en"", ""bn"")"),"গ) রেফারি বিরতি দিতে পারেন")</f>
        <v>গ) রেফারি বিরতি দিতে পারেন</v>
      </c>
      <c r="M108" s="4" t="str">
        <f>IFERROR(__xludf.DUMMYFUNCTION("GOOGLETRANSLATE(E108, ""en"", ""bn"")"),"বাইরের কেউ হস্তক্ষেপ করলে রেফারি খেলা থামিয়ে শৃঙ্খলা ফিরিয়ে আনতে পারেন।")</f>
        <v>বাইরের কেউ হস্তক্ষেপ করলে রেফারি খেলা থামিয়ে শৃঙ্খলা ফিরিয়ে আনতে পারেন।</v>
      </c>
    </row>
    <row r="109">
      <c r="A109" s="3">
        <v>108.0</v>
      </c>
      <c r="B109" s="3" t="s">
        <v>1375</v>
      </c>
      <c r="C109" s="3" t="s">
        <v>1376</v>
      </c>
      <c r="D109" s="3" t="s">
        <v>1377</v>
      </c>
      <c r="E109" s="3" t="s">
        <v>1378</v>
      </c>
      <c r="I109" s="4" t="str">
        <f>IFERROR(__xludf.DUMMYFUNCTION("GOOGLETRANSLATE(A109, ""en"", ""bn"")"),"১০৮")</f>
        <v>১০৮</v>
      </c>
      <c r="J109" s="4" t="str">
        <f>IFERROR(__xludf.DUMMYFUNCTION("GOOGLETRANSLATE(B109, ""en"", ""bn"")"),"যখন একজন তাড়াকারী সীমানা রেখার বাইরে ট্যাগ করে তখন কী হয়?")</f>
        <v>যখন একজন তাড়াকারী সীমানা রেখার বাইরে ট্যাগ করে তখন কী হয়?</v>
      </c>
      <c r="K109" s="4" t="str">
        <f>IFERROR(__xludf.DUMMYFUNCTION("GOOGLETRANSLATE(C109, ""en"", ""bn"")"),"ক) বৈধ ট্যাগ, খ) অবৈধ ট্যাগ, গ) দ্বিগুণ পয়েন্ট, ঘ) রাউন্ড ওভার")</f>
        <v>ক) বৈধ ট্যাগ, খ) অবৈধ ট্যাগ, গ) দ্বিগুণ পয়েন্ট, ঘ) রাউন্ড ওভার</v>
      </c>
      <c r="L109" s="4" t="str">
        <f>IFERROR(__xludf.DUMMYFUNCTION("GOOGLETRANSLATE(D109, ""en"", ""bn"")"),"খ) অবৈধ ট্যাগ")</f>
        <v>খ) অবৈধ ট্যাগ</v>
      </c>
      <c r="M109" s="4" t="str">
        <f>IFERROR(__xludf.DUMMYFUNCTION("GOOGLETRANSLATE(E109, ""en"", ""bn"")"),"খেলার সীমানার বাইরে তৈরি ট্যাগগুলি অবৈধ।")</f>
        <v>খেলার সীমানার বাইরে তৈরি ট্যাগগুলি অবৈধ।</v>
      </c>
    </row>
    <row r="110">
      <c r="A110" s="3">
        <v>109.0</v>
      </c>
      <c r="B110" s="3" t="s">
        <v>1379</v>
      </c>
      <c r="C110" s="3" t="s">
        <v>1380</v>
      </c>
      <c r="D110" s="3" t="s">
        <v>981</v>
      </c>
      <c r="E110" s="3" t="s">
        <v>1381</v>
      </c>
      <c r="I110" s="4" t="str">
        <f>IFERROR(__xludf.DUMMYFUNCTION("GOOGLETRANSLATE(A110, ""en"", ""bn"")"),"১০৯")</f>
        <v>১০৯</v>
      </c>
      <c r="J110" s="4" t="str">
        <f>IFERROR(__xludf.DUMMYFUNCTION("GOOGLETRANSLATE(B110, ""en"", ""bn"")"),"প্রীতি ম্যাচে সাধারণত কোন দল প্রথমে রক্ষণ করে?")</f>
        <v>প্রীতি ম্যাচে সাধারণত কোন দল প্রথমে রক্ষণ করে?</v>
      </c>
      <c r="K110" s="4" t="str">
        <f>IFERROR(__xludf.DUMMYFUNCTION("GOOGLETRANSLATE(C110, ""en"", ""bn"")"),"ক) মুদ্রা টসের মাধ্যমে সিদ্ধান্ত নেওয়া হয়েছে, খ) কম খেলোয়াড়ের দল, গ) বয়স্ক খেলোয়াড়ের দল, ঘ) রেফারি কর্তৃক নির্বাচিত দল")</f>
        <v>ক) মুদ্রা টসের মাধ্যমে সিদ্ধান্ত নেওয়া হয়েছে, খ) কম খেলোয়াড়ের দল, গ) বয়স্ক খেলোয়াড়ের দল, ঘ) রেফারি কর্তৃক নির্বাচিত দল</v>
      </c>
      <c r="L110" s="4" t="str">
        <f>IFERROR(__xludf.DUMMYFUNCTION("GOOGLETRANSLATE(D110, ""en"", ""bn"")"),"ক) মুদ্রা টসের মাধ্যমে সিদ্ধান্ত নেওয়া হয়েছে")</f>
        <v>ক) মুদ্রা টসের মাধ্যমে সিদ্ধান্ত নেওয়া হয়েছে</v>
      </c>
      <c r="M110" s="4" t="str">
        <f>IFERROR(__xludf.DUMMYFUNCTION("GOOGLETRANSLATE(E110, ""en"", ""bn"")"),"একটি মুদ্রা টসই নির্ধারণ করে যে কে রক্ষণ শুরু করবে।")</f>
        <v>একটি মুদ্রা টসই নির্ধারণ করে যে কে রক্ষণ শুরু করবে।</v>
      </c>
    </row>
    <row r="111">
      <c r="A111" s="3">
        <v>110.0</v>
      </c>
      <c r="B111" s="3" t="s">
        <v>1382</v>
      </c>
      <c r="C111" s="3" t="s">
        <v>1383</v>
      </c>
      <c r="D111" s="3" t="s">
        <v>1384</v>
      </c>
      <c r="E111" s="3" t="s">
        <v>1385</v>
      </c>
      <c r="I111" s="4" t="str">
        <f>IFERROR(__xludf.DUMMYFUNCTION("GOOGLETRANSLATE(A111, ""en"", ""bn"")"),"১১০")</f>
        <v>১১০</v>
      </c>
      <c r="J111" s="4" t="str">
        <f>IFERROR(__xludf.DUMMYFUNCTION("GOOGLETRANSLATE(B111, ""en"", ""bn"")"),"যদি কোন দৌড়বিদ প্রতিপক্ষকে গালিগালাজ করেন বা কটূক্তি করেন, তাহলে তার শাস্তি কী?")</f>
        <v>যদি কোন দৌড়বিদ প্রতিপক্ষকে গালিগালাজ করেন বা কটূক্তি করেন, তাহলে তার শাস্তি কী?</v>
      </c>
      <c r="K111" s="4" t="str">
        <f>IFERROR(__xludf.DUMMYFUNCTION("GOOGLETRANSLATE(C111, ""en"", ""bn"")"),"ক) তাড়াকারীদের জন্য বোনাস, খ) সতর্কীকরণ বা বাদ দেওয়া, গ) কোনও জরিমানা নেই, ঘ) রাউন্ড রিস্টার্ট")</f>
        <v>ক) তাড়াকারীদের জন্য বোনাস, খ) সতর্কীকরণ বা বাদ দেওয়া, গ) কোনও জরিমানা নেই, ঘ) রাউন্ড রিস্টার্ট</v>
      </c>
      <c r="L111" s="4" t="str">
        <f>IFERROR(__xludf.DUMMYFUNCTION("GOOGLETRANSLATE(D111, ""en"", ""bn"")"),"খ) সতর্কতা বা বর্জন")</f>
        <v>খ) সতর্কতা বা বর্জন</v>
      </c>
      <c r="M111" s="4" t="str">
        <f>IFERROR(__xludf.DUMMYFUNCTION("GOOGLETRANSLATE(E111, ""en"", ""bn"")"),"অখেলোয়াড় আচরণের ফলে শাস্তি হতে পারে।")</f>
        <v>অখেলোয়াড় আচরণের ফলে শাস্তি হতে পারে।</v>
      </c>
    </row>
    <row r="112">
      <c r="A112" s="3">
        <v>111.0</v>
      </c>
      <c r="B112" s="3" t="s">
        <v>1386</v>
      </c>
      <c r="C112" s="3" t="s">
        <v>1387</v>
      </c>
      <c r="D112" s="3" t="s">
        <v>1388</v>
      </c>
      <c r="E112" s="3" t="s">
        <v>1389</v>
      </c>
      <c r="I112" s="4" t="str">
        <f>IFERROR(__xludf.DUMMYFUNCTION("GOOGLETRANSLATE(A112, ""en"", ""bn"")"),"১১১")</f>
        <v>১১১</v>
      </c>
      <c r="J112" s="4" t="str">
        <f>IFERROR(__xludf.DUMMYFUNCTION("GOOGLETRANSLATE(B112, ""en"", ""bn"")"),"খেলা সাময়িকভাবে বন্ধ করার জন্য রেফারির সংকেত কী?")</f>
        <v>খেলা সাময়িকভাবে বন্ধ করার জন্য রেফারির সংকেত কী?</v>
      </c>
      <c r="K112" s="4" t="str">
        <f>IFERROR(__xludf.DUMMYFUNCTION("GOOGLETRANSLATE(C112, ""en"", ""bn"")"),"ক) ডাবল বাঁশি, খ) হাত উঁচু করা, গ) পতাকা উত্তোলন, ঘ) উপরের যেকোনো একটি")</f>
        <v>ক) ডাবল বাঁশি, খ) হাত উঁচু করা, গ) পতাকা উত্তোলন, ঘ) উপরের যেকোনো একটি</v>
      </c>
      <c r="L112" s="4" t="str">
        <f>IFERROR(__xludf.DUMMYFUNCTION("GOOGLETRANSLATE(D112, ""en"", ""bn"")"),"ঘ) উপরের যেকোনো একটি")</f>
        <v>ঘ) উপরের যেকোনো একটি</v>
      </c>
      <c r="M112" s="4" t="str">
        <f>IFERROR(__xludf.DUMMYFUNCTION("GOOGLETRANSLATE(E112, ""en"", ""bn"")"),"রেফারিরা বাঁশি বা পতাকার মতো স্ট্যান্ডার্ড সংকেত ব্যবহার করতে পারেন।")</f>
        <v>রেফারিরা বাঁশি বা পতাকার মতো স্ট্যান্ডার্ড সংকেত ব্যবহার করতে পারেন।</v>
      </c>
    </row>
    <row r="113">
      <c r="A113" s="3">
        <v>112.0</v>
      </c>
      <c r="B113" s="3" t="s">
        <v>1390</v>
      </c>
      <c r="C113" s="3" t="s">
        <v>1391</v>
      </c>
      <c r="D113" s="3" t="s">
        <v>1392</v>
      </c>
      <c r="E113" s="3" t="s">
        <v>1393</v>
      </c>
      <c r="I113" s="4" t="str">
        <f>IFERROR(__xludf.DUMMYFUNCTION("GOOGLETRANSLATE(A113, ""en"", ""bn"")"),"১১২")</f>
        <v>১১২</v>
      </c>
      <c r="J113" s="4" t="str">
        <f>IFERROR(__xludf.DUMMYFUNCTION("GOOGLETRANSLATE(B113, ""en"", ""bn"")"),"যদি ছুট অনেক দৌড়বিদ দিয়ে ভিড়ে যায় তাহলে কী হবে?")</f>
        <v>যদি ছুট অনেক দৌড়বিদ দিয়ে ভিড়ে যায় তাহলে কী হবে?</v>
      </c>
      <c r="K113" s="4" t="str">
        <f>IFERROR(__xludf.DUMMYFUNCTION("GOOGLETRANSLATE(C113, ""en"", ""bn"")"),"ক) অনুমোদিত, খ) কেবল অর্ধেক নিরাপদে থাকুন, গ) রেফারি প্রবেশের সীমাবদ্ধতা, ঘ) কোনও পয়েন্ট দেওয়া হয়নি")</f>
        <v>ক) অনুমোদিত, খ) কেবল অর্ধেক নিরাপদে থাকুন, গ) রেফারি প্রবেশের সীমাবদ্ধতা, ঘ) কোনও পয়েন্ট দেওয়া হয়নি</v>
      </c>
      <c r="L113" s="4" t="str">
        <f>IFERROR(__xludf.DUMMYFUNCTION("GOOGLETRANSLATE(D113, ""en"", ""bn"")"),"গ) রেফারি প্রবেশ সীমাবদ্ধ করেন")</f>
        <v>গ) রেফারি প্রবেশ সীমাবদ্ধ করেন</v>
      </c>
      <c r="M113" s="4" t="str">
        <f>IFERROR(__xludf.DUMMYFUNCTION("GOOGLETRANSLATE(E113, ""en"", ""bn"")"),"রেফারিরা নিশ্চিত করেন যে চুটকে স্থায়ী আশ্রয় হিসেবে ব্যবহার করা হচ্ছে না।")</f>
        <v>রেফারিরা নিশ্চিত করেন যে চুটকে স্থায়ী আশ্রয় হিসেবে ব্যবহার করা হচ্ছে না।</v>
      </c>
    </row>
    <row r="114">
      <c r="A114" s="3">
        <v>113.0</v>
      </c>
      <c r="B114" s="3" t="s">
        <v>1394</v>
      </c>
      <c r="C114" s="3" t="s">
        <v>1395</v>
      </c>
      <c r="D114" s="3" t="s">
        <v>1396</v>
      </c>
      <c r="E114" s="3" t="s">
        <v>1397</v>
      </c>
      <c r="I114" s="4" t="str">
        <f>IFERROR(__xludf.DUMMYFUNCTION("GOOGLETRANSLATE(A114, ""en"", ""bn"")"),"১১৩")</f>
        <v>১১৩</v>
      </c>
      <c r="J114" s="4" t="str">
        <f>IFERROR(__xludf.DUMMYFUNCTION("GOOGLETRANSLATE(B114, ""en"", ""bn"")"),"কোন দক্ষতা দৌড়বিদদের নকল দিক পরিবর্তন করতে সাহায্য করে?")</f>
        <v>কোন দক্ষতা দৌড়বিদদের নকল দিক পরিবর্তন করতে সাহায্য করে?</v>
      </c>
      <c r="K114" s="4" t="str">
        <f>IFERROR(__xludf.DUMMYFUNCTION("GOOGLETRANSLATE(C114, ""en"", ""bn"")"),"ক) সহনশীলতা, খ) শরীরের অস্থিরতা, গ) জোরে কণ্ঠস্বর, ঘ) লাফানো")</f>
        <v>ক) সহনশীলতা, খ) শরীরের অস্থিরতা, গ) জোরে কণ্ঠস্বর, ঘ) লাফানো</v>
      </c>
      <c r="L114" s="4" t="str">
        <f>IFERROR(__xludf.DUMMYFUNCTION("GOOGLETRANSLATE(D114, ""en"", ""bn"")"),"খ) শরীরের ছলছল")</f>
        <v>খ) শরীরের ছলছল</v>
      </c>
      <c r="M114" s="4" t="str">
        <f>IFERROR(__xludf.DUMMYFUNCTION("GOOGLETRANSLATE(E114, ""en"", ""bn"")"),"শরীরের ভঙ্গিমা ধাওয়াকারীদের ভুল পথে ঠকাতে সাহায্য করে।")</f>
        <v>শরীরের ভঙ্গিমা ধাওয়াকারীদের ভুল পথে ঠকাতে সাহায্য করে।</v>
      </c>
    </row>
    <row r="115">
      <c r="A115" s="3">
        <v>114.0</v>
      </c>
      <c r="B115" s="3" t="s">
        <v>1398</v>
      </c>
      <c r="C115" s="3" t="s">
        <v>1399</v>
      </c>
      <c r="D115" s="3" t="s">
        <v>1400</v>
      </c>
      <c r="E115" s="3" t="s">
        <v>1401</v>
      </c>
      <c r="I115" s="4" t="str">
        <f>IFERROR(__xludf.DUMMYFUNCTION("GOOGLETRANSLATE(A115, ""en"", ""bn"")"),"১১৪")</f>
        <v>১১৪</v>
      </c>
      <c r="J115" s="4" t="str">
        <f>IFERROR(__xludf.DUMMYFUNCTION("GOOGLETRANSLATE(B115, ""en"", ""bn"")"),"একজন দৌড়বিদকে সফলভাবে ট্যাগ করার পর একজন তাড়াকারীকে কী করতে হবে?")</f>
        <v>একজন দৌড়বিদকে সফলভাবে ট্যাগ করার পর একজন তাড়াকারীকে কী করতে হবে?</v>
      </c>
      <c r="K115" s="4" t="str">
        <f>IFERROR(__xludf.DUMMYFUNCTION("GOOGLETRANSLATE(C115, ""en"", ""bn"")"),"ক) পিছিয়ে যাও, খ) হাত তুলো, গ) ""আউট"" বলে চিৎকার করো, ঘ) রেফারির কাছে রিপোর্ট করো")</f>
        <v>ক) পিছিয়ে যাও, খ) হাত তুলো, গ) "আউট" বলে চিৎকার করো, ঘ) রেফারির কাছে রিপোর্ট করো</v>
      </c>
      <c r="L115" s="4" t="str">
        <f>IFERROR(__xludf.DUMMYFUNCTION("GOOGLETRANSLATE(D115, ""en"", ""bn"")"),"খ) হাত তুলুন")</f>
        <v>খ) হাত তুলুন</v>
      </c>
      <c r="M115" s="4" t="str">
        <f>IFERROR(__xludf.DUMMYFUNCTION("GOOGLETRANSLATE(E115, ""en"", ""bn"")"),"হাত তুলে রেফারি এবং খেলোয়াড়দের উদ্দেশ্যে ট্যাগটি সংকেত দেওয়া হয়।")</f>
        <v>হাত তুলে রেফারি এবং খেলোয়াড়দের উদ্দেশ্যে ট্যাগটি সংকেত দেওয়া হয়।</v>
      </c>
    </row>
    <row r="116">
      <c r="A116" s="3">
        <v>115.0</v>
      </c>
      <c r="B116" s="3" t="s">
        <v>1402</v>
      </c>
      <c r="C116" s="3" t="s">
        <v>1403</v>
      </c>
      <c r="D116" s="3" t="s">
        <v>831</v>
      </c>
      <c r="E116" s="3" t="s">
        <v>1404</v>
      </c>
      <c r="I116" s="4" t="str">
        <f>IFERROR(__xludf.DUMMYFUNCTION("GOOGLETRANSLATE(A116, ""en"", ""bn"")"),"১১৫")</f>
        <v>১১৫</v>
      </c>
      <c r="J116" s="4" t="str">
        <f>IFERROR(__xludf.DUMMYFUNCTION("GOOGLETRANSLATE(B116, ""en"", ""bn"")"),"অধিনায়কদের মধ্যে বিরোধের ক্ষেত্রে, চূড়ান্ত কর্তৃত্ব কার হাতে থাকে?")</f>
        <v>অধিনায়কদের মধ্যে বিরোধের ক্ষেত্রে, চূড়ান্ত কর্তৃত্ব কার হাতে থাকে?</v>
      </c>
      <c r="K116" s="4" t="str">
        <f>IFERROR(__xludf.DUMMYFUNCTION("GOOGLETRANSLATE(C116, ""en"", ""bn"")"),"ক) অধিনায়ক, খ) ভিড়, গ) রেফারি, ঘ) মুদ্রা টস")</f>
        <v>ক) অধিনায়ক, খ) ভিড়, গ) রেফারি, ঘ) মুদ্রা টস</v>
      </c>
      <c r="L116" s="4" t="str">
        <f>IFERROR(__xludf.DUMMYFUNCTION("GOOGLETRANSLATE(D116, ""en"", ""bn"")"),"গ) রেফারি")</f>
        <v>গ) রেফারি</v>
      </c>
      <c r="M116" s="4" t="str">
        <f>IFERROR(__xludf.DUMMYFUNCTION("GOOGLETRANSLATE(E116, ""en"", ""bn"")"),"বিরোধের ক্ষেত্রে চূড়ান্ত কর্তৃত্ব রেফারির হাতে থাকে।")</f>
        <v>বিরোধের ক্ষেত্রে চূড়ান্ত কর্তৃত্ব রেফারির হাতে থাকে।</v>
      </c>
    </row>
    <row r="117">
      <c r="A117" s="3">
        <v>116.0</v>
      </c>
      <c r="B117" s="3" t="s">
        <v>1405</v>
      </c>
      <c r="C117" s="3" t="s">
        <v>1406</v>
      </c>
      <c r="D117" s="3" t="s">
        <v>238</v>
      </c>
      <c r="E117" s="3" t="s">
        <v>1407</v>
      </c>
      <c r="I117" s="4" t="str">
        <f>IFERROR(__xludf.DUMMYFUNCTION("GOOGLETRANSLATE(A117, ""en"", ""bn"")"),"১১৬")</f>
        <v>১১৬</v>
      </c>
      <c r="J117" s="4" t="str">
        <f>IFERROR(__xludf.DUMMYFUNCTION("GOOGLETRANSLATE(B117, ""en"", ""bn"")"),"কোন ফাউলের ​​কারণে একটি দল তাৎক্ষণিকভাবে অযোগ্য ঘোষণা হতে পারে?")</f>
        <v>কোন ফাউলের ​​কারণে একটি দল তাৎক্ষণিকভাবে অযোগ্য ঘোষণা হতে পারে?</v>
      </c>
      <c r="K117" s="4" t="str">
        <f>IFERROR(__xludf.DUMMYFUNCTION("GOOGLETRANSLATE(C117, ""en"", ""bn"")"),"ক) বারবার সীমানা থেকে বেরিয়ে যাওয়া, খ) মৌখিক নির্যাতন, গ) শারীরিক আগ্রাসন, ঘ) উপরের সবগুলো")</f>
        <v>ক) বারবার সীমানা থেকে বেরিয়ে যাওয়া, খ) মৌখিক নির্যাতন, গ) শারীরিক আগ্রাসন, ঘ) উপরের সবগুলো</v>
      </c>
      <c r="L117" s="4" t="str">
        <f>IFERROR(__xludf.DUMMYFUNCTION("GOOGLETRANSLATE(D117, ""en"", ""bn"")"),"ঘ) উপরের সবগুলো")</f>
        <v>ঘ) উপরের সবগুলো</v>
      </c>
      <c r="M117" s="4" t="str">
        <f>IFERROR(__xludf.DUMMYFUNCTION("GOOGLETRANSLATE(E117, ""en"", ""bn"")"),"বারবার বা চরম ফাউল একটি দলকে অযোগ্য ঘোষণা করতে পারে।")</f>
        <v>বারবার বা চরম ফাউল একটি দলকে অযোগ্য ঘোষণা করতে পারে।</v>
      </c>
    </row>
    <row r="118">
      <c r="A118" s="3">
        <v>117.0</v>
      </c>
      <c r="B118" s="3" t="s">
        <v>1408</v>
      </c>
      <c r="C118" s="3" t="s">
        <v>1409</v>
      </c>
      <c r="D118" s="3" t="s">
        <v>1410</v>
      </c>
      <c r="E118" s="3" t="s">
        <v>1411</v>
      </c>
      <c r="I118" s="4" t="str">
        <f>IFERROR(__xludf.DUMMYFUNCTION("GOOGLETRANSLATE(A118, ""en"", ""bn"")"),"১১৭")</f>
        <v>১১৭</v>
      </c>
      <c r="J118" s="4" t="str">
        <f>IFERROR(__xludf.DUMMYFUNCTION("GOOGLETRANSLATE(B118, ""en"", ""bn"")"),"গোল্লা চুট সংগঠিত খেলায় একজন স্কোরকিপারের ভূমিকা কী?")</f>
        <v>গোল্লা চুট সংগঠিত খেলায় একজন স্কোরকিপারের ভূমিকা কী?</v>
      </c>
      <c r="K118" s="4" t="str">
        <f>IFERROR(__xludf.DUMMYFUNCTION("GOOGLETRANSLATE(C118, ""en"", ""bn"")"),"ক) খেলোয়াড়দের তালিকা রাখুন, খ) চাট এন্ট্রি ট্র্যাক করুন, গ) দলের স্কোর রেকর্ড করুন, ঘ) বিকল্প রেফারি")</f>
        <v>ক) খেলোয়াড়দের তালিকা রাখুন, খ) চাট এন্ট্রি ট্র্যাক করুন, গ) দলের স্কোর রেকর্ড করুন, ঘ) বিকল্প রেফারি</v>
      </c>
      <c r="L118" s="4" t="str">
        <f>IFERROR(__xludf.DUMMYFUNCTION("GOOGLETRANSLATE(D118, ""en"", ""bn"")"),"গ) রেকর্ড দলীয় স্কোর")</f>
        <v>গ) রেকর্ড দলীয় স্কোর</v>
      </c>
      <c r="M118" s="4" t="str">
        <f>IFERROR(__xludf.DUMMYFUNCTION("GOOGLETRANSLATE(E118, ""en"", ""bn"")"),"স্কোরকিপাররা চট এন্ট্রি এবং পয়েন্টের রেকর্ড বজায় রাখেন।")</f>
        <v>স্কোরকিপাররা চট এন্ট্রি এবং পয়েন্টের রেকর্ড বজায় রাখেন।</v>
      </c>
    </row>
    <row r="119">
      <c r="A119" s="3">
        <v>118.0</v>
      </c>
      <c r="B119" s="3" t="s">
        <v>1412</v>
      </c>
      <c r="C119" s="3" t="s">
        <v>1413</v>
      </c>
      <c r="D119" s="3" t="s">
        <v>1414</v>
      </c>
      <c r="E119" s="3" t="s">
        <v>1415</v>
      </c>
      <c r="I119" s="4" t="str">
        <f>IFERROR(__xludf.DUMMYFUNCTION("GOOGLETRANSLATE(A119, ""en"", ""bn"")"),"১১৮")</f>
        <v>১১৮</v>
      </c>
      <c r="J119" s="4" t="str">
        <f>IFERROR(__xludf.DUMMYFUNCTION("GOOGLETRANSLATE(B119, ""en"", ""bn"")"),"ইচ্ছাকৃতভাবে খেলা বিলম্বিত করার জন্য সাধারণত কত শাস্তি হতে পারে?")</f>
        <v>ইচ্ছাকৃতভাবে খেলা বিলম্বিত করার জন্য সাধারণত কত শাস্তি হতে পারে?</v>
      </c>
      <c r="K119" s="4" t="str">
        <f>IFERROR(__xludf.DUMMYFUNCTION("GOOGLETRANSLATE(C119, ""en"", ""bn"")"),"ক) অতিরিক্ত রাউন্ড, খ) সতর্কতা, গ) পয়েন্ট হারানো, ঘ) অধিনায়কের বাদ পড়া")</f>
        <v>ক) অতিরিক্ত রাউন্ড, খ) সতর্কতা, গ) পয়েন্ট হারানো, ঘ) অধিনায়কের বাদ পড়া</v>
      </c>
      <c r="L119" s="4" t="str">
        <f>IFERROR(__xludf.DUMMYFUNCTION("GOOGLETRANSLATE(D119, ""en"", ""bn"")"),"গ) পয়েন্ট ক্ষতি")</f>
        <v>গ) পয়েন্ট ক্ষতি</v>
      </c>
      <c r="M119" s="4" t="str">
        <f>IFERROR(__xludf.DUMMYFUNCTION("GOOGLETRANSLATE(E119, ""en"", ""bn"")"),"ইচ্ছাকৃতভাবে বিলম্বকারী দলগুলি পয়েন্ট হারাতে পারে।")</f>
        <v>ইচ্ছাকৃতভাবে বিলম্বকারী দলগুলি পয়েন্ট হারাতে পারে।</v>
      </c>
    </row>
    <row r="120">
      <c r="A120" s="3">
        <v>119.0</v>
      </c>
      <c r="B120" s="3" t="s">
        <v>1416</v>
      </c>
      <c r="C120" s="3" t="s">
        <v>1417</v>
      </c>
      <c r="D120" s="3" t="s">
        <v>1418</v>
      </c>
      <c r="E120" s="3" t="s">
        <v>1419</v>
      </c>
      <c r="I120" s="4" t="str">
        <f>IFERROR(__xludf.DUMMYFUNCTION("GOOGLETRANSLATE(A120, ""en"", ""bn"")"),"১১৯")</f>
        <v>১১৯</v>
      </c>
      <c r="J120" s="4" t="str">
        <f>IFERROR(__xludf.DUMMYFUNCTION("GOOGLETRANSLATE(B120, ""en"", ""bn"")"),"শক্তি সঞ্চয়ের জন্য তাড়াকারীরা কোন প্রতিরক্ষামূলক কৌশল ব্যবহার করে?")</f>
        <v>শক্তি সঞ্চয়ের জন্য তাড়াকারীরা কোন প্রতিরক্ষামূলক কৌশল ব্যবহার করে?</v>
      </c>
      <c r="K120" s="4" t="str">
        <f>IFERROR(__xludf.DUMMYFUNCTION("GOOGLETRANSLATE(C120, ""en"", ""bn"")"),"ক) স্থির দাঁড়িয়ে থাকা, খ) ঘোরানো অবস্থান, গ) ধীরে হাঁটা, ঘ) ট্যাগিং এড়িয়ে চলুন")</f>
        <v>ক) স্থির দাঁড়িয়ে থাকা, খ) ঘোরানো অবস্থান, গ) ধীরে হাঁটা, ঘ) ট্যাগিং এড়িয়ে চলুন</v>
      </c>
      <c r="L120" s="4" t="str">
        <f>IFERROR(__xludf.DUMMYFUNCTION("GOOGLETRANSLATE(D120, ""en"", ""bn"")"),"খ) ঘূর্ণায়মান অবস্থান")</f>
        <v>খ) ঘূর্ণায়মান অবস্থান</v>
      </c>
      <c r="M120" s="4" t="str">
        <f>IFERROR(__xludf.DUMMYFUNCTION("GOOGLETRANSLATE(E120, ""en"", ""bn"")"),"দীর্ঘ রাউন্ডের সময় স্ট্যামিনা বাঁচাতে চেজাররা অবস্থান পরিবর্তন করে।")</f>
        <v>দীর্ঘ রাউন্ডের সময় স্ট্যামিনা বাঁচাতে চেজাররা অবস্থান পরিবর্তন করে।</v>
      </c>
    </row>
    <row r="121">
      <c r="A121" s="3">
        <v>120.0</v>
      </c>
      <c r="B121" s="3" t="s">
        <v>1420</v>
      </c>
      <c r="C121" s="3" t="s">
        <v>801</v>
      </c>
      <c r="D121" s="3" t="s">
        <v>897</v>
      </c>
      <c r="E121" s="3" t="s">
        <v>1421</v>
      </c>
      <c r="I121" s="4" t="str">
        <f>IFERROR(__xludf.DUMMYFUNCTION("GOOGLETRANSLATE(A121, ""en"", ""bn"")"),"১২০")</f>
        <v>১২০</v>
      </c>
      <c r="J121" s="4" t="str">
        <f>IFERROR(__xludf.DUMMYFUNCTION("GOOGLETRANSLATE(B121, ""en"", ""bn"")"),"ঐতিহ্যবাহী গোল্লা চুটে প্রতি দলে সর্বোচ্চ কতজন খেলোয়াড় থাকতে পারে?")</f>
        <v>ঐতিহ্যবাহী গোল্লা চুটে প্রতি দলে সর্বোচ্চ কতজন খেলোয়াড় থাকতে পারে?</v>
      </c>
      <c r="K121" s="4" t="str">
        <f>IFERROR(__xludf.DUMMYFUNCTION("GOOGLETRANSLATE(C121, ""en"", ""bn"")"),"ক) ৫, খ) ৬, গ) ৭, ঘ) ৯")</f>
        <v>ক) ৫, খ) ৬, গ) ৭, ঘ) ৯</v>
      </c>
      <c r="L121" s="4" t="str">
        <f>IFERROR(__xludf.DUMMYFUNCTION("GOOGLETRANSLATE(D121, ""en"", ""bn"")"),"গ) ৭")</f>
        <v>গ) ৭</v>
      </c>
      <c r="M121" s="4" t="str">
        <f>IFERROR(__xludf.DUMMYFUNCTION("GOOGLETRANSLATE(E121, ""en"", ""bn"")"),"ঐতিহ্যবাহী নিয়ম অনুসারে প্রতিটি দলের খেলোয়াড় সংখ্যা ৭ জন।")</f>
        <v>ঐতিহ্যবাহী নিয়ম অনুসারে প্রতিটি দলের খেলোয়াড় সংখ্যা ৭ জন।</v>
      </c>
    </row>
    <row r="122">
      <c r="A122" s="3">
        <v>121.0</v>
      </c>
      <c r="B122" s="3" t="s">
        <v>1422</v>
      </c>
      <c r="C122" s="3" t="s">
        <v>1423</v>
      </c>
      <c r="D122" s="3" t="s">
        <v>1187</v>
      </c>
      <c r="E122" s="3" t="s">
        <v>1424</v>
      </c>
      <c r="I122" s="4" t="str">
        <f>IFERROR(__xludf.DUMMYFUNCTION("GOOGLETRANSLATE(A122, ""en"", ""bn"")"),"১২১")</f>
        <v>১২১</v>
      </c>
      <c r="J122" s="4" t="str">
        <f>IFERROR(__xludf.DUMMYFUNCTION("GOOGLETRANSLATE(B122, ""en"", ""bn"")"),"শুরুর দল (ধাওয়াকারী বনাম দৌড়বিদ) সাধারণত কীভাবে সিদ্ধান্ত নেওয়া হয়?")</f>
        <v>শুরুর দল (ধাওয়াকারী বনাম দৌড়বিদ) সাধারণত কীভাবে সিদ্ধান্ত নেওয়া হয়?</v>
      </c>
      <c r="K122" s="4" t="str">
        <f>IFERROR(__xludf.DUMMYFUNCTION("GOOGLETRANSLATE(C122, ""en"", ""bn"")"),"ক) বয়স অনুসারে, খ) রেফারি দ্বারা, গ) মুদ্রা টস দ্বারা, ঘ) পছন্দ অনুসারে")</f>
        <v>ক) বয়স অনুসারে, খ) রেফারি দ্বারা, গ) মুদ্রা টস দ্বারা, ঘ) পছন্দ অনুসারে</v>
      </c>
      <c r="L122" s="4" t="str">
        <f>IFERROR(__xludf.DUMMYFUNCTION("GOOGLETRANSLATE(D122, ""en"", ""bn"")"),"গ) মুদ্রা টস দ্বারা")</f>
        <v>গ) মুদ্রা টস দ্বারা</v>
      </c>
      <c r="M122" s="4" t="str">
        <f>IFERROR(__xludf.DUMMYFUNCTION("GOOGLETRANSLATE(E122, ""en"", ""bn"")"),"কয়েন টস প্রথম ডিফেন্ডিং দলের সিদ্ধান্ত নেয়।")</f>
        <v>কয়েন টস প্রথম ডিফেন্ডিং দলের সিদ্ধান্ত নেয়।</v>
      </c>
    </row>
    <row r="123">
      <c r="A123" s="3">
        <v>122.0</v>
      </c>
      <c r="B123" s="3" t="s">
        <v>1425</v>
      </c>
      <c r="C123" s="3" t="s">
        <v>1426</v>
      </c>
      <c r="D123" s="3" t="s">
        <v>1427</v>
      </c>
      <c r="E123" s="3" t="s">
        <v>1428</v>
      </c>
      <c r="I123" s="4" t="str">
        <f>IFERROR(__xludf.DUMMYFUNCTION("GOOGLETRANSLATE(A123, ""en"", ""bn"")"),"১২২")</f>
        <v>১২২</v>
      </c>
      <c r="J123" s="4" t="str">
        <f>IFERROR(__xludf.DUMMYFUNCTION("GOOGLETRANSLATE(B123, ""en"", ""bn"")"),"রাউন্ড শুরু হওয়ার আগে সকল খেলোয়াড়দের কী করতে হবে?")</f>
        <v>রাউন্ড শুরু হওয়ার আগে সকল খেলোয়াড়দের কী করতে হবে?</v>
      </c>
      <c r="K123" s="4" t="str">
        <f>IFERROR(__xludf.DUMMYFUNCTION("GOOGLETRANSLATE(C123, ""en"", ""bn"")"),"ক) করমর্দন, খ) চুটে দাঁড়ানো, গ) কেন্দ্রীয় রেখা স্পর্শ করা, ঘ) সীমানার ভিতরে থাকা")</f>
        <v>ক) করমর্দন, খ) চুটে দাঁড়ানো, গ) কেন্দ্রীয় রেখা স্পর্শ করা, ঘ) সীমানার ভিতরে থাকা</v>
      </c>
      <c r="L123" s="4" t="str">
        <f>IFERROR(__xludf.DUMMYFUNCTION("GOOGLETRANSLATE(D123, ""en"", ""bn"")"),"ঘ) সীমানার ভেতরে থাকা")</f>
        <v>ঘ) সীমানার ভেতরে থাকা</v>
      </c>
      <c r="M123" s="4" t="str">
        <f>IFERROR(__xludf.DUMMYFUNCTION("GOOGLETRANSLATE(E123, ""en"", ""bn"")"),"খেলা শুরুর আগে প্রত্যেক খেলোয়াড়কে খেলার সীমানার মধ্যে থাকতে হবে।")</f>
        <v>খেলা শুরুর আগে প্রত্যেক খেলোয়াড়কে খেলার সীমানার মধ্যে থাকতে হবে।</v>
      </c>
    </row>
    <row r="124">
      <c r="A124" s="3">
        <v>123.0</v>
      </c>
      <c r="B124" s="3" t="s">
        <v>1429</v>
      </c>
      <c r="C124" s="3" t="s">
        <v>1430</v>
      </c>
      <c r="D124" s="3" t="s">
        <v>1431</v>
      </c>
      <c r="E124" s="3" t="s">
        <v>1432</v>
      </c>
      <c r="I124" s="4" t="str">
        <f>IFERROR(__xludf.DUMMYFUNCTION("GOOGLETRANSLATE(A124, ""en"", ""bn"")"),"১২৩")</f>
        <v>১২৩</v>
      </c>
      <c r="J124" s="4" t="str">
        <f>IFERROR(__xludf.DUMMYFUNCTION("GOOGLETRANSLATE(B124, ""en"", ""bn"")"),"রানারদের স্কোর করার জন্য কোন ক্ষেত্রটি অতিক্রম করতে হবে তা কোন রেখা দ্বারা সংজ্ঞায়িত করা হয়?")</f>
        <v>রানারদের স্কোর করার জন্য কোন ক্ষেত্রটি অতিক্রম করতে হবে তা কোন রেখা দ্বারা সংজ্ঞায়িত করা হয়?</v>
      </c>
      <c r="K124" s="4" t="str">
        <f>IFERROR(__xludf.DUMMYFUNCTION("GOOGLETRANSLATE(C124, ""en"", ""bn"")"),"ক) শেষ রেখা, খ) চুট রেখা, গ) সীমানা রেখা, ঘ) মধ্য রেখা")</f>
        <v>ক) শেষ রেখা, খ) চুট রেখা, গ) সীমানা রেখা, ঘ) মধ্য রেখা</v>
      </c>
      <c r="L124" s="4" t="str">
        <f>IFERROR(__xludf.DUMMYFUNCTION("GOOGLETRANSLATE(D124, ""en"", ""bn"")"),"ক) শেষ রেখা")</f>
        <v>ক) শেষ রেখা</v>
      </c>
      <c r="M124" s="4" t="str">
        <f>IFERROR(__xludf.DUMMYFUNCTION("GOOGLETRANSLATE(E124, ""en"", ""bn"")"),"চুটের বাইরের শেষ রেখা অতিক্রম করলে একটি পয়েন্ট পাওয়া যায়।")</f>
        <v>চুটের বাইরের শেষ রেখা অতিক্রম করলে একটি পয়েন্ট পাওয়া যায়।</v>
      </c>
    </row>
    <row r="125">
      <c r="A125" s="3">
        <v>124.0</v>
      </c>
      <c r="B125" s="3" t="s">
        <v>1433</v>
      </c>
      <c r="C125" s="3" t="s">
        <v>1434</v>
      </c>
      <c r="D125" s="3" t="s">
        <v>1077</v>
      </c>
      <c r="E125" s="3" t="s">
        <v>1435</v>
      </c>
      <c r="I125" s="4" t="str">
        <f>IFERROR(__xludf.DUMMYFUNCTION("GOOGLETRANSLATE(A125, ""en"", ""bn"")"),"১২৪")</f>
        <v>১২৪</v>
      </c>
      <c r="J125" s="4" t="str">
        <f>IFERROR(__xludf.DUMMYFUNCTION("GOOGLETRANSLATE(B125, ""en"", ""bn"")"),"একজন দৌড়বিদ কি অসীম সময় ধরে চুদে থাকতে পারেন?")</f>
        <v>একজন দৌড়বিদ কি অসীম সময় ধরে চুদে থাকতে পারেন?</v>
      </c>
      <c r="K125" s="4" t="str">
        <f>IFERROR(__xludf.DUMMYFUNCTION("GOOGLETRANSLATE(C125, ""en"", ""bn"")"),"ক) হ্যাঁ, খ) না, গ) কেবল অধিনায়কই পারবেন, ঘ) কেবল একবারই")</f>
        <v>ক) হ্যাঁ, খ) না, গ) কেবল অধিনায়কই পারবেন, ঘ) কেবল একবারই</v>
      </c>
      <c r="L125" s="4" t="str">
        <f>IFERROR(__xludf.DUMMYFUNCTION("GOOGLETRANSLATE(D125, ""en"", ""bn"")"),"খ) না")</f>
        <v>খ) না</v>
      </c>
      <c r="M125" s="4" t="str">
        <f>IFERROR(__xludf.DUMMYFUNCTION("GOOGLETRANSLATE(E125, ""en"", ""bn"")"),"চুদে বেশিক্ষণ থাকা নিষেধ; দৌড়ানোর চেষ্টা করতে হবে।")</f>
        <v>চুদে বেশিক্ষণ থাকা নিষেধ; দৌড়ানোর চেষ্টা করতে হবে।</v>
      </c>
    </row>
    <row r="126">
      <c r="A126" s="3">
        <v>125.0</v>
      </c>
      <c r="B126" s="3" t="s">
        <v>1436</v>
      </c>
      <c r="C126" s="3" t="s">
        <v>1437</v>
      </c>
      <c r="D126" s="3" t="s">
        <v>1438</v>
      </c>
      <c r="E126" s="3" t="s">
        <v>1439</v>
      </c>
      <c r="I126" s="4" t="str">
        <f>IFERROR(__xludf.DUMMYFUNCTION("GOOGLETRANSLATE(A126, ""en"", ""bn"")"),"১২৫")</f>
        <v>১২৫</v>
      </c>
      <c r="J126" s="4" t="str">
        <f>IFERROR(__xludf.DUMMYFUNCTION("GOOGLETRANSLATE(B126, ""en"", ""bn"")"),"তাড়া করার সময় ধাওয়াকারীদের সীমানার বাইরে পা রাখার নিয়ম কী?")</f>
        <v>তাড়া করার সময় ধাওয়াকারীদের সীমানার বাইরে পা রাখার নিয়ম কী?</v>
      </c>
      <c r="K126" s="4" t="str">
        <f>IFERROR(__xludf.DUMMYFUNCTION("GOOGLETRANSLATE(C126, ""en"", ""bn"")"),"ক) একবার অনুমোদিত, খ) দুবার অনুমোদিত, গ) অনুমোদিত নয়, ঘ) শুধুমাত্র ক্যাপ্টেন অনুমোদিত")</f>
        <v>ক) একবার অনুমোদিত, খ) দুবার অনুমোদিত, গ) অনুমোদিত নয়, ঘ) শুধুমাত্র ক্যাপ্টেন অনুমোদিত</v>
      </c>
      <c r="L126" s="4" t="str">
        <f>IFERROR(__xludf.DUMMYFUNCTION("GOOGLETRANSLATE(D126, ""en"", ""bn"")"),"গ) অনুমোদিত নয়")</f>
        <v>গ) অনুমোদিত নয়</v>
      </c>
      <c r="M126" s="4" t="str">
        <f>IFERROR(__xludf.DUMMYFUNCTION("GOOGLETRANSLATE(E126, ""en"", ""bn"")"),"তাড়া করার সময় তাড়াকারীদের অবশ্যই সীমানার ভিতরে থাকতে হবে।")</f>
        <v>তাড়া করার সময় তাড়াকারীদের অবশ্যই সীমানার ভিতরে থাকতে হবে।</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36.25"/>
    <col customWidth="1" min="5" max="5" width="37.63"/>
    <col customWidth="1" min="9" max="12" width="37.63"/>
  </cols>
  <sheetData>
    <row r="1">
      <c r="A1" s="1" t="s">
        <v>0</v>
      </c>
      <c r="B1" s="1" t="s">
        <v>1</v>
      </c>
      <c r="C1" s="1" t="s">
        <v>2</v>
      </c>
      <c r="D1" s="1" t="s">
        <v>3</v>
      </c>
      <c r="E1" s="1" t="s">
        <v>4</v>
      </c>
      <c r="H1" s="2" t="s">
        <v>5</v>
      </c>
      <c r="I1" s="2" t="s">
        <v>6</v>
      </c>
      <c r="J1" s="2" t="s">
        <v>7</v>
      </c>
      <c r="K1" s="2" t="s">
        <v>8</v>
      </c>
      <c r="L1" s="2" t="s">
        <v>9</v>
      </c>
    </row>
    <row r="2">
      <c r="A2" s="3">
        <v>1.0</v>
      </c>
      <c r="B2" s="3" t="s">
        <v>1440</v>
      </c>
      <c r="C2" s="3" t="s">
        <v>1441</v>
      </c>
      <c r="D2" s="3" t="s">
        <v>226</v>
      </c>
      <c r="E2" s="3" t="s">
        <v>1442</v>
      </c>
      <c r="H2" s="4" t="str">
        <f>IFERROR(__xludf.DUMMYFUNCTION("GOOGLETRANSLATE(A2, ""en"", ""bn"")"),"১")</f>
        <v>১</v>
      </c>
      <c r="I2" s="4" t="str">
        <f>IFERROR(__xludf.DUMMYFUNCTION("GOOGLETRANSLATE(B2, ""en"", ""bn"")"),"হা-ডু-ডুতে, প্রতিটি দলে কতজন খেলোয়াড় থাকে?")</f>
        <v>হা-ডু-ডুতে, প্রতিটি দলে কতজন খেলোয়াড় থাকে?</v>
      </c>
      <c r="J2" s="4" t="str">
        <f>IFERROR(__xludf.DUMMYFUNCTION("GOOGLETRANSLATE(C2, ""en"", ""bn"")"),"ক) ৫, খ) ৭, গ) ৯, ঘ) ১১")</f>
        <v>ক) ৫, খ) ৭, গ) ৯, ঘ) ১১</v>
      </c>
      <c r="K2" s="4" t="str">
        <f>IFERROR(__xludf.DUMMYFUNCTION("GOOGLETRANSLATE(D2, ""en"", ""bn"")"),"খ) ৭")</f>
        <v>খ) ৭</v>
      </c>
      <c r="L2" s="4" t="str">
        <f>IFERROR(__xludf.DUMMYFUNCTION("GOOGLETRANSLATE(E2, ""en"", ""bn"")"),"প্রতিটি দলে হা-ডু-ডুতে ৭ জন খেলোয়াড় থাকে।")</f>
        <v>প্রতিটি দলে হা-ডু-ডুতে ৭ জন খেলোয়াড় থাকে।</v>
      </c>
    </row>
    <row r="3">
      <c r="A3" s="3">
        <v>2.0</v>
      </c>
      <c r="B3" s="3" t="s">
        <v>1443</v>
      </c>
      <c r="C3" s="3" t="s">
        <v>1444</v>
      </c>
      <c r="D3" s="3" t="s">
        <v>1445</v>
      </c>
      <c r="E3" s="3" t="s">
        <v>1446</v>
      </c>
      <c r="H3" s="4" t="str">
        <f>IFERROR(__xludf.DUMMYFUNCTION("GOOGLETRANSLATE(A3, ""en"", ""bn"")"),"২")</f>
        <v>২</v>
      </c>
      <c r="I3" s="4" t="str">
        <f>IFERROR(__xludf.DUMMYFUNCTION("GOOGLETRANSLATE(B3, ""en"", ""bn"")"),"হা-ডু-ডুতে মাঠে একটি দলের কতজন খেলোয়াড় থাকতে পারে?")</f>
        <v>হা-ডু-ডুতে মাঠে একটি দলের কতজন খেলোয়াড় থাকতে পারে?</v>
      </c>
      <c r="J3" s="4" t="str">
        <f>IFERROR(__xludf.DUMMYFUNCTION("GOOGLETRANSLATE(C3, ""en"", ""bn"")"),"ক) ৩, খ) ৪, গ) ৫, ঘ) ৬")</f>
        <v>ক) ৩, খ) ৪, গ) ৫, ঘ) ৬</v>
      </c>
      <c r="K3" s="4" t="str">
        <f>IFERROR(__xludf.DUMMYFUNCTION("GOOGLETRANSLATE(D3, ""en"", ""bn"")"),"গ) ৫")</f>
        <v>গ) ৫</v>
      </c>
      <c r="L3" s="4" t="str">
        <f>IFERROR(__xludf.DUMMYFUNCTION("GOOGLETRANSLATE(E3, ""en"", ""bn"")"),"খেলার সময় একটি দলের মাঠে ৫ জন খেলোয়াড় থাকে।")</f>
        <v>খেলার সময় একটি দলের মাঠে ৫ জন খেলোয়াড় থাকে।</v>
      </c>
    </row>
    <row r="4">
      <c r="A4" s="3">
        <v>3.0</v>
      </c>
      <c r="B4" s="3" t="s">
        <v>1447</v>
      </c>
      <c r="C4" s="3" t="s">
        <v>1448</v>
      </c>
      <c r="D4" s="3" t="s">
        <v>1449</v>
      </c>
      <c r="E4" s="3" t="s">
        <v>1450</v>
      </c>
      <c r="H4" s="4" t="str">
        <f>IFERROR(__xludf.DUMMYFUNCTION("GOOGLETRANSLATE(A4, ""en"", ""bn"")"),"৩")</f>
        <v>৩</v>
      </c>
      <c r="I4" s="4" t="str">
        <f>IFERROR(__xludf.DUMMYFUNCTION("GOOGLETRANSLATE(B4, ""en"", ""bn"")"),"হা-ডু-ডুতে, আক্রমণকারীর মূল লক্ষ্য কী?")</f>
        <v>হা-ডু-ডুতে, আক্রমণকারীর মূল লক্ষ্য কী?</v>
      </c>
      <c r="J4" s="4" t="str">
        <f>IFERROR(__xludf.DUMMYFUNCTION("GOOGLETRANSLATE(C4, ""en"", ""bn"")"),"ক) পয়েন্ট অর্জন করো, খ) প্রতিপক্ষকে ব্লক করো, গ) দলকে রক্ষা করো, ঘ) খেলোয়াড়দের ট্যাগ করো")</f>
        <v>ক) পয়েন্ট অর্জন করো, খ) প্রতিপক্ষকে ব্লক করো, গ) দলকে রক্ষা করো, ঘ) খেলোয়াড়দের ট্যাগ করো</v>
      </c>
      <c r="K4" s="4" t="str">
        <f>IFERROR(__xludf.DUMMYFUNCTION("GOOGLETRANSLATE(D4, ""en"", ""bn"")"),"ক) পয়েন্ট অর্জন")</f>
        <v>ক) পয়েন্ট অর্জন</v>
      </c>
      <c r="L4" s="4" t="str">
        <f>IFERROR(__xludf.DUMMYFUNCTION("GOOGLETRANSLATE(E4, ""en"", ""bn"")"),"রেইডারের লক্ষ্য হলো প্রতিপক্ষ খেলোয়াড়দের ট্যাগ করে পয়েন্ট অর্জন করা।")</f>
        <v>রেইডারের লক্ষ্য হলো প্রতিপক্ষ খেলোয়াড়দের ট্যাগ করে পয়েন্ট অর্জন করা।</v>
      </c>
    </row>
    <row r="5">
      <c r="A5" s="3">
        <v>4.0</v>
      </c>
      <c r="B5" s="3" t="s">
        <v>1451</v>
      </c>
      <c r="C5" s="3" t="s">
        <v>1452</v>
      </c>
      <c r="D5" s="3" t="s">
        <v>1453</v>
      </c>
      <c r="E5" s="3" t="s">
        <v>1454</v>
      </c>
      <c r="H5" s="4" t="str">
        <f>IFERROR(__xludf.DUMMYFUNCTION("GOOGLETRANSLATE(A5, ""en"", ""bn"")"),"৪")</f>
        <v>৪</v>
      </c>
      <c r="I5" s="4" t="str">
        <f>IFERROR(__xludf.DUMMYFUNCTION("GOOGLETRANSLATE(B5, ""en"", ""bn"")"),"যখন একজন আক্রমণকারীকে হা-ডু-ডু ট্যাগ করা হয় তখন কী হয়?")</f>
        <v>যখন একজন আক্রমণকারীকে হা-ডু-ডু ট্যাগ করা হয় তখন কী হয়?</v>
      </c>
      <c r="J5" s="4" t="str">
        <f>IFERROR(__xludf.DUMMYFUNCTION("GOOGLETRANSLATE(C5, ""en"", ""bn"")"),"ক) তারা দলে ফিরে আসে, খ) তারা বাদ পড়ে, গ) তারা চালিয়ে যেতে পারে, ঘ) তারা পয়েন্ট অর্জন করে")</f>
        <v>ক) তারা দলে ফিরে আসে, খ) তারা বাদ পড়ে, গ) তারা চালিয়ে যেতে পারে, ঘ) তারা পয়েন্ট অর্জন করে</v>
      </c>
      <c r="K5" s="4" t="str">
        <f>IFERROR(__xludf.DUMMYFUNCTION("GOOGLETRANSLATE(D5, ""en"", ""bn"")"),"খ) তারা বাদ পড়ে যায়")</f>
        <v>খ) তারা বাদ পড়ে যায়</v>
      </c>
      <c r="L5" s="4" t="str">
        <f>IFERROR(__xludf.DUMMYFUNCTION("GOOGLETRANSLATE(E5, ""en"", ""bn"")"),"একজন রেইডার যার ট্যাগ থাকে তাকে খেলা থেকে বাদ দেওয়া হয়।")</f>
        <v>একজন রেইডার যার ট্যাগ থাকে তাকে খেলা থেকে বাদ দেওয়া হয়।</v>
      </c>
    </row>
    <row r="6">
      <c r="A6" s="3">
        <v>5.0</v>
      </c>
      <c r="B6" s="3" t="s">
        <v>1455</v>
      </c>
      <c r="C6" s="3" t="s">
        <v>1456</v>
      </c>
      <c r="D6" s="3" t="s">
        <v>1457</v>
      </c>
      <c r="E6" s="3" t="s">
        <v>1458</v>
      </c>
      <c r="H6" s="4" t="str">
        <f>IFERROR(__xludf.DUMMYFUNCTION("GOOGLETRANSLATE(A6, ""en"", ""bn"")"),"৫")</f>
        <v>৫</v>
      </c>
      <c r="I6" s="4" t="str">
        <f>IFERROR(__xludf.DUMMYFUNCTION("GOOGLETRANSLATE(B6, ""en"", ""bn"")"),"হা-ডু-ডুতে একজন রেইডারকে প্রতিপক্ষের পাশে কতক্ষণ থাকতে হয়?")</f>
        <v>হা-ডু-ডুতে একজন রেইডারকে প্রতিপক্ষের পাশে কতক্ষণ থাকতে হয়?</v>
      </c>
      <c r="J6" s="4" t="str">
        <f>IFERROR(__xludf.DUMMYFUNCTION("GOOGLETRANSLATE(C6, ""en"", ""bn"")"),"ক) ১০ সেকেন্ড, খ) ১৫ সেকেন্ড, গ) ২০ সেকেন্ড, ঘ) ৩০ সেকেন্ড")</f>
        <v>ক) ১০ সেকেন্ড, খ) ১৫ সেকেন্ড, গ) ২০ সেকেন্ড, ঘ) ৩০ সেকেন্ড</v>
      </c>
      <c r="K6" s="4" t="str">
        <f>IFERROR(__xludf.DUMMYFUNCTION("GOOGLETRANSLATE(D6, ""en"", ""bn"")"),"খ) ১৫ সেকেন্ড")</f>
        <v>খ) ১৫ সেকেন্ড</v>
      </c>
      <c r="L6" s="4" t="str">
        <f>IFERROR(__xludf.DUMMYFUNCTION("GOOGLETRANSLATE(E6, ""en"", ""bn"")"),"একজন আক্রমণকারীকে ১৫ সেকেন্ডের মধ্যে ফিরে আসতে হবে, অন্যথায় তাকে শাস্তি পেতে হবে।")</f>
        <v>একজন আক্রমণকারীকে ১৫ সেকেন্ডের মধ্যে ফিরে আসতে হবে, অন্যথায় তাকে শাস্তি পেতে হবে।</v>
      </c>
    </row>
    <row r="7">
      <c r="A7" s="3">
        <v>6.0</v>
      </c>
      <c r="B7" s="3" t="s">
        <v>1459</v>
      </c>
      <c r="C7" s="3" t="s">
        <v>1460</v>
      </c>
      <c r="D7" s="3" t="s">
        <v>566</v>
      </c>
      <c r="E7" s="3" t="s">
        <v>1461</v>
      </c>
      <c r="H7" s="4" t="str">
        <f>IFERROR(__xludf.DUMMYFUNCTION("GOOGLETRANSLATE(A7, ""en"", ""bn"")"),"৬")</f>
        <v>৬</v>
      </c>
      <c r="I7" s="4" t="str">
        <f>IFERROR(__xludf.DUMMYFUNCTION("GOOGLETRANSLATE(B7, ""en"", ""bn"")"),"হা-ডু-ডুতে, একজন রেইডার যখন সফলভাবে প্রতিপক্ষকে ট্যাগ করে তখন কত পয়েন্ট পাওয়া যায়?")</f>
        <v>হা-ডু-ডুতে, একজন রেইডার যখন সফলভাবে প্রতিপক্ষকে ট্যাগ করে তখন কত পয়েন্ট পাওয়া যায়?</v>
      </c>
      <c r="J7" s="4" t="str">
        <f>IFERROR(__xludf.DUMMYFUNCTION("GOOGLETRANSLATE(C7, ""en"", ""bn"")"),"ক) ১, খ) ২, গ) ৩, ঘ) ৫")</f>
        <v>ক) ১, খ) ২, গ) ৩, ঘ) ৫</v>
      </c>
      <c r="K7" s="4" t="str">
        <f>IFERROR(__xludf.DUMMYFUNCTION("GOOGLETRANSLATE(D7, ""en"", ""bn"")"),"ক) ১")</f>
        <v>ক) ১</v>
      </c>
      <c r="L7" s="4" t="str">
        <f>IFERROR(__xludf.DUMMYFUNCTION("GOOGLETRANSLATE(E7, ""en"", ""bn"")"),"রেইডারের প্রতিটি সফল ট্যাগ তাদের দলের জন্য ১ পয়েন্ট অর্জন করে।")</f>
        <v>রেইডারের প্রতিটি সফল ট্যাগ তাদের দলের জন্য ১ পয়েন্ট অর্জন করে।</v>
      </c>
    </row>
    <row r="8">
      <c r="A8" s="3">
        <v>7.0</v>
      </c>
      <c r="B8" s="3" t="s">
        <v>1462</v>
      </c>
      <c r="C8" s="3" t="s">
        <v>1463</v>
      </c>
      <c r="D8" s="3" t="s">
        <v>1464</v>
      </c>
      <c r="E8" s="3" t="s">
        <v>1465</v>
      </c>
      <c r="H8" s="4" t="str">
        <f>IFERROR(__xludf.DUMMYFUNCTION("GOOGLETRANSLATE(A8, ""en"", ""bn"")"),"৭")</f>
        <v>৭</v>
      </c>
      <c r="I8" s="4" t="str">
        <f>IFERROR(__xludf.DUMMYFUNCTION("GOOGLETRANSLATE(B8, ""en"", ""bn"")"),"হা-ডু-ডু ম্যাচের শুরুতে কোন দলের সুবিধা বেশি?")</f>
        <v>হা-ডু-ডু ম্যাচের শুরুতে কোন দলের সুবিধা বেশি?</v>
      </c>
      <c r="J8" s="4" t="str">
        <f>IFERROR(__xludf.DUMMYFUNCTION("GOOGLETRANSLATE(C8, ""en"", ""bn"")"),"ক) ডিফেন্ডিং দল, খ) আক্রমণকারী দল, গ) এলোমেলো, ঘ) কোনও সুবিধা নেই")</f>
        <v>ক) ডিফেন্ডিং দল, খ) আক্রমণকারী দল, গ) এলোমেলো, ঘ) কোনও সুবিধা নেই</v>
      </c>
      <c r="K8" s="4" t="str">
        <f>IFERROR(__xludf.DUMMYFUNCTION("GOOGLETRANSLATE(D8, ""en"", ""bn"")"),"খ) আক্রমণকারী দল")</f>
        <v>খ) আক্রমণকারী দল</v>
      </c>
      <c r="L8" s="4" t="str">
        <f>IFERROR(__xludf.DUMMYFUNCTION("GOOGLETRANSLATE(E8, ""en"", ""bn"")"),"আক্রমণাত্মক দলের খেলা শুরু করার সুবিধা থাকে।")</f>
        <v>আক্রমণাত্মক দলের খেলা শুরু করার সুবিধা থাকে।</v>
      </c>
    </row>
    <row r="9">
      <c r="A9" s="3">
        <v>8.0</v>
      </c>
      <c r="B9" s="3" t="s">
        <v>1466</v>
      </c>
      <c r="C9" s="3" t="s">
        <v>1467</v>
      </c>
      <c r="D9" s="3" t="s">
        <v>1468</v>
      </c>
      <c r="E9" s="3" t="s">
        <v>1469</v>
      </c>
      <c r="H9" s="4" t="str">
        <f>IFERROR(__xludf.DUMMYFUNCTION("GOOGLETRANSLATE(A9, ""en"", ""bn"")"),"৮")</f>
        <v>৮</v>
      </c>
      <c r="I9" s="4" t="str">
        <f>IFERROR(__xludf.DUMMYFUNCTION("GOOGLETRANSLATE(B9, ""en"", ""bn"")"),"হা-ডু-ডুতে, খেলা কখন শেষ হয়?")</f>
        <v>হা-ডু-ডুতে, খেলা কখন শেষ হয়?</v>
      </c>
      <c r="J9" s="4" t="str">
        <f>IFERROR(__xludf.DUMMYFUNCTION("GOOGLETRANSLATE(C9, ""en"", ""bn"")"),"ক) যখন সকল খেলোয়াড়কে ট্যাগ করা হয়, খ) সময় শেষ হয়ে গেলে, গ) নির্দিষ্ট সংখ্যক রাউন্ডের পরে, ঘ) যখন একটি দল ২০ পয়েন্ট স্কোর করে")</f>
        <v>ক) যখন সকল খেলোয়াড়কে ট্যাগ করা হয়, খ) সময় শেষ হয়ে গেলে, গ) নির্দিষ্ট সংখ্যক রাউন্ডের পরে, ঘ) যখন একটি দল ২০ পয়েন্ট স্কোর করে</v>
      </c>
      <c r="K9" s="4" t="str">
        <f>IFERROR(__xludf.DUMMYFUNCTION("GOOGLETRANSLATE(D9, ""en"", ""bn"")"),"খ) যখন সময় ফুরিয়ে যায়")</f>
        <v>খ) যখন সময় ফুরিয়ে যায়</v>
      </c>
      <c r="L9" s="4" t="str">
        <f>IFERROR(__xludf.DUMMYFUNCTION("GOOGLETRANSLATE(E9, ""en"", ""bn"")"),"নির্ধারিত সময় শেষ হলে খেলা শেষ হয়।")</f>
        <v>নির্ধারিত সময় শেষ হলে খেলা শেষ হয়।</v>
      </c>
    </row>
    <row r="10">
      <c r="A10" s="3">
        <v>9.0</v>
      </c>
      <c r="B10" s="3" t="s">
        <v>1470</v>
      </c>
      <c r="C10" s="3" t="s">
        <v>1471</v>
      </c>
      <c r="D10" s="3" t="s">
        <v>1472</v>
      </c>
      <c r="E10" s="3" t="s">
        <v>1473</v>
      </c>
      <c r="H10" s="4" t="str">
        <f>IFERROR(__xludf.DUMMYFUNCTION("GOOGLETRANSLATE(A10, ""en"", ""bn"")"),"৯")</f>
        <v>৯</v>
      </c>
      <c r="I10" s="4" t="str">
        <f>IFERROR(__xludf.DUMMYFUNCTION("GOOGLETRANSLATE(B10, ""en"", ""bn"")"),"হা-ডু-ডুতে, যদি উভয় দল শেষে সমান পয়েন্ট করে তাহলে কী হবে?")</f>
        <v>হা-ডু-ডুতে, যদি উভয় দল শেষে সমান পয়েন্ট করে তাহলে কী হবে?</v>
      </c>
      <c r="J10" s="4" t="str">
        <f>IFERROR(__xludf.DUMMYFUNCTION("GOOGLETRANSLATE(C10, ""en"", ""bn"")"),"ক) সাডেন ডেথ রাউন্ড, খ) অতিরিক্ত সময়, গ) ড্র, ঘ) রিপ্লে")</f>
        <v>ক) সাডেন ডেথ রাউন্ড, খ) অতিরিক্ত সময়, গ) ড্র, ঘ) রিপ্লে</v>
      </c>
      <c r="K10" s="4" t="str">
        <f>IFERROR(__xludf.DUMMYFUNCTION("GOOGLETRANSLATE(D10, ""en"", ""bn"")"),"গ) অঙ্কন")</f>
        <v>গ) অঙ্কন</v>
      </c>
      <c r="L10" s="4" t="str">
        <f>IFERROR(__xludf.DUMMYFUNCTION("GOOGLETRANSLATE(E10, ""en"", ""bn"")"),"যদি পয়েন্ট সমান হয়, তাহলে ম্যাচটি ড্র হবে।")</f>
        <v>যদি পয়েন্ট সমান হয়, তাহলে ম্যাচটি ড্র হবে।</v>
      </c>
    </row>
    <row r="11">
      <c r="A11" s="3">
        <v>10.0</v>
      </c>
      <c r="B11" s="3" t="s">
        <v>1474</v>
      </c>
      <c r="C11" s="3" t="s">
        <v>23</v>
      </c>
      <c r="D11" s="3" t="s">
        <v>24</v>
      </c>
      <c r="E11" s="3" t="s">
        <v>1475</v>
      </c>
      <c r="H11" s="4" t="str">
        <f>IFERROR(__xludf.DUMMYFUNCTION("GOOGLETRANSLATE(A11, ""en"", ""bn"")"),"১০")</f>
        <v>১০</v>
      </c>
      <c r="I11" s="4" t="str">
        <f>IFERROR(__xludf.DUMMYFUNCTION("GOOGLETRANSLATE(B11, ""en"", ""bn"")"),"একটি আদর্শ হা-ডু-ডু খেলায় কয়টি অর্ধাংশ থাকে?")</f>
        <v>একটি আদর্শ হা-ডু-ডু খেলায় কয়টি অর্ধাংশ থাকে?</v>
      </c>
      <c r="J11" s="4" t="str">
        <f>IFERROR(__xludf.DUMMYFUNCTION("GOOGLETRANSLATE(C11, ""en"", ""bn"")"),"ক) ১, খ) ২, গ) ৩, ঘ) ৪")</f>
        <v>ক) ১, খ) ২, গ) ৩, ঘ) ৪</v>
      </c>
      <c r="K11" s="4" t="str">
        <f>IFERROR(__xludf.DUMMYFUNCTION("GOOGLETRANSLATE(D11, ""en"", ""bn"")"),"খ) ২")</f>
        <v>খ) ২</v>
      </c>
      <c r="L11" s="4" t="str">
        <f>IFERROR(__xludf.DUMMYFUNCTION("GOOGLETRANSLATE(E11, ""en"", ""bn"")"),"একটি হা-ডু-ডু ম্যাচে দুটি অংশ থাকে।")</f>
        <v>একটি হা-ডু-ডু ম্যাচে দুটি অংশ থাকে।</v>
      </c>
    </row>
    <row r="12">
      <c r="A12" s="3">
        <v>11.0</v>
      </c>
      <c r="B12" s="3" t="s">
        <v>1476</v>
      </c>
      <c r="C12" s="3" t="s">
        <v>1477</v>
      </c>
      <c r="D12" s="3" t="s">
        <v>1478</v>
      </c>
      <c r="E12" s="3" t="s">
        <v>1479</v>
      </c>
      <c r="H12" s="4" t="str">
        <f>IFERROR(__xludf.DUMMYFUNCTION("GOOGLETRANSLATE(A12, ""en"", ""bn"")"),"১১")</f>
        <v>১১</v>
      </c>
      <c r="I12" s="4" t="str">
        <f>IFERROR(__xludf.DUMMYFUNCTION("GOOGLETRANSLATE(B12, ""en"", ""bn"")"),"হা-ডু-ডু ম্যাচের সর্বোচ্চ সময়কাল কত?")</f>
        <v>হা-ডু-ডু ম্যাচের সর্বোচ্চ সময়কাল কত?</v>
      </c>
      <c r="J12" s="4" t="str">
        <f>IFERROR(__xludf.DUMMYFUNCTION("GOOGLETRANSLATE(C12, ""en"", ""bn"")"),"ক) ১৫ মিনিট, খ) ৩০ মিনিট, গ) ৪৫ মিনিট, ঘ) ৬০ মিনিট")</f>
        <v>ক) ১৫ মিনিট, খ) ৩০ মিনিট, গ) ৪৫ মিনিট, ঘ) ৬০ মিনিট</v>
      </c>
      <c r="K12" s="4" t="str">
        <f>IFERROR(__xludf.DUMMYFUNCTION("GOOGLETRANSLATE(D12, ""en"", ""bn"")"),"খ) ৩০ মিনিট")</f>
        <v>খ) ৩০ মিনিট</v>
      </c>
      <c r="L12" s="4" t="str">
        <f>IFERROR(__xludf.DUMMYFUNCTION("GOOGLETRANSLATE(E12, ""en"", ""bn"")"),"একটি হা-ডু-ডু খেলা সাধারণত ৩০ মিনিট স্থায়ী হয়।")</f>
        <v>একটি হা-ডু-ডু খেলা সাধারণত ৩০ মিনিট স্থায়ী হয়।</v>
      </c>
    </row>
    <row r="13">
      <c r="A13" s="3">
        <v>12.0</v>
      </c>
      <c r="B13" s="3" t="s">
        <v>1480</v>
      </c>
      <c r="C13" s="3" t="s">
        <v>1481</v>
      </c>
      <c r="D13" s="3" t="s">
        <v>238</v>
      </c>
      <c r="E13" s="3" t="s">
        <v>1482</v>
      </c>
      <c r="H13" s="4" t="str">
        <f>IFERROR(__xludf.DUMMYFUNCTION("GOOGLETRANSLATE(A13, ""en"", ""bn"")"),"১২")</f>
        <v>১২</v>
      </c>
      <c r="I13" s="4" t="str">
        <f>IFERROR(__xludf.DUMMYFUNCTION("GOOGLETRANSLATE(B13, ""en"", ""bn"")"),"হা-ডু-ডুতে, একজন খেলোয়াড়কে কীভাবে বাদ দেওয়া হয়?")</f>
        <v>হা-ডু-ডুতে, একজন খেলোয়াড়কে কীভাবে বাদ দেওয়া হয়?</v>
      </c>
      <c r="J13" s="4" t="str">
        <f>IFERROR(__xludf.DUMMYFUNCTION("GOOGLETRANSLATE(C13, ""en"", ""bn"")"),"ক) ট্যাগযুক্ত হওয়ার মাধ্যমে, খ) সময়মতো ফিরে আসতে ব্যর্থ হওয়ার মাধ্যমে, গ) সীমানা পেরিয়ে যাওয়ার মাধ্যমে, ঘ) উপরের সবগুলোই")</f>
        <v>ক) ট্যাগযুক্ত হওয়ার মাধ্যমে, খ) সময়মতো ফিরে আসতে ব্যর্থ হওয়ার মাধ্যমে, গ) সীমানা পেরিয়ে যাওয়ার মাধ্যমে, ঘ) উপরের সবগুলোই</v>
      </c>
      <c r="K13" s="4" t="str">
        <f>IFERROR(__xludf.DUMMYFUNCTION("GOOGLETRANSLATE(D13, ""en"", ""bn"")"),"ঘ) উপরের সবগুলো")</f>
        <v>ঘ) উপরের সবগুলো</v>
      </c>
      <c r="L13" s="4" t="str">
        <f>IFERROR(__xludf.DUMMYFUNCTION("GOOGLETRANSLATE(E13, ""en"", ""bn"")"),"একজন খেলোয়াড়কে ট্যাগ করা হলে, সময়মতো ফিরে না আসতে পারলে, অথবা সীমানা ছাড়িয়ে গেলে বাদ দেওয়া যেতে পারে।")</f>
        <v>একজন খেলোয়াড়কে ট্যাগ করা হলে, সময়মতো ফিরে না আসতে পারলে, অথবা সীমানা ছাড়িয়ে গেলে বাদ দেওয়া যেতে পারে।</v>
      </c>
    </row>
    <row r="14">
      <c r="A14" s="3">
        <v>13.0</v>
      </c>
      <c r="B14" s="3" t="s">
        <v>1483</v>
      </c>
      <c r="C14" s="3" t="s">
        <v>1484</v>
      </c>
      <c r="D14" s="3" t="s">
        <v>1485</v>
      </c>
      <c r="E14" s="3" t="s">
        <v>1486</v>
      </c>
      <c r="H14" s="4" t="str">
        <f>IFERROR(__xludf.DUMMYFUNCTION("GOOGLETRANSLATE(A14, ""en"", ""bn"")"),"১৩")</f>
        <v>১৩</v>
      </c>
      <c r="I14" s="4" t="str">
        <f>IFERROR(__xludf.DUMMYFUNCTION("GOOGLETRANSLATE(B14, ""en"", ""bn"")"),"হা-ডু-ডুতে নিচের কোনটি একটি পেনাল্টি?")</f>
        <v>হা-ডু-ডুতে নিচের কোনটি একটি পেনাল্টি?</v>
      </c>
      <c r="J14" s="4" t="str">
        <f>IFERROR(__xludf.DUMMYFUNCTION("GOOGLETRANSLATE(C14, ""en"", ""bn"")"),"ক) প্রতিপক্ষকে ট্যাগ না করা, খ) ১৫ সেকেন্ডের মধ্যে ফিরে না আসা, গ) খুব আক্রমণাত্মকভাবে রক্ষণ করা, ঘ) কোনও পেনাল্টি না দেওয়া")</f>
        <v>ক) প্রতিপক্ষকে ট্যাগ না করা, খ) ১৫ সেকেন্ডের মধ্যে ফিরে না আসা, গ) খুব আক্রমণাত্মকভাবে রক্ষণ করা, ঘ) কোনও পেনাল্টি না দেওয়া</v>
      </c>
      <c r="K14" s="4" t="str">
        <f>IFERROR(__xludf.DUMMYFUNCTION("GOOGLETRANSLATE(D14, ""en"", ""bn"")"),"খ) ১৫ সেকেন্ডের মধ্যে ফিরে না আসা")</f>
        <v>খ) ১৫ সেকেন্ডের মধ্যে ফিরে না আসা</v>
      </c>
      <c r="L14" s="4" t="str">
        <f>IFERROR(__xludf.DUMMYFUNCTION("GOOGLETRANSLATE(E14, ""en"", ""bn"")"),"১৫ সেকেন্ডের সময়সীমার মধ্যে ফিরে না আসার জন্য জরিমানা দেওয়া হয়।")</f>
        <v>১৫ সেকেন্ডের সময়সীমার মধ্যে ফিরে না আসার জন্য জরিমানা দেওয়া হয়।</v>
      </c>
    </row>
    <row r="15">
      <c r="A15" s="3">
        <v>14.0</v>
      </c>
      <c r="B15" s="3" t="s">
        <v>1487</v>
      </c>
      <c r="C15" s="3" t="s">
        <v>1488</v>
      </c>
      <c r="D15" s="3" t="s">
        <v>1489</v>
      </c>
      <c r="E15" s="3" t="s">
        <v>1490</v>
      </c>
      <c r="H15" s="4" t="str">
        <f>IFERROR(__xludf.DUMMYFUNCTION("GOOGLETRANSLATE(A15, ""en"", ""bn"")"),"১৪")</f>
        <v>১৪</v>
      </c>
      <c r="I15" s="4" t="str">
        <f>IFERROR(__xludf.DUMMYFUNCTION("GOOGLETRANSLATE(B15, ""en"", ""bn"")"),"একজন খেলোয়াড়কে হা-ডু-ডুতে ট্যাগ করা হবে কিনা তা কে নির্ধারণ করে?")</f>
        <v>একজন খেলোয়াড়কে হা-ডু-ডুতে ট্যাগ করা হবে কিনা তা কে নির্ধারণ করে?</v>
      </c>
      <c r="J15" s="4" t="str">
        <f>IFERROR(__xludf.DUMMYFUNCTION("GOOGLETRANSLATE(C15, ""en"", ""bn"")"),"ক) রেফারি, খ) দলের অধিনায়ক, গ) প্রতিপক্ষ, ঘ) দর্শক")</f>
        <v>ক) রেফারি, খ) দলের অধিনায়ক, গ) প্রতিপক্ষ, ঘ) দর্শক</v>
      </c>
      <c r="K15" s="4" t="str">
        <f>IFERROR(__xludf.DUMMYFUNCTION("GOOGLETRANSLATE(D15, ""en"", ""bn"")"),"ক) রেফারি")</f>
        <v>ক) রেফারি</v>
      </c>
      <c r="L15" s="4" t="str">
        <f>IFERROR(__xludf.DUMMYFUNCTION("GOOGLETRANSLATE(E15, ""en"", ""bn"")"),"রেফারি সিদ্ধান্ত নেন যে কোনও খেলোয়াড়কে হা-ডু-ডু ট্যাগ করা হবে কিনা।")</f>
        <v>রেফারি সিদ্ধান্ত নেন যে কোনও খেলোয়াড়কে হা-ডু-ডু ট্যাগ করা হবে কিনা।</v>
      </c>
    </row>
    <row r="16">
      <c r="A16" s="3">
        <v>15.0</v>
      </c>
      <c r="B16" s="3" t="s">
        <v>1491</v>
      </c>
      <c r="C16" s="3" t="s">
        <v>1492</v>
      </c>
      <c r="D16" s="3" t="s">
        <v>1493</v>
      </c>
      <c r="E16" s="3" t="s">
        <v>1494</v>
      </c>
      <c r="H16" s="4" t="str">
        <f>IFERROR(__xludf.DUMMYFUNCTION("GOOGLETRANSLATE(A16, ""en"", ""bn"")"),"১৫")</f>
        <v>১৫</v>
      </c>
      <c r="I16" s="4" t="str">
        <f>IFERROR(__xludf.DUMMYFUNCTION("GOOGLETRANSLATE(B16, ""en"", ""bn"")"),"হা-ডু-ডুতে প্রতিরক্ষামূলক দলের জন্য কী শব্দটি ব্যবহৃত হয়?")</f>
        <v>হা-ডু-ডুতে প্রতিরক্ষামূলক দলের জন্য কী শব্দটি ব্যবহৃত হয়?</v>
      </c>
      <c r="J16" s="4" t="str">
        <f>IFERROR(__xludf.DUMMYFUNCTION("GOOGLETRANSLATE(C16, ""en"", ""bn"")"),"ক) আক্রমণকারী, খ) আক্রমণকারী, গ) রক্ষক, ঘ) ব্লকার")</f>
        <v>ক) আক্রমণকারী, খ) আক্রমণকারী, গ) রক্ষক, ঘ) ব্লকার</v>
      </c>
      <c r="K16" s="4" t="str">
        <f>IFERROR(__xludf.DUMMYFUNCTION("GOOGLETRANSLATE(D16, ""en"", ""bn"")"),"গ) ডিফেন্ডার")</f>
        <v>গ) ডিফেন্ডার</v>
      </c>
      <c r="L16" s="4" t="str">
        <f>IFERROR(__xludf.DUMMYFUNCTION("GOOGLETRANSLATE(E16, ""en"", ""bn"")"),"রক্ষণাত্মক দিকের দলকে রক্ষণভাগের দল বলা হয়।")</f>
        <v>রক্ষণাত্মক দিকের দলকে রক্ষণভাগের দল বলা হয়।</v>
      </c>
    </row>
    <row r="17">
      <c r="A17" s="3">
        <v>16.0</v>
      </c>
      <c r="B17" s="3" t="s">
        <v>1495</v>
      </c>
      <c r="C17" s="3" t="s">
        <v>1496</v>
      </c>
      <c r="D17" s="3" t="s">
        <v>226</v>
      </c>
      <c r="E17" s="3" t="s">
        <v>1497</v>
      </c>
      <c r="H17" s="4" t="str">
        <f>IFERROR(__xludf.DUMMYFUNCTION("GOOGLETRANSLATE(A17, ""en"", ""bn"")"),"১৬")</f>
        <v>১৬</v>
      </c>
      <c r="I17" s="4" t="str">
        <f>IFERROR(__xludf.DUMMYFUNCTION("GOOGLETRANSLATE(B17, ""en"", ""bn"")"),"হা-ডু-ডুতে, একজন আক্রমণকারীকে কত সেকেন্ড একটানা 'হা-ডু-ডু' জপ করতে হবে?")</f>
        <v>হা-ডু-ডুতে, একজন আক্রমণকারীকে কত সেকেন্ড একটানা 'হা-ডু-ডু' জপ করতে হবে?</v>
      </c>
      <c r="J17" s="4" t="str">
        <f>IFERROR(__xludf.DUMMYFUNCTION("GOOGLETRANSLATE(C17, ""en"", ""bn"")"),"ক) ৫, খ) ৭, গ) ১০, ঘ) ১৫")</f>
        <v>ক) ৫, খ) ৭, গ) ১০, ঘ) ১৫</v>
      </c>
      <c r="K17" s="4" t="str">
        <f>IFERROR(__xludf.DUMMYFUNCTION("GOOGLETRANSLATE(D17, ""en"", ""bn"")"),"খ) ৭")</f>
        <v>খ) ৭</v>
      </c>
      <c r="L17" s="4" t="str">
        <f>IFERROR(__xludf.DUMMYFUNCTION("GOOGLETRANSLATE(E17, ""en"", ""bn"")"),"আক্রমণকারীকে তাদের উদ্দেশ্য বোঝাতে ৭ সেকেন্ড ধরে 'হা-দু-দু' জপ করতে হবে।")</f>
        <v>আক্রমণকারীকে তাদের উদ্দেশ্য বোঝাতে ৭ সেকেন্ড ধরে 'হা-দু-দু' জপ করতে হবে।</v>
      </c>
    </row>
    <row r="18">
      <c r="A18" s="3">
        <v>17.0</v>
      </c>
      <c r="B18" s="3" t="s">
        <v>1498</v>
      </c>
      <c r="C18" s="3" t="s">
        <v>1499</v>
      </c>
      <c r="D18" s="3" t="s">
        <v>1500</v>
      </c>
      <c r="E18" s="3" t="s">
        <v>1501</v>
      </c>
      <c r="H18" s="4" t="str">
        <f>IFERROR(__xludf.DUMMYFUNCTION("GOOGLETRANSLATE(A18, ""en"", ""bn"")"),"১৭")</f>
        <v>১৭</v>
      </c>
      <c r="I18" s="4" t="str">
        <f>IFERROR(__xludf.DUMMYFUNCTION("GOOGLETRANSLATE(B18, ""en"", ""bn"")"),"হা-ডু-ডুতে 'ব্লকার'-এর ভূমিকা কী?")</f>
        <v>হা-ডু-ডুতে 'ব্লকার'-এর ভূমিকা কী?</v>
      </c>
      <c r="J18" s="4" t="str">
        <f>IFERROR(__xludf.DUMMYFUNCTION("GOOGLETRANSLATE(C18, ""en"", ""bn"")"),"ক) প্রতিপক্ষকে ট্যাগ করা, খ) আক্রমণকারীদের ট্যাগ করা থেকে রক্ষা করা এবং প্রতিরোধ করা, গ) পয়েন্ট অর্জন করা, ঘ) কৌশল হিসেবে কাজ করা")</f>
        <v>ক) প্রতিপক্ষকে ট্যাগ করা, খ) আক্রমণকারীদের ট্যাগ করা থেকে রক্ষা করা এবং প্রতিরোধ করা, গ) পয়েন্ট অর্জন করা, ঘ) কৌশল হিসেবে কাজ করা</v>
      </c>
      <c r="K18" s="4" t="str">
        <f>IFERROR(__xludf.DUMMYFUNCTION("GOOGLETRANSLATE(D18, ""en"", ""bn"")"),"খ) আক্রমণকারীদের ট্যাগিং থেকে রক্ষা করা এবং প্রতিরোধ করা")</f>
        <v>খ) আক্রমণকারীদের ট্যাগিং থেকে রক্ষা করা এবং প্রতিরোধ করা</v>
      </c>
      <c r="L18" s="4" t="str">
        <f>IFERROR(__xludf.DUMMYFUNCTION("GOOGLETRANSLATE(E18, ""en"", ""bn"")"),"ব্লকাররা রেইডারদের খেলোয়াড়দের ট্যাগ করা বা পয়েন্ট স্কোর করা থেকে বিরত রাখে।")</f>
        <v>ব্লকাররা রেইডারদের খেলোয়াড়দের ট্যাগ করা বা পয়েন্ট স্কোর করা থেকে বিরত রাখে।</v>
      </c>
    </row>
    <row r="19">
      <c r="A19" s="3">
        <v>18.0</v>
      </c>
      <c r="B19" s="3" t="s">
        <v>1502</v>
      </c>
      <c r="C19" s="3" t="s">
        <v>1503</v>
      </c>
      <c r="D19" s="3" t="s">
        <v>1504</v>
      </c>
      <c r="E19" s="3" t="s">
        <v>1505</v>
      </c>
      <c r="H19" s="4" t="str">
        <f>IFERROR(__xludf.DUMMYFUNCTION("GOOGLETRANSLATE(A19, ""en"", ""bn"")"),"১৮")</f>
        <v>১৮</v>
      </c>
      <c r="I19" s="4" t="str">
        <f>IFERROR(__xludf.DUMMYFUNCTION("GOOGLETRANSLATE(B19, ""en"", ""bn"")"),"হা-ডু-ডুতে ট্যাগ আউট হওয়ার পর কি একজন খেলোয়াড় আবার খেলায় প্রবেশ করতে পারে?")</f>
        <v>হা-ডু-ডুতে ট্যাগ আউট হওয়ার পর কি একজন খেলোয়াড় আবার খেলায় প্রবেশ করতে পারে?</v>
      </c>
      <c r="J19" s="4" t="str">
        <f>IFERROR(__xludf.DUMMYFUNCTION("GOOGLETRANSLATE(C19, ""en"", ""bn"")"),"ক) হ্যাঁ, এক রাউন্ডের পরে, খ) না, তারা বাইরে থাকে, গ) হ্যাঁ, একটি সময়ের পেনাল্টির পরে, ঘ) হ্যাঁ, যদি তাদের প্রতিস্থাপন করা হয়")</f>
        <v>ক) হ্যাঁ, এক রাউন্ডের পরে, খ) না, তারা বাইরে থাকে, গ) হ্যাঁ, একটি সময়ের পেনাল্টির পরে, ঘ) হ্যাঁ, যদি তাদের প্রতিস্থাপন করা হয়</v>
      </c>
      <c r="K19" s="4" t="str">
        <f>IFERROR(__xludf.DUMMYFUNCTION("GOOGLETRANSLATE(D19, ""en"", ""bn"")"),"খ) না, তারা বাইরে থাকে")</f>
        <v>খ) না, তারা বাইরে থাকে</v>
      </c>
      <c r="L19" s="4" t="str">
        <f>IFERROR(__xludf.DUMMYFUNCTION("GOOGLETRANSLATE(E19, ""en"", ""bn"")"),"একবার ট্যাগ আউট হয়ে গেলে, খেলোয়াড় পরবর্তী রাউন্ড পর্যন্ত খেলায় পুনরায় প্রবেশ করতে পারবেন না।")</f>
        <v>একবার ট্যাগ আউট হয়ে গেলে, খেলোয়াড় পরবর্তী রাউন্ড পর্যন্ত খেলায় পুনরায় প্রবেশ করতে পারবেন না।</v>
      </c>
    </row>
    <row r="20">
      <c r="A20" s="3">
        <v>19.0</v>
      </c>
      <c r="B20" s="3" t="s">
        <v>1506</v>
      </c>
      <c r="C20" s="3" t="s">
        <v>1507</v>
      </c>
      <c r="D20" s="3" t="s">
        <v>897</v>
      </c>
      <c r="E20" s="3" t="s">
        <v>1508</v>
      </c>
      <c r="H20" s="4" t="str">
        <f>IFERROR(__xludf.DUMMYFUNCTION("GOOGLETRANSLATE(A20, ""en"", ""bn"")"),"১৯")</f>
        <v>১৯</v>
      </c>
      <c r="I20" s="4" t="str">
        <f>IFERROR(__xludf.DUMMYFUNCTION("GOOGLETRANSLATE(B20, ""en"", ""bn"")"),"হা-ডু-ডুতে একটি দলে সর্বোচ্চ কতজন খেলোয়াড় থাকতে পারে?")</f>
        <v>হা-ডু-ডুতে একটি দলে সর্বোচ্চ কতজন খেলোয়াড় থাকতে পারে?</v>
      </c>
      <c r="J20" s="4" t="str">
        <f>IFERROR(__xludf.DUMMYFUNCTION("GOOGLETRANSLATE(C20, ""en"", ""bn"")"),"ক) ৫, খ) ৬, গ) ৭, ঘ) ৮")</f>
        <v>ক) ৫, খ) ৬, গ) ৭, ঘ) ৮</v>
      </c>
      <c r="K20" s="4" t="str">
        <f>IFERROR(__xludf.DUMMYFUNCTION("GOOGLETRANSLATE(D20, ""en"", ""bn"")"),"গ) ৭")</f>
        <v>গ) ৭</v>
      </c>
      <c r="L20" s="4" t="str">
        <f>IFERROR(__xludf.DUMMYFUNCTION("GOOGLETRANSLATE(E20, ""en"", ""bn"")"),"হা-ডু-ডুতে একটি দলে সর্বোচ্চ ৭ জন খেলোয়াড় থাকতে পারে।")</f>
        <v>হা-ডু-ডুতে একটি দলে সর্বোচ্চ ৭ জন খেলোয়াড় থাকতে পারে।</v>
      </c>
    </row>
    <row r="21">
      <c r="A21" s="3">
        <v>20.0</v>
      </c>
      <c r="B21" s="3" t="s">
        <v>1509</v>
      </c>
      <c r="C21" s="3" t="s">
        <v>1510</v>
      </c>
      <c r="D21" s="3" t="s">
        <v>1511</v>
      </c>
      <c r="E21" s="3" t="s">
        <v>1512</v>
      </c>
      <c r="H21" s="4" t="str">
        <f>IFERROR(__xludf.DUMMYFUNCTION("GOOGLETRANSLATE(A21, ""en"", ""bn"")"),"২০")</f>
        <v>২০</v>
      </c>
      <c r="I21" s="4" t="str">
        <f>IFERROR(__xludf.DUMMYFUNCTION("GOOGLETRANSLATE(B21, ""en"", ""bn"")"),"হা-ডু-ডুতে, যখন একজন আক্রমণকারী রেখা স্পর্শ করে তখন কী ঘটে?")</f>
        <v>হা-ডু-ডুতে, যখন একজন আক্রমণকারী রেখা স্পর্শ করে তখন কী ঘটে?</v>
      </c>
      <c r="J21" s="4" t="str">
        <f>IFERROR(__xludf.DUMMYFUNCTION("GOOGLETRANSLATE(C21, ""en"", ""bn"")"),"ক) বিন্দুটি অকার্যকর, খ) আক্রমণকারীকে বাদ দেওয়া হয়, গ) ডিফেন্ডারকে শাস্তি দেওয়া হয়, ঘ) কিছুই ঘটে না")</f>
        <v>ক) বিন্দুটি অকার্যকর, খ) আক্রমণকারীকে বাদ দেওয়া হয়, গ) ডিফেন্ডারকে শাস্তি দেওয়া হয়, ঘ) কিছুই ঘটে না</v>
      </c>
      <c r="K21" s="4" t="str">
        <f>IFERROR(__xludf.DUMMYFUNCTION("GOOGLETRANSLATE(D21, ""en"", ""bn"")"),"খ) আক্রমণকারীকে বাদ দেওয়া হয়")</f>
        <v>খ) আক্রমণকারীকে বাদ দেওয়া হয়</v>
      </c>
      <c r="L21" s="4" t="str">
        <f>IFERROR(__xludf.DUMMYFUNCTION("GOOGLETRANSLATE(E21, ""en"", ""bn"")"),"যদি রেইডার লাইন স্পর্শ করে, তাহলে তারা রাউন্ড থেকে বাদ পড়ে যাবে।")</f>
        <v>যদি রেইডার লাইন স্পর্শ করে, তাহলে তারা রাউন্ড থেকে বাদ পড়ে যাবে।</v>
      </c>
    </row>
    <row r="22">
      <c r="A22" s="3">
        <v>21.0</v>
      </c>
      <c r="B22" s="3" t="s">
        <v>1513</v>
      </c>
      <c r="C22" s="3" t="s">
        <v>1514</v>
      </c>
      <c r="D22" s="3" t="s">
        <v>1515</v>
      </c>
      <c r="E22" s="3" t="s">
        <v>1516</v>
      </c>
      <c r="H22" s="4" t="str">
        <f>IFERROR(__xludf.DUMMYFUNCTION("GOOGLETRANSLATE(A22, ""en"", ""bn"")"),"২১")</f>
        <v>২১</v>
      </c>
      <c r="I22" s="4" t="str">
        <f>IFERROR(__xludf.DUMMYFUNCTION("GOOGLETRANSLATE(B22, ""en"", ""bn"")"),"হা-ডু-ডুতে, যদি একজন রেইডার প্রতিপক্ষের দলের সকল খেলোয়াড়কে সফলভাবে ট্যাগ করে তাহলে কী হবে?")</f>
        <v>হা-ডু-ডুতে, যদি একজন রেইডার প্রতিপক্ষের দলের সকল খেলোয়াড়কে সফলভাবে ট্যাগ করে তাহলে কী হবে?</v>
      </c>
      <c r="J22" s="4" t="str">
        <f>IFERROR(__xludf.DUMMYFUNCTION("GOOGLETRANSLATE(C22, ""en"", ""bn"")"),"ক) খেলা শেষ, খ) অতিরিক্ত পয়েন্ট দেওয়া হয়েছে, গ) দল জিতেছে, ঘ) কিছুই হয়নি")</f>
        <v>ক) খেলা শেষ, খ) অতিরিক্ত পয়েন্ট দেওয়া হয়েছে, গ) দল জিতেছে, ঘ) কিছুই হয়নি</v>
      </c>
      <c r="K22" s="4" t="str">
        <f>IFERROR(__xludf.DUMMYFUNCTION("GOOGLETRANSLATE(D22, ""en"", ""bn"")"),"গ) দলের জয়")</f>
        <v>গ) দলের জয়</v>
      </c>
      <c r="L22" s="4" t="str">
        <f>IFERROR(__xludf.DUMMYFUNCTION("GOOGLETRANSLATE(E22, ""en"", ""bn"")"),"যদি একজন রেইডার সকল খেলোয়াড়কে ট্যাগ করে, তাহলে তার দল রাউন্ডে জয়লাভ করবে।")</f>
        <v>যদি একজন রেইডার সকল খেলোয়াড়কে ট্যাগ করে, তাহলে তার দল রাউন্ডে জয়লাভ করবে।</v>
      </c>
    </row>
    <row r="23">
      <c r="A23" s="3">
        <v>22.0</v>
      </c>
      <c r="B23" s="3" t="s">
        <v>1517</v>
      </c>
      <c r="C23" s="3" t="s">
        <v>1518</v>
      </c>
      <c r="D23" s="3" t="s">
        <v>1519</v>
      </c>
      <c r="E23" s="3" t="s">
        <v>1520</v>
      </c>
      <c r="H23" s="4" t="str">
        <f>IFERROR(__xludf.DUMMYFUNCTION("GOOGLETRANSLATE(A23, ""en"", ""bn"")"),"২২")</f>
        <v>২২</v>
      </c>
      <c r="I23" s="4" t="str">
        <f>IFERROR(__xludf.DUMMYFUNCTION("GOOGLETRANSLATE(B23, ""en"", ""bn"")"),"হা-ডু-ডুতে প্রধান প্রতিরক্ষা কৌশল কী?")</f>
        <v>হা-ডু-ডুতে প্রধান প্রতিরক্ষা কৌশল কী?</v>
      </c>
      <c r="J23" s="4" t="str">
        <f>IFERROR(__xludf.DUMMYFUNCTION("GOOGLETRANSLATE(C23, ""en"", ""bn"")"),"ক) ব্লক করা, খ) এড়িয়ে যাওয়া, গ) আক্রমণাত্মক ট্যাগিং, ঘ) লাইন রক্ষা করা")</f>
        <v>ক) ব্লক করা, খ) এড়িয়ে যাওয়া, গ) আক্রমণাত্মক ট্যাগিং, ঘ) লাইন রক্ষা করা</v>
      </c>
      <c r="K23" s="4" t="str">
        <f>IFERROR(__xludf.DUMMYFUNCTION("GOOGLETRANSLATE(D23, ""en"", ""bn"")"),"ক) ব্লকিং")</f>
        <v>ক) ব্লকিং</v>
      </c>
      <c r="L23" s="4" t="str">
        <f>IFERROR(__xludf.DUMMYFUNCTION("GOOGLETRANSLATE(E23, ""en"", ""bn"")"),"একজন আক্রমণকারীকে ট্যাগ করা থেকে বিরত রাখার জন্য ব্লকিং হল মূল প্রতিরক্ষা কৌশল।")</f>
        <v>একজন আক্রমণকারীকে ট্যাগ করা থেকে বিরত রাখার জন্য ব্লকিং হল মূল প্রতিরক্ষা কৌশল।</v>
      </c>
    </row>
    <row r="24">
      <c r="A24" s="3">
        <v>23.0</v>
      </c>
      <c r="B24" s="3" t="s">
        <v>1521</v>
      </c>
      <c r="C24" s="3" t="s">
        <v>1522</v>
      </c>
      <c r="D24" s="3" t="s">
        <v>1523</v>
      </c>
      <c r="E24" s="3" t="s">
        <v>1524</v>
      </c>
      <c r="H24" s="4" t="str">
        <f>IFERROR(__xludf.DUMMYFUNCTION("GOOGLETRANSLATE(A24, ""en"", ""bn"")"),"২৩")</f>
        <v>২৩</v>
      </c>
      <c r="I24" s="4" t="str">
        <f>IFERROR(__xludf.DUMMYFUNCTION("GOOGLETRANSLATE(B24, ""en"", ""bn"")"),"হা-ডু-ডুতে, যখন একটি দল পয়েন্ট করে তখন কী ঘটে?")</f>
        <v>হা-ডু-ডুতে, যখন একটি দল পয়েন্ট করে তখন কী ঘটে?</v>
      </c>
      <c r="J24" s="4" t="str">
        <f>IFERROR(__xludf.DUMMYFUNCTION("GOOGLETRANSLATE(C24, ""en"", ""bn"")"),"ক) তারা একজন বোনাস খেলোয়াড় পায়, খ) তারা ভূমিকা পরিবর্তন করে, গ) তারা আক্রমণ চালিয়ে যায়, ঘ) খেলা থেমে যায়")</f>
        <v>ক) তারা একজন বোনাস খেলোয়াড় পায়, খ) তারা ভূমিকা পরিবর্তন করে, গ) তারা আক্রমণ চালিয়ে যায়, ঘ) খেলা থেমে যায়</v>
      </c>
      <c r="K24" s="4" t="str">
        <f>IFERROR(__xludf.DUMMYFUNCTION("GOOGLETRANSLATE(D24, ""en"", ""bn"")"),"খ) তারা ভূমিকা পরিবর্তন করে")</f>
        <v>খ) তারা ভূমিকা পরিবর্তন করে</v>
      </c>
      <c r="L24" s="4" t="str">
        <f>IFERROR(__xludf.DUMMYFUNCTION("GOOGLETRANSLATE(E24, ""en"", ""bn"")"),"একটি পয়েন্ট অর্জনের পর, আক্রমণাত্মক এবং রক্ষণাত্মক ভূমিকা পরিবর্তন হয়।")</f>
        <v>একটি পয়েন্ট অর্জনের পর, আক্রমণাত্মক এবং রক্ষণাত্মক ভূমিকা পরিবর্তন হয়।</v>
      </c>
    </row>
    <row r="25">
      <c r="A25" s="3">
        <v>24.0</v>
      </c>
      <c r="B25" s="3" t="s">
        <v>1525</v>
      </c>
      <c r="C25" s="3" t="s">
        <v>1526</v>
      </c>
      <c r="D25" s="3" t="s">
        <v>1527</v>
      </c>
      <c r="E25" s="3" t="s">
        <v>1528</v>
      </c>
      <c r="H25" s="4" t="str">
        <f>IFERROR(__xludf.DUMMYFUNCTION("GOOGLETRANSLATE(A25, ""en"", ""bn"")"),"২৪")</f>
        <v>২৪</v>
      </c>
      <c r="I25" s="4" t="str">
        <f>IFERROR(__xludf.DUMMYFUNCTION("GOOGLETRANSLATE(B25, ""en"", ""bn"")"),"হা-ডু-ডুতে, একজন 'হানাদার'-এর ভূমিকা কী?")</f>
        <v>হা-ডু-ডুতে, একজন 'হানাদার'-এর ভূমিকা কী?</v>
      </c>
      <c r="J25" s="4" t="str">
        <f>IFERROR(__xludf.DUMMYFUNCTION("GOOGLETRANSLATE(C25, ""en"", ""bn"")"),"ক) রক্ষা করা, খ) ট্যাগিং করে পয়েন্ট অর্জন করা, গ) ব্লক করা, ঘ) ব্লকারদের সহায়তা করা")</f>
        <v>ক) রক্ষা করা, খ) ট্যাগিং করে পয়েন্ট অর্জন করা, গ) ব্লক করা, ঘ) ব্লকারদের সহায়তা করা</v>
      </c>
      <c r="K25" s="4" t="str">
        <f>IFERROR(__xludf.DUMMYFUNCTION("GOOGLETRANSLATE(D25, ""en"", ""bn"")"),"খ) ট্যাগিং করে পয়েন্ট অর্জন করা")</f>
        <v>খ) ট্যাগিং করে পয়েন্ট অর্জন করা</v>
      </c>
      <c r="L25" s="4" t="str">
        <f>IFERROR(__xludf.DUMMYFUNCTION("GOOGLETRANSLATE(E25, ""en"", ""bn"")"),"একজন রেইডারের ভূমিকা হলো প্রতিপক্ষ দলের খেলোয়াড়দের ট্যাগ করে পয়েন্ট অর্জন করা।")</f>
        <v>একজন রেইডারের ভূমিকা হলো প্রতিপক্ষ দলের খেলোয়াড়দের ট্যাগ করে পয়েন্ট অর্জন করা।</v>
      </c>
    </row>
    <row r="26">
      <c r="A26" s="3">
        <v>25.0</v>
      </c>
      <c r="B26" s="3" t="s">
        <v>1529</v>
      </c>
      <c r="C26" s="3" t="s">
        <v>1530</v>
      </c>
      <c r="D26" s="3" t="s">
        <v>1531</v>
      </c>
      <c r="E26" s="3" t="s">
        <v>1532</v>
      </c>
      <c r="H26" s="4" t="str">
        <f>IFERROR(__xludf.DUMMYFUNCTION("GOOGLETRANSLATE(A26, ""en"", ""bn"")"),"২৫")</f>
        <v>২৫</v>
      </c>
      <c r="I26" s="4" t="str">
        <f>IFERROR(__xludf.DUMMYFUNCTION("GOOGLETRANSLATE(B26, ""en"", ""bn"")"),"হা-ডু-ডু ম্যাচের বিজয়ী কীভাবে নির্ধারিত হয়?")</f>
        <v>হা-ডু-ডু ম্যাচের বিজয়ী কীভাবে নির্ধারিত হয়?</v>
      </c>
      <c r="J26" s="4" t="str">
        <f>IFERROR(__xludf.DUMMYFUNCTION("GOOGLETRANSLATE(C26, ""en"", ""bn"")"),"ক) সর্বোচ্চ স্কোর অনুসারে, খ) শেষ খেলোয়াড়ের অবস্থান অনুসারে, গ) সর্বাধিক ট্যাগ অনুসারে, ঘ) সবচেয়ে সফল প্রতিরক্ষা অনুসারে")</f>
        <v>ক) সর্বোচ্চ স্কোর অনুসারে, খ) শেষ খেলোয়াড়ের অবস্থান অনুসারে, গ) সর্বাধিক ট্যাগ অনুসারে, ঘ) সবচেয়ে সফল প্রতিরক্ষা অনুসারে</v>
      </c>
      <c r="K26" s="4" t="str">
        <f>IFERROR(__xludf.DUMMYFUNCTION("GOOGLETRANSLATE(D26, ""en"", ""bn"")"),"ক) সর্বোচ্চ স্কোর অনুসারে")</f>
        <v>ক) সর্বোচ্চ স্কোর অনুসারে</v>
      </c>
      <c r="L26" s="4" t="str">
        <f>IFERROR(__xludf.DUMMYFUNCTION("GOOGLETRANSLATE(E26, ""en"", ""bn"")"),"খেলা শেষে সর্বোচ্চ স্কোরকারী দল জয়ী হয়।")</f>
        <v>খেলা শেষে সর্বোচ্চ স্কোরকারী দল জয়ী হয়।</v>
      </c>
    </row>
    <row r="27">
      <c r="A27" s="3">
        <v>26.0</v>
      </c>
      <c r="B27" s="3" t="s">
        <v>1533</v>
      </c>
      <c r="C27" s="3" t="s">
        <v>1534</v>
      </c>
      <c r="D27" s="3" t="s">
        <v>1535</v>
      </c>
      <c r="E27" s="3" t="s">
        <v>1536</v>
      </c>
      <c r="H27" s="4" t="str">
        <f>IFERROR(__xludf.DUMMYFUNCTION("GOOGLETRANSLATE(A27, ""en"", ""bn"")"),"২৬")</f>
        <v>২৬</v>
      </c>
      <c r="I27" s="4" t="str">
        <f>IFERROR(__xludf.DUMMYFUNCTION("GOOGLETRANSLATE(B27, ""en"", ""bn"")"),"হা-ডু-ডু ম্যাচের শেষে যখন উভয় দলের স্কোর সমান হয় তখন কী হয়?")</f>
        <v>হা-ডু-ডু ম্যাচের শেষে যখন উভয় দলের স্কোর সমান হয় তখন কী হয়?</v>
      </c>
      <c r="J27" s="4" t="str">
        <f>IFERROR(__xludf.DUMMYFUNCTION("GOOGLETRANSLATE(C27, ""en"", ""bn"")"),"ক) পেনাল্টি শুটআউট, খ) ড্র, গ) অতিরিক্ত সময়, ঘ) পুনরায় ম্যাচ")</f>
        <v>ক) পেনাল্টি শুটআউট, খ) ড্র, গ) অতিরিক্ত সময়, ঘ) পুনরায় ম্যাচ</v>
      </c>
      <c r="K27" s="4" t="str">
        <f>IFERROR(__xludf.DUMMYFUNCTION("GOOGLETRANSLATE(D27, ""en"", ""bn"")"),"খ) একটি ড্র")</f>
        <v>খ) একটি ড্র</v>
      </c>
      <c r="L27" s="4" t="str">
        <f>IFERROR(__xludf.DUMMYFUNCTION("GOOGLETRANSLATE(E27, ""en"", ""bn"")"),"যদি টাই হয়, তাহলে ম্যাচটি ড্রতে শেষ হবে।")</f>
        <v>যদি টাই হয়, তাহলে ম্যাচটি ড্রতে শেষ হবে।</v>
      </c>
    </row>
    <row r="28">
      <c r="A28" s="3">
        <v>27.0</v>
      </c>
      <c r="B28" s="3" t="s">
        <v>1537</v>
      </c>
      <c r="C28" s="3" t="s">
        <v>1538</v>
      </c>
      <c r="D28" s="3" t="s">
        <v>1539</v>
      </c>
      <c r="E28" s="3" t="s">
        <v>1540</v>
      </c>
      <c r="H28" s="4" t="str">
        <f>IFERROR(__xludf.DUMMYFUNCTION("GOOGLETRANSLATE(A28, ""en"", ""bn"")"),"২৭")</f>
        <v>২৭</v>
      </c>
      <c r="I28" s="4" t="str">
        <f>IFERROR(__xludf.DUMMYFUNCTION("GOOGLETRANSLATE(B28, ""en"", ""bn"")"),"হা-ডু-ডুতে, রক্ষণাত্মক খেলোয়াড়দের জন্য কী শব্দটি ব্যবহৃত হয়?")</f>
        <v>হা-ডু-ডুতে, রক্ষণাত্মক খেলোয়াড়দের জন্য কী শব্দটি ব্যবহৃত হয়?</v>
      </c>
      <c r="J28" s="4" t="str">
        <f>IFERROR(__xludf.DUMMYFUNCTION("GOOGLETRANSLATE(C28, ""en"", ""bn"")"),"ক) রেইডার, খ) ব্লকার, গ) ট্যাগ, ঘ) প্রোটেক্টর")</f>
        <v>ক) রেইডার, খ) ব্লকার, গ) ট্যাগ, ঘ) প্রোটেক্টর</v>
      </c>
      <c r="K28" s="4" t="str">
        <f>IFERROR(__xludf.DUMMYFUNCTION("GOOGLETRANSLATE(D28, ""en"", ""bn"")"),"খ) ব্লকার")</f>
        <v>খ) ব্লকার</v>
      </c>
      <c r="L28" s="4" t="str">
        <f>IFERROR(__xludf.DUMMYFUNCTION("GOOGLETRANSLATE(E28, ""en"", ""bn"")"),"হা-ডু-ডুতে রক্ষণাত্মক খেলোয়াড়দের ব্লকার বলা হয়।")</f>
        <v>হা-ডু-ডুতে রক্ষণাত্মক খেলোয়াড়দের ব্লকার বলা হয়।</v>
      </c>
    </row>
    <row r="29">
      <c r="A29" s="3">
        <v>28.0</v>
      </c>
      <c r="B29" s="3" t="s">
        <v>1541</v>
      </c>
      <c r="C29" s="3" t="s">
        <v>1542</v>
      </c>
      <c r="D29" s="3" t="s">
        <v>1543</v>
      </c>
      <c r="E29" s="3" t="s">
        <v>1544</v>
      </c>
      <c r="H29" s="4" t="str">
        <f>IFERROR(__xludf.DUMMYFUNCTION("GOOGLETRANSLATE(A29, ""en"", ""bn"")"),"২৮")</f>
        <v>২৮</v>
      </c>
      <c r="I29" s="4" t="str">
        <f>IFERROR(__xludf.DUMMYFUNCTION("GOOGLETRANSLATE(B29, ""en"", ""bn"")"),"হা-ডু-ডুতে, খেলার সময় নিচের কোনটি নিষিদ্ধ?")</f>
        <v>হা-ডু-ডুতে, খেলার সময় নিচের কোনটি নিষিদ্ধ?</v>
      </c>
      <c r="J29" s="4" t="str">
        <f>IFERROR(__xludf.DUMMYFUNCTION("GOOGLETRANSLATE(C29, ""en"", ""bn"")"),"ক) প্রতিপক্ষকে ট্যাগ করা, খ) বল প্রয়োগ করে বাধা দেওয়া, গ) সীমানার বাইরে দৌড়ানো, ঘ) প্রতিপক্ষকে শ্বাসরোধ করা")</f>
        <v>ক) প্রতিপক্ষকে ট্যাগ করা, খ) বল প্রয়োগ করে বাধা দেওয়া, গ) সীমানার বাইরে দৌড়ানো, ঘ) প্রতিপক্ষকে শ্বাসরোধ করা</v>
      </c>
      <c r="K29" s="4" t="str">
        <f>IFERROR(__xludf.DUMMYFUNCTION("GOOGLETRANSLATE(D29, ""en"", ""bn"")"),"ঘ) প্রতিপক্ষকে শ্বাসরোধ করা")</f>
        <v>ঘ) প্রতিপক্ষকে শ্বাসরোধ করা</v>
      </c>
      <c r="L29" s="4" t="str">
        <f>IFERROR(__xludf.DUMMYFUNCTION("GOOGLETRANSLATE(E29, ""en"", ""bn"")"),"হা-ডু-ডুতে শ্বাসরোধ বা যেকোনো ধরণের সহিংস আচরণ কঠোরভাবে নিষিদ্ধ।")</f>
        <v>হা-ডু-ডুতে শ্বাসরোধ বা যেকোনো ধরণের সহিংস আচরণ কঠোরভাবে নিষিদ্ধ।</v>
      </c>
    </row>
    <row r="30">
      <c r="A30" s="3">
        <v>29.0</v>
      </c>
      <c r="B30" s="3" t="s">
        <v>1545</v>
      </c>
      <c r="C30" s="3" t="s">
        <v>1546</v>
      </c>
      <c r="D30" s="3" t="s">
        <v>1547</v>
      </c>
      <c r="E30" s="3" t="s">
        <v>1548</v>
      </c>
      <c r="H30" s="4" t="str">
        <f>IFERROR(__xludf.DUMMYFUNCTION("GOOGLETRANSLATE(A30, ""en"", ""bn"")"),"২৯")</f>
        <v>২৯</v>
      </c>
      <c r="I30" s="4" t="str">
        <f>IFERROR(__xludf.DUMMYFUNCTION("GOOGLETRANSLATE(B30, ""en"", ""bn"")"),"হা-ডু-ডুতে একজন রেইডার কীভাবে পয়েন্ট স্কোর করে?")</f>
        <v>হা-ডু-ডুতে একজন রেইডার কীভাবে পয়েন্ট স্কোর করে?</v>
      </c>
      <c r="J30" s="4" t="str">
        <f>IFERROR(__xludf.DUMMYFUNCTION("GOOGLETRANSLATE(C30, ""en"", ""bn"")"),"ক) প্রতিপক্ষের খেলোয়াড়কে ট্যাগ করে, খ) ডিফেন্ডারদের পাশ কাটিয়ে দৌড়ে, গ) প্রতিপক্ষের পাশে থেকে, ঘ) ডিফেন্ডারদের ব্লক করে")</f>
        <v>ক) প্রতিপক্ষের খেলোয়াড়কে ট্যাগ করে, খ) ডিফেন্ডারদের পাশ কাটিয়ে দৌড়ে, গ) প্রতিপক্ষের পাশে থেকে, ঘ) ডিফেন্ডারদের ব্লক করে</v>
      </c>
      <c r="K30" s="4" t="str">
        <f>IFERROR(__xludf.DUMMYFUNCTION("GOOGLETRANSLATE(D30, ""en"", ""bn"")"),"ক) প্রতিপক্ষের খেলোয়াড়কে ট্যাগ করে")</f>
        <v>ক) প্রতিপক্ষের খেলোয়াড়কে ট্যাগ করে</v>
      </c>
      <c r="L30" s="4" t="str">
        <f>IFERROR(__xludf.DUMMYFUNCTION("GOOGLETRANSLATE(E30, ""en"", ""bn"")"),"একজন রেইডার ধরা না পড়েই প্রতিপক্ষ খেলোয়াড়কে ট্যাগ করে পয়েন্ট অর্জন করে।")</f>
        <v>একজন রেইডার ধরা না পড়েই প্রতিপক্ষ খেলোয়াড়কে ট্যাগ করে পয়েন্ট অর্জন করে।</v>
      </c>
    </row>
    <row r="31">
      <c r="A31" s="3">
        <v>30.0</v>
      </c>
      <c r="B31" s="3" t="s">
        <v>1549</v>
      </c>
      <c r="C31" s="3" t="s">
        <v>1550</v>
      </c>
      <c r="D31" s="3" t="s">
        <v>1551</v>
      </c>
      <c r="E31" s="3" t="s">
        <v>1552</v>
      </c>
      <c r="H31" s="4" t="str">
        <f>IFERROR(__xludf.DUMMYFUNCTION("GOOGLETRANSLATE(A31, ""en"", ""bn"")"),"৩০")</f>
        <v>৩০</v>
      </c>
      <c r="I31" s="4" t="str">
        <f>IFERROR(__xludf.DUMMYFUNCTION("GOOGLETRANSLATE(B31, ""en"", ""bn"")"),"হা-ডু-ডুতে, প্রতিরক্ষার জন্য কোন অবস্থানটি সবচেয়ে গুরুত্বপূর্ণ?")</f>
        <v>হা-ডু-ডুতে, প্রতিরক্ষার জন্য কোন অবস্থানটি সবচেয়ে গুরুত্বপূর্ণ?</v>
      </c>
      <c r="J31" s="4" t="str">
        <f>IFERROR(__xludf.DUMMYFUNCTION("GOOGLETRANSLATE(C31, ""en"", ""bn"")"),"ক) আক্রমণকারী, খ) রাইডার, গ) ব্লকার, ঘ) রেফারি")</f>
        <v>ক) আক্রমণকারী, খ) রাইডার, গ) ব্লকার, ঘ) রেফারি</v>
      </c>
      <c r="K31" s="4" t="str">
        <f>IFERROR(__xludf.DUMMYFUNCTION("GOOGLETRANSLATE(D31, ""en"", ""bn"")"),"গ) ব্লকার")</f>
        <v>গ) ব্লকার</v>
      </c>
      <c r="L31" s="4" t="str">
        <f>IFERROR(__xludf.DUMMYFUNCTION("GOOGLETRANSLATE(E31, ""en"", ""bn"")"),"আক্রমণকারীদের বিরুদ্ধে প্রতিরক্ষায় ব্লকাররা গুরুত্বপূর্ণ ভূমিকা পালন করে।")</f>
        <v>আক্রমণকারীদের বিরুদ্ধে প্রতিরক্ষায় ব্লকাররা গুরুত্বপূর্ণ ভূমিকা পালন করে।</v>
      </c>
    </row>
    <row r="32">
      <c r="A32" s="3">
        <v>31.0</v>
      </c>
      <c r="B32" s="3" t="s">
        <v>1553</v>
      </c>
      <c r="C32" s="3" t="s">
        <v>1554</v>
      </c>
      <c r="D32" s="3" t="s">
        <v>203</v>
      </c>
      <c r="E32" s="3" t="s">
        <v>1555</v>
      </c>
      <c r="H32" s="4" t="str">
        <f>IFERROR(__xludf.DUMMYFUNCTION("GOOGLETRANSLATE(A32, ""en"", ""bn"")"),"৩১")</f>
        <v>৩১</v>
      </c>
      <c r="I32" s="4" t="str">
        <f>IFERROR(__xludf.DUMMYFUNCTION("GOOGLETRANSLATE(B32, ""en"", ""bn"")"),"হা-ডু-ডুতে, যদি একজন রেইডার প্রতিপক্ষ দলের ৩ জন খেলোয়াড়কে সফলভাবে ট্যাগ করে, তাহলে কত পয়েন্ট পাওয়া যাবে?")</f>
        <v>হা-ডু-ডুতে, যদি একজন রেইডার প্রতিপক্ষ দলের ৩ জন খেলোয়াড়কে সফলভাবে ট্যাগ করে, তাহলে কত পয়েন্ট পাওয়া যাবে?</v>
      </c>
      <c r="J32" s="4" t="str">
        <f>IFERROR(__xludf.DUMMYFUNCTION("GOOGLETRANSLATE(C32, ""en"", ""bn"")"),"ক) ১, খ) ৩, গ) ৫, ঘ) ১০")</f>
        <v>ক) ১, খ) ৩, গ) ৫, ঘ) ১০</v>
      </c>
      <c r="K32" s="4" t="str">
        <f>IFERROR(__xludf.DUMMYFUNCTION("GOOGLETRANSLATE(D32, ""en"", ""bn"")"),"খ) ৩")</f>
        <v>খ) ৩</v>
      </c>
      <c r="L32" s="4" t="str">
        <f>IFERROR(__xludf.DUMMYFUNCTION("GOOGLETRANSLATE(E32, ""en"", ""bn"")"),"একজন রেইডার প্রতিপক্ষ দলের ৩ জন খেলোয়াড়কে ট্যাগ করে ৩ পয়েন্ট অর্জন করে।")</f>
        <v>একজন রেইডার প্রতিপক্ষ দলের ৩ জন খেলোয়াড়কে ট্যাগ করে ৩ পয়েন্ট অর্জন করে।</v>
      </c>
    </row>
    <row r="33">
      <c r="A33" s="3">
        <v>32.0</v>
      </c>
      <c r="B33" s="3" t="s">
        <v>1556</v>
      </c>
      <c r="C33" s="3" t="s">
        <v>1557</v>
      </c>
      <c r="D33" s="3" t="s">
        <v>1558</v>
      </c>
      <c r="E33" s="3" t="s">
        <v>1559</v>
      </c>
      <c r="H33" s="4" t="str">
        <f>IFERROR(__xludf.DUMMYFUNCTION("GOOGLETRANSLATE(A33, ""en"", ""bn"")"),"৩২")</f>
        <v>৩২</v>
      </c>
      <c r="I33" s="4" t="str">
        <f>IFERROR(__xludf.DUMMYFUNCTION("GOOGLETRANSLATE(B33, ""en"", ""bn"")"),"হা-ডু-ডুতে আক্রমণকারীদের জন্য মূল চ্যালেঞ্জ কী?")</f>
        <v>হা-ডু-ডুতে আক্রমণকারীদের জন্য মূল চ্যালেঞ্জ কী?</v>
      </c>
      <c r="J33" s="4" t="str">
        <f>IFERROR(__xludf.DUMMYFUNCTION("GOOGLETRANSLATE(C33, ""en"", ""bn"")"),"ক) ট্যাগ এড়াতে, খ) পয়েন্ট অর্জন করতে, গ) ডিফেন্ডারদের এড়িয়ে যেতে, ঘ) সময়মতো ফিরে আসতে")</f>
        <v>ক) ট্যাগ এড়াতে, খ) পয়েন্ট অর্জন করতে, গ) ডিফেন্ডারদের এড়িয়ে যেতে, ঘ) সময়মতো ফিরে আসতে</v>
      </c>
      <c r="K33" s="4" t="str">
        <f>IFERROR(__xludf.DUMMYFUNCTION("GOOGLETRANSLATE(D33, ""en"", ""bn"")"),"ক) ট্যাগ এড়াতে")</f>
        <v>ক) ট্যাগ এড়াতে</v>
      </c>
      <c r="L33" s="4" t="str">
        <f>IFERROR(__xludf.DUMMYFUNCTION("GOOGLETRANSLATE(E33, ""en"", ""bn"")"),"রেইডারদের জন্য প্রধান চ্যালেঞ্জ হল খেলোয়াড়দের ট্যাগ করা এবং নিজেদের ট্যাগ করা এড়ানো।")</f>
        <v>রেইডারদের জন্য প্রধান চ্যালেঞ্জ হল খেলোয়াড়দের ট্যাগ করা এবং নিজেদের ট্যাগ করা এড়ানো।</v>
      </c>
    </row>
    <row r="34">
      <c r="A34" s="3">
        <v>33.0</v>
      </c>
      <c r="B34" s="3" t="s">
        <v>1560</v>
      </c>
      <c r="C34" s="3" t="s">
        <v>1561</v>
      </c>
      <c r="D34" s="3" t="s">
        <v>1562</v>
      </c>
      <c r="E34" s="3" t="s">
        <v>1563</v>
      </c>
      <c r="H34" s="4" t="str">
        <f>IFERROR(__xludf.DUMMYFUNCTION("GOOGLETRANSLATE(A34, ""en"", ""bn"")"),"৩৩")</f>
        <v>৩৩</v>
      </c>
      <c r="I34" s="4" t="str">
        <f>IFERROR(__xludf.DUMMYFUNCTION("GOOGLETRANSLATE(B34, ""en"", ""bn"")"),"হা-ডু-ডুতে, কখন আক্রমণকারীরা তাদের দিকে ফিরে যেতে পারে?")</f>
        <v>হা-ডু-ডুতে, কখন আক্রমণকারীরা তাদের দিকে ফিরে যেতে পারে?</v>
      </c>
      <c r="J34" s="4" t="str">
        <f>IFERROR(__xludf.DUMMYFUNCTION("GOOGLETRANSLATE(C34, ""en"", ""bn"")"),"ক) ট্যাগ করার পরপরই, খ) জপের ৭ সেকেন্ড পরে, গ) শুধুমাত্র ট্যাগ করা থাকলে, ঘ) ১০ সেকেন্ড পরে")</f>
        <v>ক) ট্যাগ করার পরপরই, খ) জপের ৭ সেকেন্ড পরে, গ) শুধুমাত্র ট্যাগ করা থাকলে, ঘ) ১০ সেকেন্ড পরে</v>
      </c>
      <c r="K34" s="4" t="str">
        <f>IFERROR(__xludf.DUMMYFUNCTION("GOOGLETRANSLATE(D34, ""en"", ""bn"")"),"ক) ট্যাগ করার পরপরই")</f>
        <v>ক) ট্যাগ করার পরপরই</v>
      </c>
      <c r="L34" s="4" t="str">
        <f>IFERROR(__xludf.DUMMYFUNCTION("GOOGLETRANSLATE(E34, ""en"", ""bn"")"),"প্রতিপক্ষকে ট্যাগ করার সাথে সাথেই রেইডার তাদের দিকে ফিরে যেতে পারে।")</f>
        <v>প্রতিপক্ষকে ট্যাগ করার সাথে সাথেই রেইডার তাদের দিকে ফিরে যেতে পারে।</v>
      </c>
    </row>
    <row r="35">
      <c r="A35" s="3">
        <v>34.0</v>
      </c>
      <c r="B35" s="3" t="s">
        <v>1564</v>
      </c>
      <c r="C35" s="3" t="s">
        <v>1565</v>
      </c>
      <c r="D35" s="3" t="s">
        <v>1566</v>
      </c>
      <c r="E35" s="3" t="s">
        <v>1567</v>
      </c>
      <c r="H35" s="4" t="str">
        <f>IFERROR(__xludf.DUMMYFUNCTION("GOOGLETRANSLATE(A35, ""en"", ""bn"")"),"৩৪")</f>
        <v>৩৪</v>
      </c>
      <c r="I35" s="4" t="str">
        <f>IFERROR(__xludf.DUMMYFUNCTION("GOOGLETRANSLATE(B35, ""en"", ""bn"")"),"হা-ডু-ডুতে ডিফেন্ডারের প্রধান দায়িত্ব নিচের কোনটি?")</f>
        <v>হা-ডু-ডুতে ডিফেন্ডারের প্রধান দায়িত্ব নিচের কোনটি?</v>
      </c>
      <c r="J35" s="4" t="str">
        <f>IFERROR(__xludf.DUMMYFUNCTION("GOOGLETRANSLATE(C35, ""en"", ""bn"")"),"ক) রেইডারকে ট্যাগ করা, খ) রেইডারকে গোল করা থেকে বিরত রাখা, গ) পয়েন্ট অর্জন করা, ঘ) 'হা-ডু-ডু' জপ করা")</f>
        <v>ক) রেইডারকে ট্যাগ করা, খ) রেইডারকে গোল করা থেকে বিরত রাখা, গ) পয়েন্ট অর্জন করা, ঘ) 'হা-ডু-ডু' জপ করা</v>
      </c>
      <c r="K35" s="4" t="str">
        <f>IFERROR(__xludf.DUMMYFUNCTION("GOOGLETRANSLATE(D35, ""en"", ""bn"")"),"খ) রেইডারকে গোল করা থেকে বিরত রাখতে")</f>
        <v>খ) রেইডারকে গোল করা থেকে বিরত রাখতে</v>
      </c>
      <c r="L35" s="4" t="str">
        <f>IFERROR(__xludf.DUMMYFUNCTION("GOOGLETRANSLATE(E35, ""en"", ""bn"")"),"ডিফেন্ডারদের অবশ্যই রেইডারদের তাদের খেলোয়াড়দের ট্যাগ করা এবং পয়েন্ট অর্জন করা থেকে বিরত রাখতে হবে।")</f>
        <v>ডিফেন্ডারদের অবশ্যই রেইডারদের তাদের খেলোয়াড়দের ট্যাগ করা এবং পয়েন্ট অর্জন করা থেকে বিরত রাখতে হবে।</v>
      </c>
    </row>
    <row r="36">
      <c r="A36" s="3">
        <v>35.0</v>
      </c>
      <c r="B36" s="3" t="s">
        <v>1568</v>
      </c>
      <c r="C36" s="3" t="s">
        <v>1569</v>
      </c>
      <c r="D36" s="3" t="s">
        <v>1570</v>
      </c>
      <c r="E36" s="3" t="s">
        <v>1571</v>
      </c>
      <c r="H36" s="4" t="str">
        <f>IFERROR(__xludf.DUMMYFUNCTION("GOOGLETRANSLATE(A36, ""en"", ""bn"")"),"৩৫")</f>
        <v>৩৫</v>
      </c>
      <c r="I36" s="4" t="str">
        <f>IFERROR(__xludf.DUMMYFUNCTION("GOOGLETRANSLATE(B36, ""en"", ""bn"")"),"হা-ডু-ডুতে, যদি কোন রেইডার ১৫ সেকেন্ডের মধ্যে ফিরে না আসে তাহলে কী হবে?")</f>
        <v>হা-ডু-ডুতে, যদি কোন রেইডার ১৫ সেকেন্ডের মধ্যে ফিরে না আসে তাহলে কী হবে?</v>
      </c>
      <c r="J36" s="4" t="str">
        <f>IFERROR(__xludf.DUMMYFUNCTION("GOOGLETRANSLATE(C36, ""en"", ""bn"")"),"ক) তাদের শাস্তি দেওয়া হয়, খ) প্রতিপক্ষ দল জয়ী হয়, গ) তারা বাদ পড়ে, ঘ) কিছুই হয় না")</f>
        <v>ক) তাদের শাস্তি দেওয়া হয়, খ) প্রতিপক্ষ দল জয়ী হয়, গ) তারা বাদ পড়ে, ঘ) কিছুই হয় না</v>
      </c>
      <c r="K36" s="4" t="str">
        <f>IFERROR(__xludf.DUMMYFUNCTION("GOOGLETRANSLATE(D36, ""en"", ""bn"")"),"ক) তাদের শাস্তি দেওয়া হয়েছে")</f>
        <v>ক) তাদের শাস্তি দেওয়া হয়েছে</v>
      </c>
      <c r="L36" s="4" t="str">
        <f>IFERROR(__xludf.DUMMYFUNCTION("GOOGLETRANSLATE(E36, ""en"", ""bn"")"),"একজন রেইডার যদি ১৫ সেকেন্ডের মধ্যে ফিরে না আসে, তাহলে তাকে পেনাল্টি দিতে হবে।")</f>
        <v>একজন রেইডার যদি ১৫ সেকেন্ডের মধ্যে ফিরে না আসে, তাহলে তাকে পেনাল্টি দিতে হবে।</v>
      </c>
    </row>
    <row r="37">
      <c r="A37" s="3">
        <v>36.0</v>
      </c>
      <c r="B37" s="3" t="s">
        <v>1572</v>
      </c>
      <c r="C37" s="3" t="s">
        <v>1573</v>
      </c>
      <c r="D37" s="3" t="s">
        <v>1574</v>
      </c>
      <c r="E37" s="3" t="s">
        <v>1575</v>
      </c>
      <c r="H37" s="4" t="str">
        <f>IFERROR(__xludf.DUMMYFUNCTION("GOOGLETRANSLATE(A37, ""en"", ""bn"")"),"৩৬")</f>
        <v>৩৬</v>
      </c>
      <c r="I37" s="4" t="str">
        <f>IFERROR(__xludf.DUMMYFUNCTION("GOOGLETRANSLATE(B37, ""en"", ""bn"")"),"হা-দু-দুতে কোন কাজ অনুমোদিত নয়?")</f>
        <v>হা-দু-দুতে কোন কাজ অনুমোদিত নয়?</v>
      </c>
      <c r="J37" s="4" t="str">
        <f>IFERROR(__xludf.DUMMYFUNCTION("GOOGLETRANSLATE(C37, ""en"", ""bn"")"),"ক) প্রতিরক্ষামূলক অবরোধ, খ) শারীরিক সংস্পর্শ, গ) সীমার বাইরে দৌড়ানো, ঘ) থুতু ফেলা")</f>
        <v>ক) প্রতিরক্ষামূলক অবরোধ, খ) শারীরিক সংস্পর্শ, গ) সীমার বাইরে দৌড়ানো, ঘ) থুতু ফেলা</v>
      </c>
      <c r="K37" s="4" t="str">
        <f>IFERROR(__xludf.DUMMYFUNCTION("GOOGLETRANSLATE(D37, ""en"", ""bn"")"),"ঘ) থুতু ফেলা")</f>
        <v>ঘ) থুতু ফেলা</v>
      </c>
      <c r="L37" s="4" t="str">
        <f>IFERROR(__xludf.DUMMYFUNCTION("GOOGLETRANSLATE(E37, ""en"", ""bn"")"),"হা-ডু-ডুতে থুতু ফেলা বা কোনও অ-খেলাধুলামূলক আচরণ অনুমোদিত নয়।")</f>
        <v>হা-ডু-ডুতে থুতু ফেলা বা কোনও অ-খেলাধুলামূলক আচরণ অনুমোদিত নয়।</v>
      </c>
    </row>
    <row r="38">
      <c r="A38" s="3">
        <v>37.0</v>
      </c>
      <c r="B38" s="3" t="s">
        <v>1576</v>
      </c>
      <c r="C38" s="3" t="s">
        <v>1577</v>
      </c>
      <c r="D38" s="3" t="s">
        <v>1578</v>
      </c>
      <c r="E38" s="3" t="s">
        <v>1579</v>
      </c>
      <c r="H38" s="4" t="str">
        <f>IFERROR(__xludf.DUMMYFUNCTION("GOOGLETRANSLATE(A38, ""en"", ""bn"")"),"৩৭")</f>
        <v>৩৭</v>
      </c>
      <c r="I38" s="4" t="str">
        <f>IFERROR(__xludf.DUMMYFUNCTION("GOOGLETRANSLATE(B38, ""en"", ""bn"")"),"হা-ডু-ডুতে, একটি দল কীভাবে ভূমিকা পরিবর্তন করে?")</f>
        <v>হা-ডু-ডুতে, একটি দল কীভাবে ভূমিকা পরিবর্তন করে?</v>
      </c>
      <c r="J38" s="4" t="str">
        <f>IFERROR(__xludf.DUMMYFUNCTION("GOOGLETRANSLATE(C38, ""en"", ""bn"")"),"ক) পয়েন্ট স্কোর করে, খ) এক রাউন্ডের পরে, গ) ট্যাগ আউট হলে, ঘ) খেলা শেষে")</f>
        <v>ক) পয়েন্ট স্কোর করে, খ) এক রাউন্ডের পরে, গ) ট্যাগ আউট হলে, ঘ) খেলা শেষে</v>
      </c>
      <c r="K38" s="4" t="str">
        <f>IFERROR(__xludf.DUMMYFUNCTION("GOOGLETRANSLATE(D38, ""en"", ""bn"")"),"খ) এক রাউন্ডের পর")</f>
        <v>খ) এক রাউন্ডের পর</v>
      </c>
      <c r="L38" s="4" t="str">
        <f>IFERROR(__xludf.DUMMYFUNCTION("GOOGLETRANSLATE(E38, ""en"", ""bn"")"),"প্রতিটি রাউন্ডের পর দলগুলি রক্ষণাত্মক এবং আক্রমণাত্মক ভূমিকা পরিবর্তন করে।")</f>
        <v>প্রতিটি রাউন্ডের পর দলগুলি রক্ষণাত্মক এবং আক্রমণাত্মক ভূমিকা পরিবর্তন করে।</v>
      </c>
    </row>
    <row r="39">
      <c r="A39" s="3">
        <v>38.0</v>
      </c>
      <c r="B39" s="3" t="s">
        <v>1580</v>
      </c>
      <c r="C39" s="3" t="s">
        <v>1581</v>
      </c>
      <c r="D39" s="3" t="s">
        <v>1582</v>
      </c>
      <c r="E39" s="3" t="s">
        <v>1583</v>
      </c>
      <c r="H39" s="4" t="str">
        <f>IFERROR(__xludf.DUMMYFUNCTION("GOOGLETRANSLATE(A39, ""en"", ""bn"")"),"৩৮")</f>
        <v>৩৮</v>
      </c>
      <c r="I39" s="4" t="str">
        <f>IFERROR(__xludf.DUMMYFUNCTION("GOOGLETRANSLATE(B39, ""en"", ""bn"")"),"হা-ডু-ডুতে, আক্রমণ শুরু করার আগে একজন আক্রমণকারীকে কতক্ষণ 'হা-ডু-ডু' জপ করতে হবে?")</f>
        <v>হা-ডু-ডুতে, আক্রমণ শুরু করার আগে একজন আক্রমণকারীকে কতক্ষণ 'হা-ডু-ডু' জপ করতে হবে?</v>
      </c>
      <c r="J39" s="4" t="str">
        <f>IFERROR(__xludf.DUMMYFUNCTION("GOOGLETRANSLATE(C39, ""en"", ""bn"")"),"ক) ৫ সেকেন্ড, খ) ৭ সেকেন্ড, গ) ১০ সেকেন্ড, ঘ) ১৫ সেকেন্ড")</f>
        <v>ক) ৫ সেকেন্ড, খ) ৭ সেকেন্ড, গ) ১০ সেকেন্ড, ঘ) ১৫ সেকেন্ড</v>
      </c>
      <c r="K39" s="4" t="str">
        <f>IFERROR(__xludf.DUMMYFUNCTION("GOOGLETRANSLATE(D39, ""en"", ""bn"")"),"খ) ৭ সেকেন্ড")</f>
        <v>খ) ৭ সেকেন্ড</v>
      </c>
      <c r="L39" s="4" t="str">
        <f>IFERROR(__xludf.DUMMYFUNCTION("GOOGLETRANSLATE(E39, ""en"", ""bn"")"),"আক্রমণ শুরু করার আগে একজন আক্রমণকারীকে ৭ সেকেন্ড ধরে 'হা-ডু-ডু' জপ করতে হবে।")</f>
        <v>আক্রমণ শুরু করার আগে একজন আক্রমণকারীকে ৭ সেকেন্ড ধরে 'হা-ডু-ডু' জপ করতে হবে।</v>
      </c>
    </row>
    <row r="40">
      <c r="A40" s="3">
        <v>39.0</v>
      </c>
      <c r="B40" s="3" t="s">
        <v>1584</v>
      </c>
      <c r="C40" s="3" t="s">
        <v>1585</v>
      </c>
      <c r="D40" s="3" t="s">
        <v>1586</v>
      </c>
      <c r="E40" s="3" t="s">
        <v>1587</v>
      </c>
      <c r="H40" s="4" t="str">
        <f>IFERROR(__xludf.DUMMYFUNCTION("GOOGLETRANSLATE(A40, ""en"", ""bn"")"),"৩৯")</f>
        <v>৩৯</v>
      </c>
      <c r="I40" s="4" t="str">
        <f>IFERROR(__xludf.DUMMYFUNCTION("GOOGLETRANSLATE(B40, ""en"", ""bn"")"),"হা-ডু-ডুতে, 'হা-ডু-ডু' জপ করার উদ্দেশ্য কী?")</f>
        <v>হা-ডু-ডুতে, 'হা-ডু-ডু' জপ করার উদ্দেশ্য কী?</v>
      </c>
      <c r="J40" s="4" t="str">
        <f>IFERROR(__xludf.DUMMYFUNCTION("GOOGLETRANSLATE(C40, ""en"", ""bn"")"),"ক) আক্রমণ শুরুর ইঙ্গিত দেওয়া, খ) প্রতিপক্ষকে ভয় দেখানো, গ) রেফারিকে সতর্ক করা, ঘ) প্রতিপক্ষকে বিভ্রান্ত করা")</f>
        <v>ক) আক্রমণ শুরুর ইঙ্গিত দেওয়া, খ) প্রতিপক্ষকে ভয় দেখানো, গ) রেফারিকে সতর্ক করা, ঘ) প্রতিপক্ষকে বিভ্রান্ত করা</v>
      </c>
      <c r="K40" s="4" t="str">
        <f>IFERROR(__xludf.DUMMYFUNCTION("GOOGLETRANSLATE(D40, ""en"", ""bn"")"),"ক) আক্রমণের সূত্রপাতের সংকেত দেওয়া")</f>
        <v>ক) আক্রমণের সূত্রপাতের সংকেত দেওয়া</v>
      </c>
      <c r="L40" s="4" t="str">
        <f>IFERROR(__xludf.DUMMYFUNCTION("GOOGLETRANSLATE(E40, ""en"", ""bn"")"),"'হা-দু-দু' জপ ডাকাতদের আক্রমণ শুরুর ইঙ্গিত দেয়।")</f>
        <v>'হা-দু-দু' জপ ডাকাতদের আক্রমণ শুরুর ইঙ্গিত দেয়।</v>
      </c>
    </row>
    <row r="41">
      <c r="A41" s="3">
        <v>40.0</v>
      </c>
      <c r="B41" s="3" t="s">
        <v>1588</v>
      </c>
      <c r="C41" s="3" t="s">
        <v>23</v>
      </c>
      <c r="D41" s="3" t="s">
        <v>566</v>
      </c>
      <c r="E41" s="3" t="s">
        <v>1589</v>
      </c>
      <c r="H41" s="4" t="str">
        <f>IFERROR(__xludf.DUMMYFUNCTION("GOOGLETRANSLATE(A41, ""en"", ""bn"")"),"৪০")</f>
        <v>৪০</v>
      </c>
      <c r="I41" s="4" t="str">
        <f>IFERROR(__xludf.DUMMYFUNCTION("GOOGLETRANSLATE(B41, ""en"", ""bn"")"),"হা-ডু-ডুতে প্রতিটি দলের কতজন খেলোয়াড় একটি আক্রমণে জড়িত?")</f>
        <v>হা-ডু-ডুতে প্রতিটি দলের কতজন খেলোয়াড় একটি আক্রমণে জড়িত?</v>
      </c>
      <c r="J41" s="4" t="str">
        <f>IFERROR(__xludf.DUMMYFUNCTION("GOOGLETRANSLATE(C41, ""en"", ""bn"")"),"ক) ১, খ) ২, গ) ৩, ঘ) ৪")</f>
        <v>ক) ১, খ) ২, গ) ৩, ঘ) ৪</v>
      </c>
      <c r="K41" s="4" t="str">
        <f>IFERROR(__xludf.DUMMYFUNCTION("GOOGLETRANSLATE(D41, ""en"", ""bn"")"),"ক) ১")</f>
        <v>ক) ১</v>
      </c>
      <c r="L41" s="4" t="str">
        <f>IFERROR(__xludf.DUMMYFUNCTION("GOOGLETRANSLATE(E41, ""en"", ""bn"")"),"হা-ডু-ডুতে, একবারে শুধুমাত্র একজন খেলোয়াড় (রাইডার) আক্রমণে জড়িত থাকে।")</f>
        <v>হা-ডু-ডুতে, একবারে শুধুমাত্র একজন খেলোয়াড় (রাইডার) আক্রমণে জড়িত থাকে।</v>
      </c>
    </row>
    <row r="42">
      <c r="A42" s="3">
        <v>41.0</v>
      </c>
      <c r="B42" s="3" t="s">
        <v>1590</v>
      </c>
      <c r="C42" s="3" t="s">
        <v>1591</v>
      </c>
      <c r="D42" s="3" t="s">
        <v>1592</v>
      </c>
      <c r="E42" s="3" t="s">
        <v>1593</v>
      </c>
      <c r="H42" s="4" t="str">
        <f>IFERROR(__xludf.DUMMYFUNCTION("GOOGLETRANSLATE(A42, ""en"", ""bn"")"),"৪১")</f>
        <v>৪১</v>
      </c>
      <c r="I42" s="4" t="str">
        <f>IFERROR(__xludf.DUMMYFUNCTION("GOOGLETRANSLATE(B42, ""en"", ""bn"")"),"হা-ডু-ডুতে, যদি কোন আক্রমণকারী সীমানার বাইরে চলে যায় তাহলে কী হবে?")</f>
        <v>হা-ডু-ডুতে, যদি কোন আক্রমণকারী সীমানার বাইরে চলে যায় তাহলে কী হবে?</v>
      </c>
      <c r="J42" s="4" t="str">
        <f>IFERROR(__xludf.DUMMYFUNCTION("GOOGLETRANSLATE(C42, ""en"", ""bn"")"),"ক) তারা বাদ পড়ে, খ) তারা একটি সতর্কতা পায়, গ) তারা একটি পয়েন্ট হারায়, ঘ) তারা আক্রমণ চালিয়ে যায়")</f>
        <v>ক) তারা বাদ পড়ে, খ) তারা একটি সতর্কতা পায়, গ) তারা একটি পয়েন্ট হারায়, ঘ) তারা আক্রমণ চালিয়ে যায়</v>
      </c>
      <c r="K42" s="4" t="str">
        <f>IFERROR(__xludf.DUMMYFUNCTION("GOOGLETRANSLATE(D42, ""en"", ""bn"")"),"ক) তারা বাদ পড়ে যায়")</f>
        <v>ক) তারা বাদ পড়ে যায়</v>
      </c>
      <c r="L42" s="4" t="str">
        <f>IFERROR(__xludf.DUMMYFUNCTION("GOOGLETRANSLATE(E42, ""en"", ""bn"")"),"সীমানার বাইরে পা রাখলে রাউন্ড থেকে রেইডার বাদ পড়ে যাবে।")</f>
        <v>সীমানার বাইরে পা রাখলে রাউন্ড থেকে রেইডার বাদ পড়ে যাবে।</v>
      </c>
    </row>
    <row r="43">
      <c r="A43" s="3">
        <v>42.0</v>
      </c>
      <c r="B43" s="3" t="s">
        <v>1594</v>
      </c>
      <c r="C43" s="3" t="s">
        <v>968</v>
      </c>
      <c r="D43" s="3" t="s">
        <v>1595</v>
      </c>
      <c r="E43" s="3" t="s">
        <v>1596</v>
      </c>
      <c r="H43" s="4" t="str">
        <f>IFERROR(__xludf.DUMMYFUNCTION("GOOGLETRANSLATE(A43, ""en"", ""bn"")"),"৪২")</f>
        <v>৪২</v>
      </c>
      <c r="I43" s="4" t="str">
        <f>IFERROR(__xludf.DUMMYFUNCTION("GOOGLETRANSLATE(B43, ""en"", ""bn"")"),"হা-ডু-ডুতে মাঠে এক দলের সর্বোচ্চ খেলোয়াড়ের সংখ্যা কত?")</f>
        <v>হা-ডু-ডুতে মাঠে এক দলের সর্বোচ্চ খেলোয়াড়ের সংখ্যা কত?</v>
      </c>
      <c r="J43" s="4" t="str">
        <f>IFERROR(__xludf.DUMMYFUNCTION("GOOGLETRANSLATE(C43, ""en"", ""bn"")"),"ক) ৪, খ) ৫, গ) ৬, ঘ) ৭")</f>
        <v>ক) ৪, খ) ৫, গ) ৬, ঘ) ৭</v>
      </c>
      <c r="K43" s="4" t="str">
        <f>IFERROR(__xludf.DUMMYFUNCTION("GOOGLETRANSLATE(D43, ""en"", ""bn"")"),"খ) ৫")</f>
        <v>খ) ৫</v>
      </c>
      <c r="L43" s="4" t="str">
        <f>IFERROR(__xludf.DUMMYFUNCTION("GOOGLETRANSLATE(E43, ""en"", ""bn"")"),"যেকোনো সময় মাঠে একটি দল থেকে সর্বোচ্চ ৫ জন খেলোয়াড় থাকতে পারবেন।")</f>
        <v>যেকোনো সময় মাঠে একটি দল থেকে সর্বোচ্চ ৫ জন খেলোয়াড় থাকতে পারবেন।</v>
      </c>
    </row>
    <row r="44">
      <c r="A44" s="3">
        <v>43.0</v>
      </c>
      <c r="B44" s="3" t="s">
        <v>1597</v>
      </c>
      <c r="C44" s="3" t="s">
        <v>1598</v>
      </c>
      <c r="D44" s="3" t="s">
        <v>1599</v>
      </c>
      <c r="E44" s="3" t="s">
        <v>1600</v>
      </c>
      <c r="H44" s="4" t="str">
        <f>IFERROR(__xludf.DUMMYFUNCTION("GOOGLETRANSLATE(A44, ""en"", ""bn"")"),"৪৩")</f>
        <v>৪৩</v>
      </c>
      <c r="I44" s="4" t="str">
        <f>IFERROR(__xludf.DUMMYFUNCTION("GOOGLETRANSLATE(B44, ""en"", ""bn"")"),"হা-ডু-ডুতে, যখন একজন ডিফেন্ডার সফলভাবে একজন রেইডারকে ট্যাগ করে, তখন কী ঘটে?")</f>
        <v>হা-ডু-ডুতে, যখন একজন ডিফেন্ডার সফলভাবে একজন রেইডারকে ট্যাগ করে, তখন কী ঘটে?</v>
      </c>
      <c r="J44" s="4" t="str">
        <f>IFERROR(__xludf.DUMMYFUNCTION("GOOGLETRANSLATE(C44, ""en"", ""bn"")"),"ক) রেইডার বাদ পড়ে, খ) খেলা থেমে যায়, গ) ডিফেন্ডার একটি পয়েন্ট অর্জন করে, ঘ) রেইডার তাদের দলে ফিরে আসে")</f>
        <v>ক) রেইডার বাদ পড়ে, খ) খেলা থেমে যায়, গ) ডিফেন্ডার একটি পয়েন্ট অর্জন করে, ঘ) রেইডার তাদের দলে ফিরে আসে</v>
      </c>
      <c r="K44" s="4" t="str">
        <f>IFERROR(__xludf.DUMMYFUNCTION("GOOGLETRANSLATE(D44, ""en"", ""bn"")"),"ক) আক্রমণকারীকে বাদ দেওয়া হয়")</f>
        <v>ক) আক্রমণকারীকে বাদ দেওয়া হয়</v>
      </c>
      <c r="L44" s="4" t="str">
        <f>IFERROR(__xludf.DUMMYFUNCTION("GOOGLETRANSLATE(E44, ""en"", ""bn"")"),"একজন রাইডারের নাম একজন ডিফেন্ডার দ্বারা চিহ্নিত হলে তাকে রাউন্ড থেকে বাদ দেওয়া হবে।")</f>
        <v>একজন রাইডারের নাম একজন ডিফেন্ডার দ্বারা চিহ্নিত হলে তাকে রাউন্ড থেকে বাদ দেওয়া হবে।</v>
      </c>
    </row>
    <row r="45">
      <c r="A45" s="3">
        <v>44.0</v>
      </c>
      <c r="B45" s="3" t="s">
        <v>1601</v>
      </c>
      <c r="C45" s="3" t="s">
        <v>1602</v>
      </c>
      <c r="D45" s="3" t="s">
        <v>1603</v>
      </c>
      <c r="E45" s="3" t="s">
        <v>1604</v>
      </c>
      <c r="H45" s="4" t="str">
        <f>IFERROR(__xludf.DUMMYFUNCTION("GOOGLETRANSLATE(A45, ""en"", ""bn"")"),"৪৪")</f>
        <v>৪৪</v>
      </c>
      <c r="I45" s="4" t="str">
        <f>IFERROR(__xludf.DUMMYFUNCTION("GOOGLETRANSLATE(B45, ""en"", ""bn"")"),"হা-ডু-ডুতে, খেলার বিজয়ী কীভাবে নির্ধারিত হয়?")</f>
        <v>হা-ডু-ডুতে, খেলার বিজয়ী কীভাবে নির্ধারিত হয়?</v>
      </c>
      <c r="J45" s="4" t="str">
        <f>IFERROR(__xludf.DUMMYFUNCTION("GOOGLETRANSLATE(C45, ""en"", ""bn"")"),"ক) পয়েন্ট অনুসারে, খ) ট্যাগ অনুসারে, গ) দীর্ঘতম আক্রমণ অনুসারে, ঘ) ডিফেন্ডারের সংখ্যা অনুসারে")</f>
        <v>ক) পয়েন্ট অনুসারে, খ) ট্যাগ অনুসারে, গ) দীর্ঘতম আক্রমণ অনুসারে, ঘ) ডিফেন্ডারের সংখ্যা অনুসারে</v>
      </c>
      <c r="K45" s="4" t="str">
        <f>IFERROR(__xludf.DUMMYFUNCTION("GOOGLETRANSLATE(D45, ""en"", ""bn"")"),"ক) পয়েন্ট অনুসারে")</f>
        <v>ক) পয়েন্ট অনুসারে</v>
      </c>
      <c r="L45" s="4" t="str">
        <f>IFERROR(__xludf.DUMMYFUNCTION("GOOGLETRANSLATE(E45, ""en"", ""bn"")"),"খেলা শেষে সর্বোচ্চ পয়েন্ট অর্জনকারী দল জয়ী হয়।")</f>
        <v>খেলা শেষে সর্বোচ্চ পয়েন্ট অর্জনকারী দল জয়ী হয়।</v>
      </c>
    </row>
    <row r="46">
      <c r="A46" s="3">
        <v>45.0</v>
      </c>
      <c r="B46" s="3" t="s">
        <v>1605</v>
      </c>
      <c r="C46" s="3" t="s">
        <v>1606</v>
      </c>
      <c r="D46" s="3" t="s">
        <v>1607</v>
      </c>
      <c r="E46" s="3" t="s">
        <v>1516</v>
      </c>
      <c r="H46" s="4" t="str">
        <f>IFERROR(__xludf.DUMMYFUNCTION("GOOGLETRANSLATE(A46, ""en"", ""bn"")"),"৪৫")</f>
        <v>৪৫</v>
      </c>
      <c r="I46" s="4" t="str">
        <f>IFERROR(__xludf.DUMMYFUNCTION("GOOGLETRANSLATE(B46, ""en"", ""bn"")"),"হা-ডু-ডুতে, যদি একজন রেইডার প্রতিপক্ষ দলের সকল খেলোয়াড়কে ট্যাগ করে তাহলে কী হবে?")</f>
        <v>হা-ডু-ডুতে, যদি একজন রেইডার প্রতিপক্ষ দলের সকল খেলোয়াড়কে ট্যাগ করে তাহলে কী হবে?</v>
      </c>
      <c r="J46" s="4" t="str">
        <f>IFERROR(__xludf.DUMMYFUNCTION("GOOGLETRANSLATE(C46, ""en"", ""bn"")"),"ক) রাউন্ড শেষ হয়, খ) রেইডার খেলায় জয়লাভ করে, গ) আক্রমণকারী দল খেলায় জয়লাভ করে, ঘ) কিছুই ঘটে না")</f>
        <v>ক) রাউন্ড শেষ হয়, খ) রেইডার খেলায় জয়লাভ করে, গ) আক্রমণকারী দল খেলায় জয়লাভ করে, ঘ) কিছুই ঘটে না</v>
      </c>
      <c r="K46" s="4" t="str">
        <f>IFERROR(__xludf.DUMMYFUNCTION("GOOGLETRANSLATE(D46, ""en"", ""bn"")"),"গ) আক্রমণাত্মক দল খেলায় জয়লাভ করে")</f>
        <v>গ) আক্রমণাত্মক দল খেলায় জয়লাভ করে</v>
      </c>
      <c r="L46" s="4" t="str">
        <f>IFERROR(__xludf.DUMMYFUNCTION("GOOGLETRANSLATE(E46, ""en"", ""bn"")"),"যদি একজন রেইডার সকল খেলোয়াড়কে ট্যাগ করে, তাহলে তার দল রাউন্ডে জয়লাভ করবে।")</f>
        <v>যদি একজন রেইডার সকল খেলোয়াড়কে ট্যাগ করে, তাহলে তার দল রাউন্ডে জয়লাভ করবে।</v>
      </c>
    </row>
    <row r="47">
      <c r="A47" s="3">
        <v>46.0</v>
      </c>
      <c r="B47" s="3" t="s">
        <v>1608</v>
      </c>
      <c r="C47" s="3" t="s">
        <v>1609</v>
      </c>
      <c r="D47" s="3" t="s">
        <v>1610</v>
      </c>
      <c r="E47" s="3" t="s">
        <v>1611</v>
      </c>
      <c r="H47" s="4" t="str">
        <f>IFERROR(__xludf.DUMMYFUNCTION("GOOGLETRANSLATE(A47, ""en"", ""bn"")"),"৪৬")</f>
        <v>৪৬</v>
      </c>
      <c r="I47" s="4" t="str">
        <f>IFERROR(__xludf.DUMMYFUNCTION("GOOGLETRANSLATE(B47, ""en"", ""bn"")"),"একটি সাধারণ হা-ডু-ডু ম্যাচের সময়কাল কত?")</f>
        <v>একটি সাধারণ হা-ডু-ডু ম্যাচের সময়কাল কত?</v>
      </c>
      <c r="J47" s="4" t="str">
        <f>IFERROR(__xludf.DUMMYFUNCTION("GOOGLETRANSLATE(C47, ""en"", ""bn"")"),"ক) ১৫ মিনিট, খ) ২০ মিনিট, গ) ৩০ মিনিট, ঘ) ৪৫ মিনিট")</f>
        <v>ক) ১৫ মিনিট, খ) ২০ মিনিট, গ) ৩০ মিনিট, ঘ) ৪৫ মিনিট</v>
      </c>
      <c r="K47" s="4" t="str">
        <f>IFERROR(__xludf.DUMMYFUNCTION("GOOGLETRANSLATE(D47, ""en"", ""bn"")"),"গ) ৩০ মিনিট")</f>
        <v>গ) ৩০ মিনিট</v>
      </c>
      <c r="L47" s="4" t="str">
        <f>IFERROR(__xludf.DUMMYFUNCTION("GOOGLETRANSLATE(E47, ""en"", ""bn"")"),"একটি সাধারণ হা-ডু-ডু ম্যাচ 30 মিনিট স্থায়ী হয়।")</f>
        <v>একটি সাধারণ হা-ডু-ডু ম্যাচ 30 মিনিট স্থায়ী হয়।</v>
      </c>
    </row>
    <row r="48">
      <c r="A48" s="3">
        <v>47.0</v>
      </c>
      <c r="B48" s="3" t="s">
        <v>1612</v>
      </c>
      <c r="C48" s="3" t="s">
        <v>1613</v>
      </c>
      <c r="D48" s="3" t="s">
        <v>1614</v>
      </c>
      <c r="E48" s="3" t="s">
        <v>1615</v>
      </c>
      <c r="H48" s="4" t="str">
        <f>IFERROR(__xludf.DUMMYFUNCTION("GOOGLETRANSLATE(A48, ""en"", ""bn"")"),"৪৭")</f>
        <v>৪৭</v>
      </c>
      <c r="I48" s="4" t="str">
        <f>IFERROR(__xludf.DUMMYFUNCTION("GOOGLETRANSLATE(B48, ""en"", ""bn"")"),"হা-ডু-ডুতে, খেলার নিয়ম প্রয়োগের জন্য কে দায়ী?")</f>
        <v>হা-ডু-ডুতে, খেলার নিয়ম প্রয়োগের জন্য কে দায়ী?</v>
      </c>
      <c r="J48" s="4" t="str">
        <f>IFERROR(__xludf.DUMMYFUNCTION("GOOGLETRANSLATE(C48, ""en"", ""bn"")"),"ক) দলের অধিনায়ক, খ) রেফারি, গ) কোচ, ঘ) দর্শক")</f>
        <v>ক) দলের অধিনায়ক, খ) রেফারি, গ) কোচ, ঘ) দর্শক</v>
      </c>
      <c r="K48" s="4" t="str">
        <f>IFERROR(__xludf.DUMMYFUNCTION("GOOGLETRANSLATE(D48, ""en"", ""bn"")"),"খ) রেফারি")</f>
        <v>খ) রেফারি</v>
      </c>
      <c r="L48" s="4" t="str">
        <f>IFERROR(__xludf.DUMMYFUNCTION("GOOGLETRANSLATE(E48, ""en"", ""bn"")"),"রেফারি নিশ্চিত করেন যে খেলা চলাকালীন নিয়মগুলি অনুসরণ করা হচ্ছে।")</f>
        <v>রেফারি নিশ্চিত করেন যে খেলা চলাকালীন নিয়মগুলি অনুসরণ করা হচ্ছে।</v>
      </c>
    </row>
    <row r="49">
      <c r="A49" s="3">
        <v>48.0</v>
      </c>
      <c r="B49" s="3" t="s">
        <v>1616</v>
      </c>
      <c r="C49" s="3" t="s">
        <v>1617</v>
      </c>
      <c r="D49" s="3" t="s">
        <v>1618</v>
      </c>
      <c r="E49" s="3" t="s">
        <v>1619</v>
      </c>
      <c r="H49" s="4" t="str">
        <f>IFERROR(__xludf.DUMMYFUNCTION("GOOGLETRANSLATE(A49, ""en"", ""bn"")"),"৪৮")</f>
        <v>৪৮</v>
      </c>
      <c r="I49" s="4" t="str">
        <f>IFERROR(__xludf.DUMMYFUNCTION("GOOGLETRANSLATE(B49, ""en"", ""bn"")"),"হা-ডু-ডুতে, কখন একটি দল আক্রমণ এবং প্রতিরক্ষার মধ্যে পরিবর্তন করে?")</f>
        <v>হা-ডু-ডুতে, কখন একটি দল আক্রমণ এবং প্রতিরক্ষার মধ্যে পরিবর্তন করে?</v>
      </c>
      <c r="J49" s="4" t="str">
        <f>IFERROR(__xludf.DUMMYFUNCTION("GOOGLETRANSLATE(C49, ""en"", ""bn"")"),"ক) প্রতিটি পয়েন্টের পর, খ) প্রতিটি রাউন্ডের পর, গ) যখন একজন খেলোয়াড়কে ট্যাগ করা হয়, ঘ) খেলার শুরুতে")</f>
        <v>ক) প্রতিটি পয়েন্টের পর, খ) প্রতিটি রাউন্ডের পর, গ) যখন একজন খেলোয়াড়কে ট্যাগ করা হয়, ঘ) খেলার শুরুতে</v>
      </c>
      <c r="K49" s="4" t="str">
        <f>IFERROR(__xludf.DUMMYFUNCTION("GOOGLETRANSLATE(D49, ""en"", ""bn"")"),"খ) প্রতিটি রাউন্ডের পর")</f>
        <v>খ) প্রতিটি রাউন্ডের পর</v>
      </c>
      <c r="L49" s="4" t="str">
        <f>IFERROR(__xludf.DUMMYFUNCTION("GOOGLETRANSLATE(E49, ""en"", ""bn"")"),"প্রতিটি রাউন্ডের পর দলগুলি আক্রমণ এবং প্রতিরক্ষার মধ্যে পরিবর্তন করে।")</f>
        <v>প্রতিটি রাউন্ডের পর দলগুলি আক্রমণ এবং প্রতিরক্ষার মধ্যে পরিবর্তন করে।</v>
      </c>
    </row>
    <row r="50">
      <c r="A50" s="3">
        <v>49.0</v>
      </c>
      <c r="B50" s="3" t="s">
        <v>1620</v>
      </c>
      <c r="C50" s="3" t="s">
        <v>1621</v>
      </c>
      <c r="D50" s="3" t="s">
        <v>1622</v>
      </c>
      <c r="E50" s="3" t="s">
        <v>1623</v>
      </c>
      <c r="H50" s="4" t="str">
        <f>IFERROR(__xludf.DUMMYFUNCTION("GOOGLETRANSLATE(A50, ""en"", ""bn"")"),"৪৯")</f>
        <v>৪৯</v>
      </c>
      <c r="I50" s="4" t="str">
        <f>IFERROR(__xludf.DUMMYFUNCTION("GOOGLETRANSLATE(B50, ""en"", ""bn"")"),"হা-ডু-ডুতে, যদি একজন ডিফেন্ডার রেইডারকে পা ধরে ফেলে তাহলে কী হবে?")</f>
        <v>হা-ডু-ডুতে, যদি একজন ডিফেন্ডার রেইডারকে পা ধরে ফেলে তাহলে কী হবে?</v>
      </c>
      <c r="J50" s="4" t="str">
        <f>IFERROR(__xludf.DUMMYFUNCTION("GOOGLETRANSLATE(C50, ""en"", ""bn"")"),"ক) রেইডার একটি পয়েন্ট পায়, খ) ডিফেন্ডারকে শাস্তি দেওয়া হয়, গ) উভয় খেলোয়াড়কেই বাদ দেওয়া হয়, ঘ) রেইডারকে ট্যাগ করা হয়")</f>
        <v>ক) রেইডার একটি পয়েন্ট পায়, খ) ডিফেন্ডারকে শাস্তি দেওয়া হয়, গ) উভয় খেলোয়াড়কেই বাদ দেওয়া হয়, ঘ) রেইডারকে ট্যাগ করা হয়</v>
      </c>
      <c r="K50" s="4" t="str">
        <f>IFERROR(__xludf.DUMMYFUNCTION("GOOGLETRANSLATE(D50, ""en"", ""bn"")"),"খ) ডিফেন্ডারকে শাস্তি দেওয়া হয়")</f>
        <v>খ) ডিফেন্ডারকে শাস্তি দেওয়া হয়</v>
      </c>
      <c r="L50" s="4" t="str">
        <f>IFERROR(__xludf.DUMMYFUNCTION("GOOGLETRANSLATE(E50, ""en"", ""bn"")"),"রেইডারকে পা ধরে ধরা একটি ফাউল, এবং ডিফেন্ডারকে শাস্তি দেওয়া হয়।")</f>
        <v>রেইডারকে পা ধরে ধরা একটি ফাউল, এবং ডিফেন্ডারকে শাস্তি দেওয়া হয়।</v>
      </c>
    </row>
    <row r="51">
      <c r="A51" s="3">
        <v>50.0</v>
      </c>
      <c r="B51" s="3" t="s">
        <v>1624</v>
      </c>
      <c r="C51" s="3" t="s">
        <v>1625</v>
      </c>
      <c r="D51" s="3" t="s">
        <v>1626</v>
      </c>
      <c r="E51" s="3" t="s">
        <v>1627</v>
      </c>
      <c r="H51" s="4" t="str">
        <f>IFERROR(__xludf.DUMMYFUNCTION("GOOGLETRANSLATE(A51, ""en"", ""bn"")"),"৫০")</f>
        <v>৫০</v>
      </c>
      <c r="I51" s="4" t="str">
        <f>IFERROR(__xludf.DUMMYFUNCTION("GOOGLETRANSLATE(B51, ""en"", ""bn"")"),"হা-ডু-ডুতে, একজন রেইডার সর্বোচ্চ কতক্ষণ প্রতিপক্ষের পাশে থাকতে পারে?")</f>
        <v>হা-ডু-ডুতে, একজন রেইডার সর্বোচ্চ কতক্ষণ প্রতিপক্ষের পাশে থাকতে পারে?</v>
      </c>
      <c r="J51" s="4" t="str">
        <f>IFERROR(__xludf.DUMMYFUNCTION("GOOGLETRANSLATE(C51, ""en"", ""bn"")"),"ক) ৭ সেকেন্ড, খ) ১০ সেকেন্ড, গ) ১৫ সেকেন্ড, ঘ) ২০ সেকেন্ড")</f>
        <v>ক) ৭ সেকেন্ড, খ) ১০ সেকেন্ড, গ) ১৫ সেকেন্ড, ঘ) ২০ সেকেন্ড</v>
      </c>
      <c r="K51" s="4" t="str">
        <f>IFERROR(__xludf.DUMMYFUNCTION("GOOGLETRANSLATE(D51, ""en"", ""bn"")"),"গ) ১৫ সেকেন্ড")</f>
        <v>গ) ১৫ সেকেন্ড</v>
      </c>
      <c r="L51" s="4" t="str">
        <f>IFERROR(__xludf.DUMMYFUNCTION("GOOGLETRANSLATE(E51, ""en"", ""bn"")"),"একজন রেইডারকে ১৫ সেকেন্ডের মধ্যে তাদের দলে ফিরে আসতে হবে।")</f>
        <v>একজন রেইডারকে ১৫ সেকেন্ডের মধ্যে তাদের দলে ফিরে আসতে হবে।</v>
      </c>
    </row>
    <row r="52">
      <c r="A52" s="3">
        <v>51.0</v>
      </c>
      <c r="B52" s="3" t="s">
        <v>1628</v>
      </c>
      <c r="C52" s="3" t="s">
        <v>1629</v>
      </c>
      <c r="D52" s="3" t="s">
        <v>1630</v>
      </c>
      <c r="E52" s="3" t="s">
        <v>1631</v>
      </c>
      <c r="H52" s="4" t="str">
        <f>IFERROR(__xludf.DUMMYFUNCTION("GOOGLETRANSLATE(A52, ""en"", ""bn"")"),"৫১")</f>
        <v>৫১</v>
      </c>
      <c r="I52" s="4" t="str">
        <f>IFERROR(__xludf.DUMMYFUNCTION("GOOGLETRANSLATE(B52, ""en"", ""bn"")"),"হা-ডু-ডুতে, কোন দলের ভূমিকায় রেইডারকে খেলোয়াড়দের ট্যাগ করা থেকে বিরত রাখা জড়িত?")</f>
        <v>হা-ডু-ডুতে, কোন দলের ভূমিকায় রেইডারকে খেলোয়াড়দের ট্যাগ করা থেকে বিরত রাখা জড়িত?</v>
      </c>
      <c r="J52" s="4" t="str">
        <f>IFERROR(__xludf.DUMMYFUNCTION("GOOGLETRANSLATE(C52, ""en"", ""bn"")"),"ক) ব্লকার, খ) রেইডার, গ) আক্রমণকারী, ঘ) ডিফেন্ডার")</f>
        <v>ক) ব্লকার, খ) রেইডার, গ) আক্রমণকারী, ঘ) ডিফেন্ডার</v>
      </c>
      <c r="K52" s="4" t="str">
        <f>IFERROR(__xludf.DUMMYFUNCTION("GOOGLETRANSLATE(D52, ""en"", ""bn"")"),"ক) ব্লকার")</f>
        <v>ক) ব্লকার</v>
      </c>
      <c r="L52" s="4" t="str">
        <f>IFERROR(__xludf.DUMMYFUNCTION("GOOGLETRANSLATE(E52, ""en"", ""bn"")"),"ব্লকাররা রেইডারকে খেলোয়াড়দের ট্যাগ করতে বাধা দেয়।")</f>
        <v>ব্লকাররা রেইডারকে খেলোয়াড়দের ট্যাগ করতে বাধা দেয়।</v>
      </c>
    </row>
    <row r="53">
      <c r="A53" s="3">
        <v>52.0</v>
      </c>
      <c r="B53" s="3" t="s">
        <v>1632</v>
      </c>
      <c r="C53" s="3" t="s">
        <v>1633</v>
      </c>
      <c r="D53" s="3" t="s">
        <v>1634</v>
      </c>
      <c r="E53" s="3" t="s">
        <v>1635</v>
      </c>
      <c r="H53" s="4" t="str">
        <f>IFERROR(__xludf.DUMMYFUNCTION("GOOGLETRANSLATE(A53, ""en"", ""bn"")"),"৫২")</f>
        <v>৫২</v>
      </c>
      <c r="I53" s="4" t="str">
        <f>IFERROR(__xludf.DUMMYFUNCTION("GOOGLETRANSLATE(B53, ""en"", ""bn"")"),"হা-ডু-ডুতে, যদি কোনও রেইডার ট্যাগিং ছাড়াই প্রতিপক্ষের স্কোরিং জোনে প্রবেশ করে তবে কী হবে?")</f>
        <v>হা-ডু-ডুতে, যদি কোনও রেইডার ট্যাগিং ছাড়াই প্রতিপক্ষের স্কোরিং জোনে প্রবেশ করে তবে কী হবে?</v>
      </c>
      <c r="J53" s="4" t="str">
        <f>IFERROR(__xludf.DUMMYFUNCTION("GOOGLETRANSLATE(C53, ""en"", ""bn"")"),"ক) রেইডার একটি পয়েন্ট হারিয়ে ফেলে, খ) খেলা আবার শুরু হয়, গ) রেইডারকে শাস্তি দেওয়া হয়, ঘ) ডিফেন্ডারকে শাস্তি দেওয়া হয়")</f>
        <v>ক) রেইডার একটি পয়েন্ট হারিয়ে ফেলে, খ) খেলা আবার শুরু হয়, গ) রেইডারকে শাস্তি দেওয়া হয়, ঘ) ডিফেন্ডারকে শাস্তি দেওয়া হয়</v>
      </c>
      <c r="K53" s="4" t="str">
        <f>IFERROR(__xludf.DUMMYFUNCTION("GOOGLETRANSLATE(D53, ""en"", ""bn"")"),"গ) ডাকাতকে শাস্তি দেওয়া হয়")</f>
        <v>গ) ডাকাতকে শাস্তি দেওয়া হয়</v>
      </c>
      <c r="L53" s="4" t="str">
        <f>IFERROR(__xludf.DUMMYFUNCTION("GOOGLETRANSLATE(E53, ""en"", ""bn"")"),"ট্যাগিং ছাড়াই স্কোরিং জোনে পা রাখলে রেইডারকে পেনাল্টি দিতে হবে।")</f>
        <v>ট্যাগিং ছাড়াই স্কোরিং জোনে পা রাখলে রেইডারকে পেনাল্টি দিতে হবে।</v>
      </c>
    </row>
    <row r="54">
      <c r="A54" s="3">
        <v>53.0</v>
      </c>
      <c r="B54" s="3" t="s">
        <v>1636</v>
      </c>
      <c r="C54" s="3" t="s">
        <v>1637</v>
      </c>
      <c r="D54" s="3" t="s">
        <v>1638</v>
      </c>
      <c r="E54" s="3" t="s">
        <v>1639</v>
      </c>
      <c r="H54" s="4" t="str">
        <f>IFERROR(__xludf.DUMMYFUNCTION("GOOGLETRANSLATE(A54, ""en"", ""bn"")"),"৫৩")</f>
        <v>৫৩</v>
      </c>
      <c r="I54" s="4" t="str">
        <f>IFERROR(__xludf.DUMMYFUNCTION("GOOGLETRANSLATE(B54, ""en"", ""bn"")"),"হা-ডু-ডুতে, আক্রমণকারীকে থামানোর জন্য একটি সফল প্রতিরক্ষামূলক কৌশলকে কী বলা হয়?")</f>
        <v>হা-ডু-ডুতে, আক্রমণকারীকে থামানোর জন্য একটি সফল প্রতিরক্ষামূলক কৌশলকে কী বলা হয়?</v>
      </c>
      <c r="J54" s="4" t="str">
        <f>IFERROR(__xludf.DUMMYFUNCTION("GOOGLETRANSLATE(C54, ""en"", ""bn"")"),"ক) ব্লক, খ) ট্যাকল, গ) ট্যাগ, ঘ) ক্যাচ")</f>
        <v>ক) ব্লক, খ) ট্যাকল, গ) ট্যাগ, ঘ) ক্যাচ</v>
      </c>
      <c r="K54" s="4" t="str">
        <f>IFERROR(__xludf.DUMMYFUNCTION("GOOGLETRANSLATE(D54, ""en"", ""bn"")"),"ক) ব্লক")</f>
        <v>ক) ব্লক</v>
      </c>
      <c r="L54" s="4" t="str">
        <f>IFERROR(__xludf.DUMMYFUNCTION("GOOGLETRANSLATE(E54, ""en"", ""bn"")"),"ব্লক হলো একটি প্রতিরক্ষামূলক কৌশল যা রেইডারকে গোল করা থেকে বিরত রাখতে ব্যবহৃত হয়।")</f>
        <v>ব্লক হলো একটি প্রতিরক্ষামূলক কৌশল যা রেইডারকে গোল করা থেকে বিরত রাখতে ব্যবহৃত হয়।</v>
      </c>
    </row>
    <row r="55">
      <c r="A55" s="3">
        <v>54.0</v>
      </c>
      <c r="B55" s="3" t="s">
        <v>1640</v>
      </c>
      <c r="C55" s="3" t="s">
        <v>1441</v>
      </c>
      <c r="D55" s="3" t="s">
        <v>226</v>
      </c>
      <c r="E55" s="3" t="s">
        <v>1641</v>
      </c>
      <c r="H55" s="4" t="str">
        <f>IFERROR(__xludf.DUMMYFUNCTION("GOOGLETRANSLATE(A55, ""en"", ""bn"")"),"৫৪")</f>
        <v>৫৪</v>
      </c>
      <c r="I55" s="4" t="str">
        <f>IFERROR(__xludf.DUMMYFUNCTION("GOOGLETRANSLATE(B55, ""en"", ""bn"")"),"হা-ডু-ডুতে, খেলার শুরুতে প্রতিটি দলে কতজন খেলোয়াড় থাকে?")</f>
        <v>হা-ডু-ডুতে, খেলার শুরুতে প্রতিটি দলে কতজন খেলোয়াড় থাকে?</v>
      </c>
      <c r="J55" s="4" t="str">
        <f>IFERROR(__xludf.DUMMYFUNCTION("GOOGLETRANSLATE(C55, ""en"", ""bn"")"),"ক) ৫, খ) ৭, গ) ৯, ঘ) ১১")</f>
        <v>ক) ৫, খ) ৭, গ) ৯, ঘ) ১১</v>
      </c>
      <c r="K55" s="4" t="str">
        <f>IFERROR(__xludf.DUMMYFUNCTION("GOOGLETRANSLATE(D55, ""en"", ""bn"")"),"খ) ৭")</f>
        <v>খ) ৭</v>
      </c>
      <c r="L55" s="4" t="str">
        <f>IFERROR(__xludf.DUMMYFUNCTION("GOOGLETRANSLATE(E55, ""en"", ""bn"")"),"প্রতিটি দল একটি স্ট্যান্ডার্ড হা-ডু-ডু ম্যাচে ৭ জন খেলোয়াড় দিয়ে শুরু করে।")</f>
        <v>প্রতিটি দল একটি স্ট্যান্ডার্ড হা-ডু-ডু ম্যাচে ৭ জন খেলোয়াড় দিয়ে শুরু করে।</v>
      </c>
    </row>
    <row r="56">
      <c r="A56" s="3">
        <v>55.0</v>
      </c>
      <c r="B56" s="3" t="s">
        <v>1642</v>
      </c>
      <c r="C56" s="3" t="s">
        <v>1643</v>
      </c>
      <c r="D56" s="3" t="s">
        <v>1644</v>
      </c>
      <c r="E56" s="3" t="s">
        <v>1645</v>
      </c>
      <c r="H56" s="4" t="str">
        <f>IFERROR(__xludf.DUMMYFUNCTION("GOOGLETRANSLATE(A56, ""en"", ""bn"")"),"৫৫")</f>
        <v>৫৫</v>
      </c>
      <c r="I56" s="4" t="str">
        <f>IFERROR(__xludf.DUMMYFUNCTION("GOOGLETRANSLATE(B56, ""en"", ""bn"")"),"হা-ডু-ডুতে আক্রমণকারীর প্রধান ভূমিকা কী?")</f>
        <v>হা-ডু-ডুতে আক্রমণকারীর প্রধান ভূমিকা কী?</v>
      </c>
      <c r="J56" s="4" t="str">
        <f>IFERROR(__xludf.DUMMYFUNCTION("GOOGLETRANSLATE(C56, ""en"", ""bn"")"),"ক) ডিফেন্ডারদের ব্লক করা, খ) প্রতিপক্ষকে ট্যাগ করা, গ) পয়েন্ট অর্জন করা, ঘ) সতীর্থদের রক্ষা করা")</f>
        <v>ক) ডিফেন্ডারদের ব্লক করা, খ) প্রতিপক্ষকে ট্যাগ করা, গ) পয়েন্ট অর্জন করা, ঘ) সতীর্থদের রক্ষা করা</v>
      </c>
      <c r="K56" s="4" t="str">
        <f>IFERROR(__xludf.DUMMYFUNCTION("GOOGLETRANSLATE(D56, ""en"", ""bn"")"),"খ) বিরোধীদের ট্যাগ করা")</f>
        <v>খ) বিরোধীদের ট্যাগ করা</v>
      </c>
      <c r="L56" s="4" t="str">
        <f>IFERROR(__xludf.DUMMYFUNCTION("GOOGLETRANSLATE(E56, ""en"", ""bn"")"),"রেইডারদের মূল লক্ষ্য হলো প্রতিপক্ষ দলের খেলোয়াড়দের ট্যাগ না করেই ট্যাগ করা।")</f>
        <v>রেইডারদের মূল লক্ষ্য হলো প্রতিপক্ষ দলের খেলোয়াড়দের ট্যাগ না করেই ট্যাগ করা।</v>
      </c>
    </row>
    <row r="57">
      <c r="A57" s="3">
        <v>56.0</v>
      </c>
      <c r="B57" s="3" t="s">
        <v>1646</v>
      </c>
      <c r="C57" s="3" t="s">
        <v>1647</v>
      </c>
      <c r="D57" s="3" t="s">
        <v>1648</v>
      </c>
      <c r="E57" s="3" t="s">
        <v>1649</v>
      </c>
      <c r="H57" s="4" t="str">
        <f>IFERROR(__xludf.DUMMYFUNCTION("GOOGLETRANSLATE(A57, ""en"", ""bn"")"),"৫৬")</f>
        <v>৫৬</v>
      </c>
      <c r="I57" s="4" t="str">
        <f>IFERROR(__xludf.DUMMYFUNCTION("GOOGLETRANSLATE(B57, ""en"", ""bn"")"),"হা-ডু-ডুতে, একজন ডিফেন্ডারের ভূমিকা একজন রাইডারের ভূমিকা থেকে কীভাবে আলাদা?")</f>
        <v>হা-ডু-ডুতে, একজন ডিফেন্ডারের ভূমিকা একজন রাইডারের ভূমিকা থেকে কীভাবে আলাদা?</v>
      </c>
      <c r="J57" s="4" t="str">
        <f>IFERROR(__xludf.DUMMYFUNCTION("GOOGLETRANSLATE(C57, ""en"", ""bn"")"),"ক) ডিফেন্ডাররা পয়েন্ট স্কোর করে, খ) ডিফেন্ডাররা রেইডারকে গোল করা থেকে বিরত রাখে, গ) ডিফেন্ডাররা প্রতিপক্ষকে ট্যাগ করে, ঘ) ডিফেন্ডাররা রেইডারকে স্পর্শ করতে পারে না")</f>
        <v>ক) ডিফেন্ডাররা পয়েন্ট স্কোর করে, খ) ডিফেন্ডাররা রেইডারকে গোল করা থেকে বিরত রাখে, গ) ডিফেন্ডাররা প্রতিপক্ষকে ট্যাগ করে, ঘ) ডিফেন্ডাররা রেইডারকে স্পর্শ করতে পারে না</v>
      </c>
      <c r="K57" s="4" t="str">
        <f>IFERROR(__xludf.DUMMYFUNCTION("GOOGLETRANSLATE(D57, ""en"", ""bn"")"),"খ) ডিফেন্ডাররা রেইডারকে গোল করা থেকে বিরত রাখে")</f>
        <v>খ) ডিফেন্ডাররা রেইডারকে গোল করা থেকে বিরত রাখে</v>
      </c>
      <c r="L57" s="4" t="str">
        <f>IFERROR(__xludf.DUMMYFUNCTION("GOOGLETRANSLATE(E57, ""en"", ""bn"")"),"ডিফেন্ডাররা লক্ষ্য রাখে খেলোয়াড়দের ব্লক বা ট্যাগ করে রেইডারদের ট্যাগ করা থেকে বিরত রাখা।")</f>
        <v>ডিফেন্ডাররা লক্ষ্য রাখে খেলোয়াড়দের ব্লক বা ট্যাগ করে রেইডারদের ট্যাগ করা থেকে বিরত রাখা।</v>
      </c>
    </row>
    <row r="58">
      <c r="A58" s="3">
        <v>57.0</v>
      </c>
      <c r="B58" s="3" t="s">
        <v>1650</v>
      </c>
      <c r="C58" s="3" t="s">
        <v>1651</v>
      </c>
      <c r="D58" s="3" t="s">
        <v>1599</v>
      </c>
      <c r="E58" s="3" t="s">
        <v>1652</v>
      </c>
      <c r="H58" s="4" t="str">
        <f>IFERROR(__xludf.DUMMYFUNCTION("GOOGLETRANSLATE(A58, ""en"", ""bn"")"),"৫৭")</f>
        <v>৫৭</v>
      </c>
      <c r="I58" s="4" t="str">
        <f>IFERROR(__xludf.DUMMYFUNCTION("GOOGLETRANSLATE(B58, ""en"", ""bn"")"),"যদি একজন রেইডার নির্ধারিত সময়ের মধ্যে প্রতিপক্ষকে ট্যাগ করতে ব্যর্থ হয় তাহলে কী হবে?")</f>
        <v>যদি একজন রেইডার নির্ধারিত সময়ের মধ্যে প্রতিপক্ষকে ট্যাগ করতে ব্যর্থ হয় তাহলে কী হবে?</v>
      </c>
      <c r="J58" s="4" t="str">
        <f>IFERROR(__xludf.DUMMYFUNCTION("GOOGLETRANSLATE(C58, ""en"", ""bn"")"),"ক) রেইডার বাদ পড়ে, খ) রেইডার একটি পয়েন্ট হারায়, গ) রেইডার আরেকটি প্রচেষ্টা পায়, ঘ) রাউন্ড শেষ হয়")</f>
        <v>ক) রেইডার বাদ পড়ে, খ) রেইডার একটি পয়েন্ট হারায়, গ) রেইডার আরেকটি প্রচেষ্টা পায়, ঘ) রাউন্ড শেষ হয়</v>
      </c>
      <c r="K58" s="4" t="str">
        <f>IFERROR(__xludf.DUMMYFUNCTION("GOOGLETRANSLATE(D58, ""en"", ""bn"")"),"ক) আক্রমণকারীকে বাদ দেওয়া হয়")</f>
        <v>ক) আক্রমণকারীকে বাদ দেওয়া হয়</v>
      </c>
      <c r="L58" s="4" t="str">
        <f>IFERROR(__xludf.DUMMYFUNCTION("GOOGLETRANSLATE(E58, ""en"", ""bn"")"),"যদি কোন রেইডার নির্ধারিত সময়ের মধ্যে প্রতিপক্ষকে ট্যাগ করতে ব্যর্থ হয়, তাহলে তাকে রাউন্ড থেকে বাদ দেওয়া হবে।")</f>
        <v>যদি কোন রেইডার নির্ধারিত সময়ের মধ্যে প্রতিপক্ষকে ট্যাগ করতে ব্যর্থ হয়, তাহলে তাকে রাউন্ড থেকে বাদ দেওয়া হবে।</v>
      </c>
    </row>
    <row r="59">
      <c r="A59" s="3">
        <v>58.0</v>
      </c>
      <c r="B59" s="3" t="s">
        <v>1653</v>
      </c>
      <c r="C59" s="3" t="s">
        <v>1456</v>
      </c>
      <c r="D59" s="3" t="s">
        <v>1457</v>
      </c>
      <c r="E59" s="3" t="s">
        <v>1654</v>
      </c>
      <c r="H59" s="4" t="str">
        <f>IFERROR(__xludf.DUMMYFUNCTION("GOOGLETRANSLATE(A59, ""en"", ""bn"")"),"৫৮")</f>
        <v>৫৮</v>
      </c>
      <c r="I59" s="4" t="str">
        <f>IFERROR(__xludf.DUMMYFUNCTION("GOOGLETRANSLATE(B59, ""en"", ""bn"")"),"হা-ডু-ডুতে, একজন আক্রমণকারীর আক্রমণের সময় কত?")</f>
        <v>হা-ডু-ডুতে, একজন আক্রমণকারীর আক্রমণের সময় কত?</v>
      </c>
      <c r="J59" s="4" t="str">
        <f>IFERROR(__xludf.DUMMYFUNCTION("GOOGLETRANSLATE(C59, ""en"", ""bn"")"),"ক) ১০ সেকেন্ড, খ) ১৫ সেকেন্ড, গ) ২০ সেকেন্ড, ঘ) ৩০ সেকেন্ড")</f>
        <v>ক) ১০ সেকেন্ড, খ) ১৫ সেকেন্ড, গ) ২০ সেকেন্ড, ঘ) ৩০ সেকেন্ড</v>
      </c>
      <c r="K59" s="4" t="str">
        <f>IFERROR(__xludf.DUMMYFUNCTION("GOOGLETRANSLATE(D59, ""en"", ""bn"")"),"খ) ১৫ সেকেন্ড")</f>
        <v>খ) ১৫ সেকেন্ড</v>
      </c>
      <c r="L59" s="4" t="str">
        <f>IFERROR(__xludf.DUMMYFUNCTION("GOOGLETRANSLATE(E59, ""en"", ""bn"")"),"একজন রেইডারের আক্রমণ করে তাদের দিকে ফিরে আসার জন্য ১৫ সেকেন্ড সময় থাকে।")</f>
        <v>একজন রেইডারের আক্রমণ করে তাদের দিকে ফিরে আসার জন্য ১৫ সেকেন্ড সময় থাকে।</v>
      </c>
    </row>
    <row r="60">
      <c r="A60" s="3">
        <v>59.0</v>
      </c>
      <c r="B60" s="3" t="s">
        <v>1655</v>
      </c>
      <c r="C60" s="3" t="s">
        <v>1656</v>
      </c>
      <c r="D60" s="3" t="s">
        <v>1657</v>
      </c>
      <c r="E60" s="3" t="s">
        <v>1658</v>
      </c>
      <c r="H60" s="4" t="str">
        <f>IFERROR(__xludf.DUMMYFUNCTION("GOOGLETRANSLATE(A60, ""en"", ""bn"")"),"৫৯")</f>
        <v>৫৯</v>
      </c>
      <c r="I60" s="4" t="str">
        <f>IFERROR(__xludf.DUMMYFUNCTION("GOOGLETRANSLATE(B60, ""en"", ""bn"")"),"হা-ডু-ডুতে রক্ষণাত্মক খেলোয়াড়দের জন্য কী শব্দটি ব্যবহৃত হয়?")</f>
        <v>হা-ডু-ডুতে রক্ষণাত্মক খেলোয়াড়দের জন্য কী শব্দটি ব্যবহৃত হয়?</v>
      </c>
      <c r="J60" s="4" t="str">
        <f>IFERROR(__xludf.DUMMYFUNCTION("GOOGLETRANSLATE(C60, ""en"", ""bn"")"),"ক) ব্লকার, খ) রেইডার, গ) ট্যাগার, ঘ) ডিফেন্ডার")</f>
        <v>ক) ব্লকার, খ) রেইডার, গ) ট্যাগার, ঘ) ডিফেন্ডার</v>
      </c>
      <c r="K60" s="4" t="str">
        <f>IFERROR(__xludf.DUMMYFUNCTION("GOOGLETRANSLATE(D60, ""en"", ""bn"")"),"ক) ব্লকার")</f>
        <v>ক) ব্লকার</v>
      </c>
      <c r="L60" s="4" t="str">
        <f>IFERROR(__xludf.DUMMYFUNCTION("GOOGLETRANSLATE(E60, ""en"", ""bn"")"),"হা-ডু-ডুতে রক্ষণাত্মক খেলোয়াড়দের ব্লকার বলা হয়, কারণ তারা রেইডারকে গোল করতে বাধা দেওয়ার চেষ্টা করে।")</f>
        <v>হা-ডু-ডুতে রক্ষণাত্মক খেলোয়াড়দের ব্লকার বলা হয়, কারণ তারা রেইডারকে গোল করতে বাধা দেওয়ার চেষ্টা করে।</v>
      </c>
    </row>
    <row r="61">
      <c r="A61" s="3">
        <v>60.0</v>
      </c>
      <c r="B61" s="3" t="s">
        <v>1659</v>
      </c>
      <c r="C61" s="3" t="s">
        <v>1660</v>
      </c>
      <c r="D61" s="3" t="s">
        <v>1634</v>
      </c>
      <c r="E61" s="3" t="s">
        <v>1661</v>
      </c>
      <c r="H61" s="4" t="str">
        <f>IFERROR(__xludf.DUMMYFUNCTION("GOOGLETRANSLATE(A61, ""en"", ""bn"")"),"৬০")</f>
        <v>৬০</v>
      </c>
      <c r="I61" s="4" t="str">
        <f>IFERROR(__xludf.DUMMYFUNCTION("GOOGLETRANSLATE(B61, ""en"", ""bn"")"),"হা-ডু-ডুতে, যদি একজন রেইডার প্রতিপক্ষের দিকে চিহ্নিত রেখা স্পর্শ করে তাহলে কী হবে?")</f>
        <v>হা-ডু-ডুতে, যদি একজন রেইডার প্রতিপক্ষের দিকে চিহ্নিত রেখা স্পর্শ করে তাহলে কী হবে?</v>
      </c>
      <c r="J61" s="4" t="str">
        <f>IFERROR(__xludf.DUMMYFUNCTION("GOOGLETRANSLATE(C61, ""en"", ""bn"")"),"ক) রেইডার অযোগ্য ঘোষণা করা হয়, খ) রেইডার অতিরিক্ত পয়েন্ট অর্জন করে, গ) রেইডারকে শাস্তি দেওয়া হয়, ঘ) রেইডার একটি পয়েন্ট অর্জন করে")</f>
        <v>ক) রেইডার অযোগ্য ঘোষণা করা হয়, খ) রেইডার অতিরিক্ত পয়েন্ট অর্জন করে, গ) রেইডারকে শাস্তি দেওয়া হয়, ঘ) রেইডার একটি পয়েন্ট অর্জন করে</v>
      </c>
      <c r="K61" s="4" t="str">
        <f>IFERROR(__xludf.DUMMYFUNCTION("GOOGLETRANSLATE(D61, ""en"", ""bn"")"),"গ) ডাকাতকে শাস্তি দেওয়া হয়")</f>
        <v>গ) ডাকাতকে শাস্তি দেওয়া হয়</v>
      </c>
      <c r="L61" s="4" t="str">
        <f>IFERROR(__xludf.DUMMYFUNCTION("GOOGLETRANSLATE(E61, ""en"", ""bn"")"),"আক্রমণ করার সময় যে রেইডার লাইন স্পর্শ করে তাকে শাস্তি দেওয়া হয় এবং বাদ দেওয়া হয়।")</f>
        <v>আক্রমণ করার সময় যে রেইডার লাইন স্পর্শ করে তাকে শাস্তি দেওয়া হয় এবং বাদ দেওয়া হয়।</v>
      </c>
    </row>
    <row r="62">
      <c r="A62" s="3">
        <v>61.0</v>
      </c>
      <c r="B62" s="3" t="s">
        <v>1662</v>
      </c>
      <c r="C62" s="3" t="s">
        <v>202</v>
      </c>
      <c r="D62" s="3" t="s">
        <v>764</v>
      </c>
      <c r="E62" s="3" t="s">
        <v>1663</v>
      </c>
      <c r="H62" s="4" t="str">
        <f>IFERROR(__xludf.DUMMYFUNCTION("GOOGLETRANSLATE(A62, ""en"", ""bn"")"),"৬১")</f>
        <v>৬১</v>
      </c>
      <c r="I62" s="4" t="str">
        <f>IFERROR(__xludf.DUMMYFUNCTION("GOOGLETRANSLATE(B62, ""en"", ""bn"")"),"হা-ডু-ডুতে, প্রতি দলে সর্বোচ্চ কত সংখ্যক বিকল্প খেলোয়াড়ের অনুমতি রয়েছে?")</f>
        <v>হা-ডু-ডুতে, প্রতি দলে সর্বোচ্চ কত সংখ্যক বিকল্প খেলোয়াড়ের অনুমতি রয়েছে?</v>
      </c>
      <c r="J62" s="4" t="str">
        <f>IFERROR(__xludf.DUMMYFUNCTION("GOOGLETRANSLATE(C62, ""en"", ""bn"")"),"ক) ২, খ) ৩, গ) ৪, ঘ) ৫")</f>
        <v>ক) ২, খ) ৩, গ) ৪, ঘ) ৫</v>
      </c>
      <c r="K62" s="4" t="str">
        <f>IFERROR(__xludf.DUMMYFUNCTION("GOOGLETRANSLATE(D62, ""en"", ""bn"")"),"গ) ৪")</f>
        <v>গ) ৪</v>
      </c>
      <c r="L62" s="4" t="str">
        <f>IFERROR(__xludf.DUMMYFUNCTION("GOOGLETRANSLATE(E62, ""en"", ""bn"")"),"প্রতিটি দলকে অফিসিয়াল খেলায় সর্বোচ্চ ৪ জন বদলি খেলোয়াড় রাখার অনুমতি দেওয়া হয়।")</f>
        <v>প্রতিটি দলকে অফিসিয়াল খেলায় সর্বোচ্চ ৪ জন বদলি খেলোয়াড় রাখার অনুমতি দেওয়া হয়।</v>
      </c>
    </row>
    <row r="63">
      <c r="A63" s="3">
        <v>62.0</v>
      </c>
      <c r="B63" s="3" t="s">
        <v>1664</v>
      </c>
      <c r="C63" s="3" t="s">
        <v>1444</v>
      </c>
      <c r="D63" s="3" t="s">
        <v>1445</v>
      </c>
      <c r="E63" s="3" t="s">
        <v>1665</v>
      </c>
      <c r="H63" s="4" t="str">
        <f>IFERROR(__xludf.DUMMYFUNCTION("GOOGLETRANSLATE(A63, ""en"", ""bn"")"),"৬২")</f>
        <v>৬২</v>
      </c>
      <c r="I63" s="4" t="str">
        <f>IFERROR(__xludf.DUMMYFUNCTION("GOOGLETRANSLATE(B63, ""en"", ""bn"")"),"একটি খেলা চালিয়ে যাওয়ার জন্য মাঠে সর্বনিম্ন কতজন খেলোয়াড়ের প্রয়োজন?")</f>
        <v>একটি খেলা চালিয়ে যাওয়ার জন্য মাঠে সর্বনিম্ন কতজন খেলোয়াড়ের প্রয়োজন?</v>
      </c>
      <c r="J63" s="4" t="str">
        <f>IFERROR(__xludf.DUMMYFUNCTION("GOOGLETRANSLATE(C63, ""en"", ""bn"")"),"ক) ৩, খ) ৪, গ) ৫, ঘ) ৬")</f>
        <v>ক) ৩, খ) ৪, গ) ৫, ঘ) ৬</v>
      </c>
      <c r="K63" s="4" t="str">
        <f>IFERROR(__xludf.DUMMYFUNCTION("GOOGLETRANSLATE(D63, ""en"", ""bn"")"),"গ) ৫")</f>
        <v>গ) ৫</v>
      </c>
      <c r="L63" s="4" t="str">
        <f>IFERROR(__xludf.DUMMYFUNCTION("GOOGLETRANSLATE(E63, ""en"", ""bn"")"),"একটি খেলা চালিয়ে যাওয়ার জন্য একটি দলে কমপক্ষে ৫ জন সক্রিয় খেলোয়াড় থাকতে হবে।")</f>
        <v>একটি খেলা চালিয়ে যাওয়ার জন্য একটি দলে কমপক্ষে ৫ জন সক্রিয় খেলোয়াড় থাকতে হবে।</v>
      </c>
    </row>
    <row r="64">
      <c r="A64" s="3">
        <v>63.0</v>
      </c>
      <c r="B64" s="3" t="s">
        <v>1666</v>
      </c>
      <c r="C64" s="3" t="s">
        <v>1667</v>
      </c>
      <c r="D64" s="3" t="s">
        <v>1279</v>
      </c>
      <c r="E64" s="3" t="s">
        <v>1668</v>
      </c>
      <c r="H64" s="4" t="str">
        <f>IFERROR(__xludf.DUMMYFUNCTION("GOOGLETRANSLATE(A64, ""en"", ""bn"")"),"৬৩")</f>
        <v>৬৩</v>
      </c>
      <c r="I64" s="4" t="str">
        <f>IFERROR(__xludf.DUMMYFUNCTION("GOOGLETRANSLATE(B64, ""en"", ""bn"")"),"হা-ডু-ডুতে প্রাথমিক আক্রমণকারী কীভাবে নির্ধারণ করা হয়?")</f>
        <v>হা-ডু-ডুতে প্রাথমিক আক্রমণকারী কীভাবে নির্ধারণ করা হয়?</v>
      </c>
      <c r="J64" s="4" t="str">
        <f>IFERROR(__xludf.DUMMYFUNCTION("GOOGLETRANSLATE(C64, ""en"", ""bn"")"),"ক) মুদ্রা টস, খ) রেফারির সিদ্ধান্ত, গ) হোম টিম, ঘ) এলোমেলো ড্র")</f>
        <v>ক) মুদ্রা টস, খ) রেফারির সিদ্ধান্ত, গ) হোম টিম, ঘ) এলোমেলো ড্র</v>
      </c>
      <c r="K64" s="4" t="str">
        <f>IFERROR(__xludf.DUMMYFUNCTION("GOOGLETRANSLATE(D64, ""en"", ""bn"")"),"ক) মুদ্রা টস")</f>
        <v>ক) মুদ্রা টস</v>
      </c>
      <c r="L64" s="4" t="str">
        <f>IFERROR(__xludf.DUMMYFUNCTION("GOOGLETRANSLATE(E64, ""en"", ""bn"")"),"কয়েন টসের মাধ্যমে সিদ্ধান্ত নেওয়া হয় কোন দল প্রথমে অভিযান চালাবে।")</f>
        <v>কয়েন টসের মাধ্যমে সিদ্ধান্ত নেওয়া হয় কোন দল প্রথমে অভিযান চালাবে।</v>
      </c>
    </row>
    <row r="65">
      <c r="A65" s="3">
        <v>64.0</v>
      </c>
      <c r="B65" s="3" t="s">
        <v>1669</v>
      </c>
      <c r="C65" s="3" t="s">
        <v>202</v>
      </c>
      <c r="D65" s="3" t="s">
        <v>203</v>
      </c>
      <c r="E65" s="3" t="s">
        <v>1670</v>
      </c>
      <c r="H65" s="4" t="str">
        <f>IFERROR(__xludf.DUMMYFUNCTION("GOOGLETRANSLATE(A65, ""en"", ""bn"")"),"৬৪")</f>
        <v>৬৪</v>
      </c>
      <c r="I65" s="4" t="str">
        <f>IFERROR(__xludf.DUMMYFUNCTION("GOOGLETRANSLATE(B65, ""en"", ""bn"")"),"একটি স্ট্যান্ডার্ড হা-ডু-ডু খেলায় সর্বোচ্চ কতজন কর্মকর্তা থাকতে পারে?")</f>
        <v>একটি স্ট্যান্ডার্ড হা-ডু-ডু খেলায় সর্বোচ্চ কতজন কর্মকর্তা থাকতে পারে?</v>
      </c>
      <c r="J65" s="4" t="str">
        <f>IFERROR(__xludf.DUMMYFUNCTION("GOOGLETRANSLATE(C65, ""en"", ""bn"")"),"ক) ২, খ) ৩, গ) ৪, ঘ) ৫")</f>
        <v>ক) ২, খ) ৩, গ) ৪, ঘ) ৫</v>
      </c>
      <c r="K65" s="4" t="str">
        <f>IFERROR(__xludf.DUMMYFUNCTION("GOOGLETRANSLATE(D65, ""en"", ""bn"")"),"খ) ৩")</f>
        <v>খ) ৩</v>
      </c>
      <c r="L65" s="4" t="str">
        <f>IFERROR(__xludf.DUMMYFUNCTION("GOOGLETRANSLATE(E65, ""en"", ""bn"")"),"সাধারণত একজন রেফারি এবং দুজন সহকারী রেফারি খেলা পরিচালনা করেন।")</f>
        <v>সাধারণত একজন রেফারি এবং দুজন সহকারী রেফারি খেলা পরিচালনা করেন।</v>
      </c>
    </row>
    <row r="66">
      <c r="A66" s="3">
        <v>65.0</v>
      </c>
      <c r="B66" s="3" t="s">
        <v>1671</v>
      </c>
      <c r="C66" s="3" t="s">
        <v>1672</v>
      </c>
      <c r="D66" s="3" t="s">
        <v>1673</v>
      </c>
      <c r="E66" s="3" t="s">
        <v>1674</v>
      </c>
      <c r="H66" s="4" t="str">
        <f>IFERROR(__xludf.DUMMYFUNCTION("GOOGLETRANSLATE(A66, ""en"", ""bn"")"),"৬৫")</f>
        <v>৬৫</v>
      </c>
      <c r="I66" s="4" t="str">
        <f>IFERROR(__xludf.DUMMYFUNCTION("GOOGLETRANSLATE(B66, ""en"", ""bn"")"),"হা-ডু-ডুতে প্রতিটি অর্ধেকের সর্বোচ্চ সময়কাল কত?")</f>
        <v>হা-ডু-ডুতে প্রতিটি অর্ধেকের সর্বোচ্চ সময়কাল কত?</v>
      </c>
      <c r="J66" s="4" t="str">
        <f>IFERROR(__xludf.DUMMYFUNCTION("GOOGLETRANSLATE(C66, ""en"", ""bn"")"),"A) 10 মিনিট, B) 12 মিনিট, C) 15 মিনিট, D) 20 মিনিট")</f>
        <v>A) 10 মিনিট, B) 12 মিনিট, C) 15 মিনিট, D) 20 মিনিট</v>
      </c>
      <c r="K66" s="4" t="str">
        <f>IFERROR(__xludf.DUMMYFUNCTION("GOOGLETRANSLATE(D66, ""en"", ""bn"")"),"গ) ১৫ মিনিট")</f>
        <v>গ) ১৫ মিনিট</v>
      </c>
      <c r="L66" s="4" t="str">
        <f>IFERROR(__xludf.DUMMYFUNCTION("GOOGLETRANSLATE(E66, ""en"", ""bn"")"),"একটি আদর্শ ৩০ মিনিটের খেলায় প্রতিটি অর্ধ ১৫ মিনিটের হয়।")</f>
        <v>একটি আদর্শ ৩০ মিনিটের খেলায় প্রতিটি অর্ধ ১৫ মিনিটের হয়।</v>
      </c>
    </row>
    <row r="67">
      <c r="A67" s="3">
        <v>66.0</v>
      </c>
      <c r="B67" s="3" t="s">
        <v>1675</v>
      </c>
      <c r="C67" s="3" t="s">
        <v>23</v>
      </c>
      <c r="D67" s="3" t="s">
        <v>24</v>
      </c>
      <c r="E67" s="3" t="s">
        <v>1676</v>
      </c>
      <c r="H67" s="4" t="str">
        <f>IFERROR(__xludf.DUMMYFUNCTION("GOOGLETRANSLATE(A67, ""en"", ""bn"")"),"৬৬")</f>
        <v>৬৬</v>
      </c>
      <c r="I67" s="4" t="str">
        <f>IFERROR(__xludf.DUMMYFUNCTION("GOOGLETRANSLATE(B67, ""en"", ""bn"")"),"হা-ডু-ডুতে প্রতি দলে কতবার টাইমআউট অনুমোদিত?")</f>
        <v>হা-ডু-ডুতে প্রতি দলে কতবার টাইমআউট অনুমোদিত?</v>
      </c>
      <c r="J67" s="4" t="str">
        <f>IFERROR(__xludf.DUMMYFUNCTION("GOOGLETRANSLATE(C67, ""en"", ""bn"")"),"ক) ১, খ) ২, গ) ৩, ঘ) ৪")</f>
        <v>ক) ১, খ) ২, গ) ৩, ঘ) ৪</v>
      </c>
      <c r="K67" s="4" t="str">
        <f>IFERROR(__xludf.DUMMYFUNCTION("GOOGLETRANSLATE(D67, ""en"", ""bn"")"),"খ) ২")</f>
        <v>খ) ২</v>
      </c>
      <c r="L67" s="4" t="str">
        <f>IFERROR(__xludf.DUMMYFUNCTION("GOOGLETRANSLATE(E67, ""en"", ""bn"")"),"প্রতিটি দল প্রতি ম্যাচে ২টি টাইমআউট নিতে পারবে।")</f>
        <v>প্রতিটি দল প্রতি ম্যাচে ২টি টাইমআউট নিতে পারবে।</v>
      </c>
    </row>
    <row r="68">
      <c r="A68" s="3">
        <v>67.0</v>
      </c>
      <c r="B68" s="3" t="s">
        <v>1677</v>
      </c>
      <c r="C68" s="3" t="s">
        <v>1678</v>
      </c>
      <c r="D68" s="3" t="s">
        <v>1679</v>
      </c>
      <c r="E68" s="3" t="s">
        <v>1680</v>
      </c>
      <c r="H68" s="4" t="str">
        <f>IFERROR(__xludf.DUMMYFUNCTION("GOOGLETRANSLATE(A68, ""en"", ""bn"")"),"৬৭")</f>
        <v>৬৭</v>
      </c>
      <c r="I68" s="4" t="str">
        <f>IFERROR(__xludf.DUMMYFUNCTION("GOOGLETRANSLATE(B68, ""en"", ""bn"")"),"হা-ডু-ডুতে, হাফটাইম বিরতির আদর্শ সময়কাল কত?")</f>
        <v>হা-ডু-ডুতে, হাফটাইম বিরতির আদর্শ সময়কাল কত?</v>
      </c>
      <c r="J68" s="4" t="str">
        <f>IFERROR(__xludf.DUMMYFUNCTION("GOOGLETRANSLATE(C68, ""en"", ""bn"")"),"A) 2 মিনিট, B) 3 মিনিট, C) 5 মিনিট, D) 7 মিনিট")</f>
        <v>A) 2 মিনিট, B) 3 মিনিট, C) 5 মিনিট, D) 7 মিনিট</v>
      </c>
      <c r="K68" s="4" t="str">
        <f>IFERROR(__xludf.DUMMYFUNCTION("GOOGLETRANSLATE(D68, ""en"", ""bn"")"),"গ) ৫ মিনিট")</f>
        <v>গ) ৫ মিনিট</v>
      </c>
      <c r="L68" s="4" t="str">
        <f>IFERROR(__xludf.DUMMYFUNCTION("GOOGLETRANSLATE(E68, ""en"", ""bn"")"),"দলগুলো ৫ মিনিটের হাফটাইম বিরতি পায়।")</f>
        <v>দলগুলো ৫ মিনিটের হাফটাইম বিরতি পায়।</v>
      </c>
    </row>
    <row r="69">
      <c r="A69" s="3">
        <v>68.0</v>
      </c>
      <c r="B69" s="3" t="s">
        <v>1681</v>
      </c>
      <c r="C69" s="3" t="s">
        <v>1682</v>
      </c>
      <c r="D69" s="3" t="s">
        <v>1683</v>
      </c>
      <c r="E69" s="3" t="s">
        <v>1684</v>
      </c>
      <c r="H69" s="4" t="str">
        <f>IFERROR(__xludf.DUMMYFUNCTION("GOOGLETRANSLATE(A69, ""en"", ""bn"")"),"৬৮")</f>
        <v>৬৮</v>
      </c>
      <c r="I69" s="4" t="str">
        <f>IFERROR(__xludf.DUMMYFUNCTION("GOOGLETRANSLATE(B69, ""en"", ""bn"")"),"সর্বোচ্চ কত সময়কাল ধরে অভিযান চালানো সম্ভব?")</f>
        <v>সর্বোচ্চ কত সময়কাল ধরে অভিযান চালানো সম্ভব?</v>
      </c>
      <c r="J69" s="4" t="str">
        <f>IFERROR(__xludf.DUMMYFUNCTION("GOOGLETRANSLATE(C69, ""en"", ""bn"")"),"ক) ১০ সেকেন্ড, খ) ১২ সেকেন্ড, গ) ১৫ সেকেন্ড, ঘ) ২০ সেকেন্ড")</f>
        <v>ক) ১০ সেকেন্ড, খ) ১২ সেকেন্ড, গ) ১৫ সেকেন্ড, ঘ) ২০ সেকেন্ড</v>
      </c>
      <c r="K69" s="4" t="str">
        <f>IFERROR(__xludf.DUMMYFUNCTION("GOOGLETRANSLATE(D69, ""en"", ""bn"")"),"গ) ১৫ সেকেন্ড")</f>
        <v>গ) ১৫ সেকেন্ড</v>
      </c>
      <c r="L69" s="4" t="str">
        <f>IFERROR(__xludf.DUMMYFUNCTION("GOOGLETRANSLATE(E69, ""en"", ""bn"")"),"একজন রেইডারের রেইড শেষ করার জন্য ১৫ সেকেন্ড সময় থাকে।")</f>
        <v>একজন রেইডারের রেইড শেষ করার জন্য ১৫ সেকেন্ড সময় থাকে।</v>
      </c>
    </row>
    <row r="70">
      <c r="A70" s="3">
        <v>69.0</v>
      </c>
      <c r="B70" s="3" t="s">
        <v>1685</v>
      </c>
      <c r="C70" s="3" t="s">
        <v>1686</v>
      </c>
      <c r="D70" s="3" t="s">
        <v>1687</v>
      </c>
      <c r="E70" s="3" t="s">
        <v>1688</v>
      </c>
      <c r="H70" s="4" t="str">
        <f>IFERROR(__xludf.DUMMYFUNCTION("GOOGLETRANSLATE(A70, ""en"", ""bn"")"),"৬৯")</f>
        <v>৬৯</v>
      </c>
      <c r="I70" s="4" t="str">
        <f>IFERROR(__xludf.DUMMYFUNCTION("GOOGLETRANSLATE(B70, ""en"", ""bn"")"),"একজন রেইডার যখন একটি পয়েন্ট স্কোর করে, তখন কতজন খেলোয়াড়কে পুনরুজ্জীবিত করা যায়?")</f>
        <v>একজন রেইডার যখন একটি পয়েন্ট স্কোর করে, তখন কতজন খেলোয়াড়কে পুনরুজ্জীবিত করা যায়?</v>
      </c>
      <c r="J70" s="4" t="str">
        <f>IFERROR(__xludf.DUMMYFUNCTION("GOOGLETRANSLATE(C70, ""en"", ""bn"")"),"ক) ০, খ) ১, গ) ২, ঘ) ৩")</f>
        <v>ক) ০, খ) ১, গ) ২, ঘ) ৩</v>
      </c>
      <c r="K70" s="4" t="str">
        <f>IFERROR(__xludf.DUMMYFUNCTION("GOOGLETRANSLATE(D70, ""en"", ""bn"")"),"খ) ১")</f>
        <v>খ) ১</v>
      </c>
      <c r="L70" s="4" t="str">
        <f>IFERROR(__xludf.DUMMYFUNCTION("GOOGLETRANSLATE(E70, ""en"", ""bn"")"),"প্রতিটি সফল অভিযান একজন বাদ পড়া খেলোয়াড়কে পুনরুজ্জীবিত করে।")</f>
        <v>প্রতিটি সফল অভিযান একজন বাদ পড়া খেলোয়াড়কে পুনরুজ্জীবিত করে।</v>
      </c>
    </row>
    <row r="71">
      <c r="A71" s="3">
        <v>70.0</v>
      </c>
      <c r="B71" s="3" t="s">
        <v>1689</v>
      </c>
      <c r="C71" s="3" t="s">
        <v>1690</v>
      </c>
      <c r="D71" s="3" t="s">
        <v>1691</v>
      </c>
      <c r="E71" s="3" t="s">
        <v>1692</v>
      </c>
      <c r="H71" s="4" t="str">
        <f>IFERROR(__xludf.DUMMYFUNCTION("GOOGLETRANSLATE(A71, ""en"", ""bn"")"),"৭০")</f>
        <v>৭০</v>
      </c>
      <c r="I71" s="4" t="str">
        <f>IFERROR(__xludf.DUMMYFUNCTION("GOOGLETRANSLATE(B71, ""en"", ""bn"")"),"কোনও ডিফেন্ডার যদি যোগাযোগ ছাড়াই সীমানার বাইরে চলে যায়, তাহলে তার শাস্তি কী?")</f>
        <v>কোনও ডিফেন্ডার যদি যোগাযোগ ছাড়াই সীমানার বাইরে চলে যায়, তাহলে তার শাস্তি কী?</v>
      </c>
      <c r="J71" s="4" t="str">
        <f>IFERROR(__xludf.DUMMYFUNCTION("GOOGLETRANSLATE(C71, ""en"", ""bn"")"),"ক) কোন পেনাল্টি নেই, খ) রিপ্লে, গ) ডিফেন্ডার আউট, ঘ) রাইডার বাদ পড়েছে")</f>
        <v>ক) কোন পেনাল্টি নেই, খ) রিপ্লে, গ) ডিফেন্ডার আউট, ঘ) রাইডার বাদ পড়েছে</v>
      </c>
      <c r="K71" s="4" t="str">
        <f>IFERROR(__xludf.DUMMYFUNCTION("GOOGLETRANSLATE(D71, ""en"", ""bn"")"),"গ) ডিফেন্ডার আউট")</f>
        <v>গ) ডিফেন্ডার আউট</v>
      </c>
      <c r="L71" s="4" t="str">
        <f>IFERROR(__xludf.DUMMYFUNCTION("GOOGLETRANSLATE(E71, ""en"", ""bn"")"),"সীমানার বাইরে যাওয়া ডিফেন্ডারদের আউট বলে গণ্য করা হবে।")</f>
        <v>সীমানার বাইরে যাওয়া ডিফেন্ডারদের আউট বলে গণ্য করা হবে।</v>
      </c>
    </row>
    <row r="72">
      <c r="A72" s="3">
        <v>71.0</v>
      </c>
      <c r="B72" s="3" t="s">
        <v>1693</v>
      </c>
      <c r="C72" s="3" t="s">
        <v>1694</v>
      </c>
      <c r="D72" s="3" t="s">
        <v>1695</v>
      </c>
      <c r="E72" s="3" t="s">
        <v>1696</v>
      </c>
      <c r="H72" s="4" t="str">
        <f>IFERROR(__xludf.DUMMYFUNCTION("GOOGLETRANSLATE(A72, ""en"", ""bn"")"),"৭১")</f>
        <v>৭১</v>
      </c>
      <c r="I72" s="4" t="str">
        <f>IFERROR(__xludf.DUMMYFUNCTION("GOOGLETRANSLATE(B72, ""en"", ""bn"")"),"""হা-দু-দু"" ধ্বনি বন্ধ করলে ডাকাতদের শাস্তি কী?")</f>
        <v>"হা-দু-দু" ধ্বনি বন্ধ করলে ডাকাতদের শাস্তি কী?</v>
      </c>
      <c r="J72" s="4" t="str">
        <f>IFERROR(__xludf.DUMMYFUNCTION("GOOGLETRANSLATE(C72, ""en"", ""bn"")"),"ক) ফ্রি রেইড, খ) রেইডার আউট, গ) ডিফেন্ডারকে শাস্তি দেওয়া হয়েছে, ঘ) রিপ্লে")</f>
        <v>ক) ফ্রি রেইড, খ) রেইডার আউট, গ) ডিফেন্ডারকে শাস্তি দেওয়া হয়েছে, ঘ) রিপ্লে</v>
      </c>
      <c r="K72" s="4" t="str">
        <f>IFERROR(__xludf.DUMMYFUNCTION("GOOGLETRANSLATE(D72, ""en"", ""bn"")"),"খ) রেইডার আউট")</f>
        <v>খ) রেইডার আউট</v>
      </c>
      <c r="L72" s="4" t="str">
        <f>IFERROR(__xludf.DUMMYFUNCTION("GOOGLETRANSLATE(E72, ""en"", ""bn"")"),"আক্রমণকারীদের ক্রমাগত জপ করতে হবে; থামলে তারা নির্মূল হয়ে যাবে।")</f>
        <v>আক্রমণকারীদের ক্রমাগত জপ করতে হবে; থামলে তারা নির্মূল হয়ে যাবে।</v>
      </c>
    </row>
    <row r="73">
      <c r="A73" s="3">
        <v>72.0</v>
      </c>
      <c r="B73" s="3" t="s">
        <v>1697</v>
      </c>
      <c r="C73" s="3" t="s">
        <v>1698</v>
      </c>
      <c r="D73" s="3" t="s">
        <v>1699</v>
      </c>
      <c r="E73" s="3" t="s">
        <v>1700</v>
      </c>
      <c r="H73" s="4" t="str">
        <f>IFERROR(__xludf.DUMMYFUNCTION("GOOGLETRANSLATE(A73, ""en"", ""bn"")"),"৭২")</f>
        <v>৭২</v>
      </c>
      <c r="I73" s="4" t="str">
        <f>IFERROR(__xludf.DUMMYFUNCTION("GOOGLETRANSLATE(B73, ""en"", ""bn"")"),"একটি আদর্শ হা-ডু-ডু কোর্ট কত প্রশস্ত?")</f>
        <v>একটি আদর্শ হা-ডু-ডু কোর্ট কত প্রশস্ত?</v>
      </c>
      <c r="J73" s="4" t="str">
        <f>IFERROR(__xludf.DUMMYFUNCTION("GOOGLETRANSLATE(C73, ""en"", ""bn"")"),"ক) ৬ মিটার, খ) ৭ মিটার, গ) ৮ মিটার, ঘ) ৯ মিটার")</f>
        <v>ক) ৬ মিটার, খ) ৭ মিটার, গ) ৮ মিটার, ঘ) ৯ মিটার</v>
      </c>
      <c r="K73" s="4" t="str">
        <f>IFERROR(__xludf.DUMMYFUNCTION("GOOGLETRANSLATE(D73, ""en"", ""bn"")"),"খ) ৭ মি")</f>
        <v>খ) ৭ মি</v>
      </c>
      <c r="L73" s="4" t="str">
        <f>IFERROR(__xludf.DUMMYFUNCTION("GOOGLETRANSLATE(E73, ""en"", ""bn"")"),"খেলার মাঠের প্রস্থ ৭ মিটার।")</f>
        <v>খেলার মাঠের প্রস্থ ৭ মিটার।</v>
      </c>
    </row>
    <row r="74">
      <c r="A74" s="3">
        <v>73.0</v>
      </c>
      <c r="B74" s="3" t="s">
        <v>1701</v>
      </c>
      <c r="C74" s="3" t="s">
        <v>1702</v>
      </c>
      <c r="D74" s="3" t="s">
        <v>1703</v>
      </c>
      <c r="E74" s="3" t="s">
        <v>1704</v>
      </c>
      <c r="H74" s="4" t="str">
        <f>IFERROR(__xludf.DUMMYFUNCTION("GOOGLETRANSLATE(A74, ""en"", ""bn"")"),"৭৩")</f>
        <v>৭৩</v>
      </c>
      <c r="I74" s="4" t="str">
        <f>IFERROR(__xludf.DUMMYFUNCTION("GOOGLETRANSLATE(B74, ""en"", ""bn"")"),"একটি আদর্শ হা-ডু-ডু কোর্টের দৈর্ঘ্য কত?")</f>
        <v>একটি আদর্শ হা-ডু-ডু কোর্টের দৈর্ঘ্য কত?</v>
      </c>
      <c r="J74" s="4" t="str">
        <f>IFERROR(__xludf.DUMMYFUNCTION("GOOGLETRANSLATE(C74, ""en"", ""bn"")"),"ক) ৮ মিটার, খ) ১০ মিটার, গ) ১২ মিটার, ঘ) ১৫ মিটার")</f>
        <v>ক) ৮ মিটার, খ) ১০ মিটার, গ) ১২ মিটার, ঘ) ১৫ মিটার</v>
      </c>
      <c r="K74" s="4" t="str">
        <f>IFERROR(__xludf.DUMMYFUNCTION("GOOGLETRANSLATE(D74, ""en"", ""bn"")"),"গ) ১২ মি")</f>
        <v>গ) ১২ মি</v>
      </c>
      <c r="L74" s="4" t="str">
        <f>IFERROR(__xludf.DUMMYFUNCTION("GOOGLETRANSLATE(E74, ""en"", ""bn"")"),"স্ট্যান্ডার্ড হা-ডু-ডু কোর্ট 12 মিটার লম্বা।")</f>
        <v>স্ট্যান্ডার্ড হা-ডু-ডু কোর্ট 12 মিটার লম্বা।</v>
      </c>
    </row>
    <row r="75">
      <c r="A75" s="3">
        <v>74.0</v>
      </c>
      <c r="B75" s="3" t="s">
        <v>1705</v>
      </c>
      <c r="C75" s="3" t="s">
        <v>1706</v>
      </c>
      <c r="D75" s="3" t="s">
        <v>1707</v>
      </c>
      <c r="E75" s="3" t="s">
        <v>1708</v>
      </c>
      <c r="H75" s="4" t="str">
        <f>IFERROR(__xludf.DUMMYFUNCTION("GOOGLETRANSLATE(A75, ""en"", ""bn"")"),"৭৪")</f>
        <v>৭৪</v>
      </c>
      <c r="I75" s="4" t="str">
        <f>IFERROR(__xludf.DUMMYFUNCTION("GOOGLETRANSLATE(B75, ""en"", ""bn"")"),"যদি কোন রেইডার কোন ডিফেন্ডারকে ট্যাগ করতে ব্যর্থ হয় এবং নিরাপদে ফিরে আসে তাহলে কী হবে?")</f>
        <v>যদি কোন রেইডার কোন ডিফেন্ডারকে ট্যাগ করতে ব্যর্থ হয় এবং নিরাপদে ফিরে আসে তাহলে কী হবে?</v>
      </c>
      <c r="J75" s="4" t="str">
        <f>IFERROR(__xludf.DUMMYFUNCTION("GOOGLETRANSLATE(C75, ""en"", ""bn"")"),"ক) কোন পয়েন্ট নেই, খ) ডিফেন্ডার আউট, গ) রাইডার ১ পয়েন্ট পেয়েছে, ঘ) রিপ্লে")</f>
        <v>ক) কোন পয়েন্ট নেই, খ) ডিফেন্ডার আউট, গ) রাইডার ১ পয়েন্ট পেয়েছে, ঘ) রিপ্লে</v>
      </c>
      <c r="K75" s="4" t="str">
        <f>IFERROR(__xludf.DUMMYFUNCTION("GOOGLETRANSLATE(D75, ""en"", ""bn"")"),"ক) কোন পয়েন্ট নেই")</f>
        <v>ক) কোন পয়েন্ট নেই</v>
      </c>
      <c r="L75" s="4" t="str">
        <f>IFERROR(__xludf.DUMMYFUNCTION("GOOGLETRANSLATE(E75, ""en"", ""bn"")"),"রাইডার্সদের গোল করার জন্য কমপক্ষে একজন ডিফেন্ডারকে ট্যাগ করতে হবে।")</f>
        <v>রাইডার্সদের গোল করার জন্য কমপক্ষে একজন ডিফেন্ডারকে ট্যাগ করতে হবে।</v>
      </c>
    </row>
    <row r="76">
      <c r="A76" s="3">
        <v>75.0</v>
      </c>
      <c r="B76" s="3" t="s">
        <v>1709</v>
      </c>
      <c r="C76" s="3" t="s">
        <v>1710</v>
      </c>
      <c r="D76" s="3" t="s">
        <v>1711</v>
      </c>
      <c r="E76" s="3" t="s">
        <v>1712</v>
      </c>
      <c r="H76" s="4" t="str">
        <f>IFERROR(__xludf.DUMMYFUNCTION("GOOGLETRANSLATE(A76, ""en"", ""bn"")"),"৭৫")</f>
        <v>৭৫</v>
      </c>
      <c r="I76" s="4" t="str">
        <f>IFERROR(__xludf.DUMMYFUNCTION("GOOGLETRANSLATE(B76, ""en"", ""bn"")"),"যদি একটি দলের সকল খেলোয়াড় বাদ পড়ে যায় তাহলে কী হবে?")</f>
        <v>যদি একটি দলের সকল খেলোয়াড় বাদ পড়ে যায় তাহলে কী হবে?</v>
      </c>
      <c r="J76" s="4" t="str">
        <f>IFERROR(__xludf.DUMMYFUNCTION("GOOGLETRANSLATE(C76, ""en"", ""bn"")"),"ক) খেলা শেষ, খ) প্রতিপক্ষ বোনাস পয়েন্ট পায়, গ) দল পুনরুজ্জীবিত হয়, ঘ) রিপ্লে")</f>
        <v>ক) খেলা শেষ, খ) প্রতিপক্ষ বোনাস পয়েন্ট পায়, গ) দল পুনরুজ্জীবিত হয়, ঘ) রিপ্লে</v>
      </c>
      <c r="K76" s="4" t="str">
        <f>IFERROR(__xludf.DUMMYFUNCTION("GOOGLETRANSLATE(D76, ""en"", ""bn"")"),"খ) প্রতিপক্ষ বোনাস পয়েন্ট পাবে")</f>
        <v>খ) প্রতিপক্ষ বোনাস পয়েন্ট পাবে</v>
      </c>
      <c r="L76" s="4" t="str">
        <f>IFERROR(__xludf.DUMMYFUNCTION("GOOGLETRANSLATE(E76, ""en"", ""bn"")"),"যখন সবাই আউট হয়ে যায়, তখন প্রতিপক্ষ একটি অতিরিক্ত পয়েন্ট অর্জন করে।")</f>
        <v>যখন সবাই আউট হয়ে যায়, তখন প্রতিপক্ষ একটি অতিরিক্ত পয়েন্ট অর্জন করে।</v>
      </c>
    </row>
    <row r="77">
      <c r="A77" s="3">
        <v>76.0</v>
      </c>
      <c r="B77" s="3" t="s">
        <v>1713</v>
      </c>
      <c r="C77" s="3" t="s">
        <v>1714</v>
      </c>
      <c r="D77" s="3" t="s">
        <v>1715</v>
      </c>
      <c r="E77" s="3" t="s">
        <v>1716</v>
      </c>
      <c r="H77" s="4" t="str">
        <f>IFERROR(__xludf.DUMMYFUNCTION("GOOGLETRANSLATE(A77, ""en"", ""bn"")"),"৭৬")</f>
        <v>৭৬</v>
      </c>
      <c r="I77" s="4" t="str">
        <f>IFERROR(__xludf.DUMMYFUNCTION("GOOGLETRANSLATE(B77, ""en"", ""bn"")"),"নির্ধারিত সময়ের পরে যদি উভয় দলই সমান থাকে তাহলে কী হবে?")</f>
        <v>নির্ধারিত সময়ের পরে যদি উভয় দলই সমান থাকে তাহলে কী হবে?</v>
      </c>
      <c r="J77" s="4" t="str">
        <f>IFERROR(__xludf.DUMMYFUNCTION("GOOGLETRANSLATE(C77, ""en"", ""bn"")"),"ক) ড্র, খ) গোল্ডেন রেইড, গ) রিপ্লে, ঘ) অতিরিক্ত ৫ মিনিট")</f>
        <v>ক) ড্র, খ) গোল্ডেন রেইড, গ) রিপ্লে, ঘ) অতিরিক্ত ৫ মিনিট</v>
      </c>
      <c r="K77" s="4" t="str">
        <f>IFERROR(__xludf.DUMMYFUNCTION("GOOGLETRANSLATE(D77, ""en"", ""bn"")"),"ক) অঙ্কন")</f>
        <v>ক) অঙ্কন</v>
      </c>
      <c r="L77" s="4" t="str">
        <f>IFERROR(__xludf.DUMMYFUNCTION("GOOGLETRANSLATE(E77, ""en"", ""bn"")"),"যদি টাই হয়, তাহলে খেলাটি ড্র বলে ঘোষণা করা হবে।")</f>
        <v>যদি টাই হয়, তাহলে খেলাটি ড্র বলে ঘোষণা করা হবে।</v>
      </c>
    </row>
    <row r="78">
      <c r="A78" s="3">
        <v>77.0</v>
      </c>
      <c r="B78" s="3" t="s">
        <v>1717</v>
      </c>
      <c r="C78" s="3" t="s">
        <v>1718</v>
      </c>
      <c r="D78" s="3" t="s">
        <v>1719</v>
      </c>
      <c r="E78" s="3" t="s">
        <v>1720</v>
      </c>
      <c r="H78" s="4" t="str">
        <f>IFERROR(__xludf.DUMMYFUNCTION("GOOGLETRANSLATE(A78, ""en"", ""bn"")"),"৭৭")</f>
        <v>৭৭</v>
      </c>
      <c r="I78" s="4" t="str">
        <f>IFERROR(__xludf.DUMMYFUNCTION("GOOGLETRANSLATE(B78, ""en"", ""bn"")"),"একজন ডিফেন্ডার যদি সহিংস বলপ্রয়োগ করে তাহলে তার শাস্তি কী?")</f>
        <v>একজন ডিফেন্ডার যদি সহিংস বলপ্রয়োগ করে তাহলে তার শাস্তি কী?</v>
      </c>
      <c r="J78" s="4" t="str">
        <f>IFERROR(__xludf.DUMMYFUNCTION("GOOGLETRANSLATE(C78, ""en"", ""bn"")"),"ক) সতর্কীকরণ, খ) ডিফেন্ডার আউট, গ) রেইডার পয়েন্ট, ঘ) খেলা বন্ধ")</f>
        <v>ক) সতর্কীকরণ, খ) ডিফেন্ডার আউট, গ) রেইডার পয়েন্ট, ঘ) খেলা বন্ধ</v>
      </c>
      <c r="K78" s="4" t="str">
        <f>IFERROR(__xludf.DUMMYFUNCTION("GOOGLETRANSLATE(D78, ""en"", ""bn"")"),"খ) ডিফেন্ডার আউট")</f>
        <v>খ) ডিফেন্ডার আউট</v>
      </c>
      <c r="L78" s="4" t="str">
        <f>IFERROR(__xludf.DUMMYFUNCTION("GOOGLETRANSLATE(E78, ""en"", ""bn"")"),"অতিরিক্ত বল প্রয়োগ মানেই ফাউল, যা ডিফেন্ডারকে বাদ দেয়।")</f>
        <v>অতিরিক্ত বল প্রয়োগ মানেই ফাউল, যা ডিফেন্ডারকে বাদ দেয়।</v>
      </c>
    </row>
    <row r="79">
      <c r="A79" s="3">
        <v>78.0</v>
      </c>
      <c r="B79" s="3" t="s">
        <v>1721</v>
      </c>
      <c r="C79" s="3" t="s">
        <v>1722</v>
      </c>
      <c r="D79" s="3" t="s">
        <v>1723</v>
      </c>
      <c r="E79" s="3" t="s">
        <v>1724</v>
      </c>
      <c r="H79" s="4" t="str">
        <f>IFERROR(__xludf.DUMMYFUNCTION("GOOGLETRANSLATE(A79, ""en"", ""bn"")"),"৭৮")</f>
        <v>৭৮</v>
      </c>
      <c r="I79" s="4" t="str">
        <f>IFERROR(__xludf.DUMMYFUNCTION("GOOGLETRANSLATE(B79, ""en"", ""bn"")"),"হা-ডু-ডুতে, কখন একটি দল দল পরিবর্তন করে?")</f>
        <v>হা-ডু-ডুতে, কখন একটি দল দল পরিবর্তন করে?</v>
      </c>
      <c r="J79" s="4" t="str">
        <f>IFERROR(__xludf.DUMMYFUNCTION("GOOGLETRANSLATE(C79, ""en"", ""bn"")"),"ক) প্রতি ৫ মিনিটে, খ) হাফটাইমে, গ) প্রতিটি রেইডের পর, ঘ) রেফারির ডাকে")</f>
        <v>ক) প্রতি ৫ মিনিটে, খ) হাফটাইমে, গ) প্রতিটি রেইডের পর, ঘ) রেফারির ডাকে</v>
      </c>
      <c r="K79" s="4" t="str">
        <f>IFERROR(__xludf.DUMMYFUNCTION("GOOGLETRANSLATE(D79, ""en"", ""bn"")"),"খ) হাফটাইমে")</f>
        <v>খ) হাফটাইমে</v>
      </c>
      <c r="L79" s="4" t="str">
        <f>IFERROR(__xludf.DUMMYFUNCTION("GOOGLETRANSLATE(E79, ""en"", ""bn"")"),"হাফটাইমে দলগুলি কোর্টের দিক পরিবর্তন করে।")</f>
        <v>হাফটাইমে দলগুলি কোর্টের দিক পরিবর্তন করে।</v>
      </c>
    </row>
    <row r="80">
      <c r="A80" s="3">
        <v>79.0</v>
      </c>
      <c r="B80" s="3" t="s">
        <v>1725</v>
      </c>
      <c r="C80" s="3" t="s">
        <v>23</v>
      </c>
      <c r="D80" s="3" t="s">
        <v>566</v>
      </c>
      <c r="E80" s="3" t="s">
        <v>1726</v>
      </c>
      <c r="H80" s="4" t="str">
        <f>IFERROR(__xludf.DUMMYFUNCTION("GOOGLETRANSLATE(A80, ""en"", ""bn"")"),"৭৯")</f>
        <v>৭৯</v>
      </c>
      <c r="I80" s="4" t="str">
        <f>IFERROR(__xludf.DUMMYFUNCTION("GOOGLETRANSLATE(B80, ""en"", ""bn"")"),"এক দলের কতজন খেলোয়াড় একসাথে রেইড করে?")</f>
        <v>এক দলের কতজন খেলোয়াড় একসাথে রেইড করে?</v>
      </c>
      <c r="J80" s="4" t="str">
        <f>IFERROR(__xludf.DUMMYFUNCTION("GOOGLETRANSLATE(C80, ""en"", ""bn"")"),"ক) ১, খ) ২, গ) ৩, ঘ) ৪")</f>
        <v>ক) ১, খ) ২, গ) ৩, ঘ) ৪</v>
      </c>
      <c r="K80" s="4" t="str">
        <f>IFERROR(__xludf.DUMMYFUNCTION("GOOGLETRANSLATE(D80, ""en"", ""bn"")"),"ক) ১")</f>
        <v>ক) ১</v>
      </c>
      <c r="L80" s="4" t="str">
        <f>IFERROR(__xludf.DUMMYFUNCTION("GOOGLETRANSLATE(E80, ""en"", ""bn"")"),"একবারে কেবল একজন ডাকাত অভিযান চালাতে পারবে।")</f>
        <v>একবারে কেবল একজন ডাকাত অভিযান চালাতে পারবে।</v>
      </c>
    </row>
    <row r="81">
      <c r="A81" s="3">
        <v>80.0</v>
      </c>
      <c r="B81" s="3" t="s">
        <v>1727</v>
      </c>
      <c r="C81" s="3" t="s">
        <v>1728</v>
      </c>
      <c r="D81" s="3" t="s">
        <v>1729</v>
      </c>
      <c r="E81" s="3" t="s">
        <v>1730</v>
      </c>
      <c r="H81" s="4" t="str">
        <f>IFERROR(__xludf.DUMMYFUNCTION("GOOGLETRANSLATE(A81, ""en"", ""bn"")"),"৮০")</f>
        <v>৮০</v>
      </c>
      <c r="I81" s="4" t="str">
        <f>IFERROR(__xludf.DUMMYFUNCTION("GOOGLETRANSLATE(B81, ""en"", ""bn"")"),"যদি কোন রেইডার ডিফেন্ডারদের স্পর্শ করে সীমানার বাইরে চলে যায় তাহলে কী হবে?")</f>
        <v>যদি কোন রেইডার ডিফেন্ডারদের স্পর্শ করে সীমানার বাইরে চলে যায় তাহলে কী হবে?</v>
      </c>
      <c r="J81" s="4" t="str">
        <f>IFERROR(__xludf.DUMMYFUNCTION("GOOGLETRANSLATE(C81, ""en"", ""bn"")"),"ক) রেইডার পয়েন্ট পায়, খ) ডিফেন্ডাররা পয়েন্ট পায়, গ) কোন পয়েন্ট নেই, ঘ) রিপ্লে")</f>
        <v>ক) রেইডার পয়েন্ট পায়, খ) ডিফেন্ডাররা পয়েন্ট পায়, গ) কোন পয়েন্ট নেই, ঘ) রিপ্লে</v>
      </c>
      <c r="K81" s="4" t="str">
        <f>IFERROR(__xludf.DUMMYFUNCTION("GOOGLETRANSLATE(D81, ""en"", ""bn"")"),"গ) কোন পয়েন্ট নেই")</f>
        <v>গ) কোন পয়েন্ট নেই</v>
      </c>
      <c r="L81" s="4" t="str">
        <f>IFERROR(__xludf.DUMMYFUNCTION("GOOGLETRANSLATE(E81, ""en"", ""bn"")"),"ট্যাগ গণনা করার জন্য একজন রেইডারকে অবশ্যই সীমানার মধ্যে থাকতে হবে।")</f>
        <v>ট্যাগ গণনা করার জন্য একজন রেইডারকে অবশ্যই সীমানার মধ্যে থাকতে হবে।</v>
      </c>
    </row>
    <row r="82">
      <c r="A82" s="3">
        <v>81.0</v>
      </c>
      <c r="B82" s="3" t="s">
        <v>1731</v>
      </c>
      <c r="C82" s="3" t="s">
        <v>23</v>
      </c>
      <c r="D82" s="3" t="s">
        <v>566</v>
      </c>
      <c r="E82" s="3" t="s">
        <v>1732</v>
      </c>
      <c r="H82" s="4" t="str">
        <f>IFERROR(__xludf.DUMMYFUNCTION("GOOGLETRANSLATE(A82, ""en"", ""bn"")"),"৮১")</f>
        <v>৮১</v>
      </c>
      <c r="I82" s="4" t="str">
        <f>IFERROR(__xludf.DUMMYFUNCTION("GOOGLETRANSLATE(B82, ""en"", ""bn"")"),"বদলির আগে লবিতে কতজন খেলোয়াড় থাকা উচিত?")</f>
        <v>বদলির আগে লবিতে কতজন খেলোয়াড় থাকা উচিত?</v>
      </c>
      <c r="J82" s="4" t="str">
        <f>IFERROR(__xludf.DUMMYFUNCTION("GOOGLETRANSLATE(C82, ""en"", ""bn"")"),"ক) ১, খ) ২, গ) ৩, ঘ) ৪")</f>
        <v>ক) ১, খ) ২, গ) ৩, ঘ) ৪</v>
      </c>
      <c r="K82" s="4" t="str">
        <f>IFERROR(__xludf.DUMMYFUNCTION("GOOGLETRANSLATE(D82, ""en"", ""bn"")"),"ক) ১")</f>
        <v>ক) ১</v>
      </c>
      <c r="L82" s="4" t="str">
        <f>IFERROR(__xludf.DUMMYFUNCTION("GOOGLETRANSLATE(E82, ""en"", ""bn"")"),"বদলির অনুমতি পেতে কমপক্ষে একজন খেলোয়াড়কে লবিতে থাকতে হবে।")</f>
        <v>বদলির অনুমতি পেতে কমপক্ষে একজন খেলোয়াড়কে লবিতে থাকতে হবে।</v>
      </c>
    </row>
    <row r="83">
      <c r="A83" s="3">
        <v>82.0</v>
      </c>
      <c r="B83" s="3" t="s">
        <v>1733</v>
      </c>
      <c r="C83" s="3" t="s">
        <v>1734</v>
      </c>
      <c r="D83" s="3" t="s">
        <v>1077</v>
      </c>
      <c r="E83" s="3" t="s">
        <v>1735</v>
      </c>
      <c r="H83" s="4" t="str">
        <f>IFERROR(__xludf.DUMMYFUNCTION("GOOGLETRANSLATE(A83, ""en"", ""bn"")"),"৮২")</f>
        <v>৮২</v>
      </c>
      <c r="I83" s="4" t="str">
        <f>IFERROR(__xludf.DUMMYFUNCTION("GOOGLETRANSLATE(B83, ""en"", ""bn"")"),"একজন আক্রমণকারী কি জপ করার পরিবর্তে তাদের শ্বাস আটকে রাখতে পারে?")</f>
        <v>একজন আক্রমণকারী কি জপ করার পরিবর্তে তাদের শ্বাস আটকে রাখতে পারে?</v>
      </c>
      <c r="J83" s="4" t="str">
        <f>IFERROR(__xludf.DUMMYFUNCTION("GOOGLETRANSLATE(C83, ""en"", ""bn"")"),"ক) হ্যাঁ, খ) না, গ) শুধুমাত্র রেফারির অনুমতিক্রমে, ঘ) শুধুমাত্র একবার")</f>
        <v>ক) হ্যাঁ, খ) না, গ) শুধুমাত্র রেফারির অনুমতিক্রমে, ঘ) শুধুমাত্র একবার</v>
      </c>
      <c r="K83" s="4" t="str">
        <f>IFERROR(__xludf.DUMMYFUNCTION("GOOGLETRANSLATE(D83, ""en"", ""bn"")"),"খ) না")</f>
        <v>খ) না</v>
      </c>
      <c r="L83" s="4" t="str">
        <f>IFERROR(__xludf.DUMMYFUNCTION("GOOGLETRANSLATE(E83, ""en"", ""bn"")"),"অভিযানের সময় জপ করা বাধ্যতামূলক।")</f>
        <v>অভিযানের সময় জপ করা বাধ্যতামূলক।</v>
      </c>
    </row>
    <row r="84">
      <c r="A84" s="3">
        <v>83.0</v>
      </c>
      <c r="B84" s="3" t="s">
        <v>1736</v>
      </c>
      <c r="C84" s="3" t="s">
        <v>1737</v>
      </c>
      <c r="D84" s="3" t="s">
        <v>1738</v>
      </c>
      <c r="E84" s="3" t="s">
        <v>1739</v>
      </c>
      <c r="H84" s="4" t="str">
        <f>IFERROR(__xludf.DUMMYFUNCTION("GOOGLETRANSLATE(A84, ""en"", ""bn"")"),"৮৩")</f>
        <v>৮৩</v>
      </c>
      <c r="I84" s="4" t="str">
        <f>IFERROR(__xludf.DUMMYFUNCTION("GOOGLETRANSLATE(B84, ""en"", ""bn"")"),"যদি ডিফেন্ডাররা ইচ্ছাকৃতভাবে অভিযান বিলম্বিত করে তাহলে কী হবে?")</f>
        <v>যদি ডিফেন্ডাররা ইচ্ছাকৃতভাবে অভিযান বিলম্বিত করে তাহলে কী হবে?</v>
      </c>
      <c r="J84" s="4" t="str">
        <f>IFERROR(__xludf.DUMMYFUNCTION("GOOGLETRANSLATE(C84, ""en"", ""bn"")"),"ক) কোন পেনাল্টি নেই, খ) ডিফেন্ডারদের সতর্ক করা হয়েছে, গ) রেইডাররা পয়েন্ট পেয়েছে, ঘ) রিপ্লে")</f>
        <v>ক) কোন পেনাল্টি নেই, খ) ডিফেন্ডারদের সতর্ক করা হয়েছে, গ) রেইডাররা পয়েন্ট পেয়েছে, ঘ) রিপ্লে</v>
      </c>
      <c r="K84" s="4" t="str">
        <f>IFERROR(__xludf.DUMMYFUNCTION("GOOGLETRANSLATE(D84, ""en"", ""bn"")"),"গ) রেইডাররা পয়েন্ট পায়")</f>
        <v>গ) রেইডাররা পয়েন্ট পায়</v>
      </c>
      <c r="L84" s="4" t="str">
        <f>IFERROR(__xludf.DUMMYFUNCTION("GOOGLETRANSLATE(E84, ""en"", ""bn"")"),"ইচ্ছাকৃতভাবে বিলম্ব করলে অভিযানকারীদের পয়েন্ট দেওয়া হবে।")</f>
        <v>ইচ্ছাকৃতভাবে বিলম্ব করলে অভিযানকারীদের পয়েন্ট দেওয়া হবে।</v>
      </c>
    </row>
    <row r="85">
      <c r="A85" s="3">
        <v>84.0</v>
      </c>
      <c r="B85" s="3" t="s">
        <v>1740</v>
      </c>
      <c r="C85" s="3" t="s">
        <v>23</v>
      </c>
      <c r="D85" s="3" t="s">
        <v>566</v>
      </c>
      <c r="E85" s="3" t="s">
        <v>1741</v>
      </c>
      <c r="H85" s="4" t="str">
        <f>IFERROR(__xludf.DUMMYFUNCTION("GOOGLETRANSLATE(A85, ""en"", ""bn"")"),"৮৪")</f>
        <v>৮৪</v>
      </c>
      <c r="I85" s="4" t="str">
        <f>IFERROR(__xludf.DUMMYFUNCTION("GOOGLETRANSLATE(B85, ""en"", ""bn"")"),"একটি হা-ডু-ডু খেলার জন্য সর্বনিম্ন কত সংখ্যক রেফারি প্রয়োজন?")</f>
        <v>একটি হা-ডু-ডু খেলার জন্য সর্বনিম্ন কত সংখ্যক রেফারি প্রয়োজন?</v>
      </c>
      <c r="J85" s="4" t="str">
        <f>IFERROR(__xludf.DUMMYFUNCTION("GOOGLETRANSLATE(C85, ""en"", ""bn"")"),"ক) ১, খ) ২, গ) ৩, ঘ) ৪")</f>
        <v>ক) ১, খ) ২, গ) ৩, ঘ) ৪</v>
      </c>
      <c r="K85" s="4" t="str">
        <f>IFERROR(__xludf.DUMMYFUNCTION("GOOGLETRANSLATE(D85, ""en"", ""bn"")"),"ক) ১")</f>
        <v>ক) ১</v>
      </c>
      <c r="L85" s="4" t="str">
        <f>IFERROR(__xludf.DUMMYFUNCTION("GOOGLETRANSLATE(E85, ""en"", ""bn"")"),"একটি খেলা পরিচালনা করার জন্য কমপক্ষে একজন রেফারির প্রয়োজন।")</f>
        <v>একটি খেলা পরিচালনা করার জন্য কমপক্ষে একজন রেফারির প্রয়োজন।</v>
      </c>
    </row>
    <row r="86">
      <c r="A86" s="3">
        <v>85.0</v>
      </c>
      <c r="B86" s="3" t="s">
        <v>1742</v>
      </c>
      <c r="C86" s="3" t="s">
        <v>1743</v>
      </c>
      <c r="D86" s="3" t="s">
        <v>1744</v>
      </c>
      <c r="E86" s="3" t="s">
        <v>1745</v>
      </c>
      <c r="H86" s="4" t="str">
        <f>IFERROR(__xludf.DUMMYFUNCTION("GOOGLETRANSLATE(A86, ""en"", ""bn"")"),"৮৫")</f>
        <v>৮৫</v>
      </c>
      <c r="I86" s="4" t="str">
        <f>IFERROR(__xludf.DUMMYFUNCTION("GOOGLETRANSLATE(B86, ""en"", ""bn"")"),"যদি একজন রেইডার একাধিক ডিফেন্ডারকে স্পর্শ করে এবং নিরাপদে ফিরে আসে তাহলে কী হবে?")</f>
        <v>যদি একজন রেইডার একাধিক ডিফেন্ডারকে স্পর্শ করে এবং নিরাপদে ফিরে আসে তাহলে কী হবে?</v>
      </c>
      <c r="J86" s="4" t="str">
        <f>IFERROR(__xludf.DUMMYFUNCTION("GOOGLETRANSLATE(C86, ""en"", ""bn"")"),"ক) ১ পয়েন্ট, খ) ট্যাগ করা খেলোয়াড়দের সমান পয়েন্ট, গ) মাত্র ২ পয়েন্ট, ঘ) কোন পয়েন্ট নেই")</f>
        <v>ক) ১ পয়েন্ট, খ) ট্যাগ করা খেলোয়াড়দের সমান পয়েন্ট, গ) মাত্র ২ পয়েন্ট, ঘ) কোন পয়েন্ট নেই</v>
      </c>
      <c r="K86" s="4" t="str">
        <f>IFERROR(__xludf.DUMMYFUNCTION("GOOGLETRANSLATE(D86, ""en"", ""bn"")"),"খ) ট্যাগ করা খেলোয়াড়দের সমান পয়েন্ট")</f>
        <v>খ) ট্যাগ করা খেলোয়াড়দের সমান পয়েন্ট</v>
      </c>
      <c r="L86" s="4" t="str">
        <f>IFERROR(__xludf.DUMMYFUNCTION("GOOGLETRANSLATE(E86, ""en"", ""bn"")"),"একজন রেইডার ট্যাগ করা ডিফেন্ডারের সংখ্যার উপর ভিত্তি করে স্কোর করে।")</f>
        <v>একজন রেইডার ট্যাগ করা ডিফেন্ডারের সংখ্যার উপর ভিত্তি করে স্কোর করে।</v>
      </c>
    </row>
    <row r="87">
      <c r="A87" s="3">
        <v>86.0</v>
      </c>
      <c r="B87" s="3" t="s">
        <v>1746</v>
      </c>
      <c r="C87" s="3" t="s">
        <v>1747</v>
      </c>
      <c r="D87" s="3" t="s">
        <v>1748</v>
      </c>
      <c r="E87" s="3" t="s">
        <v>1749</v>
      </c>
      <c r="H87" s="4" t="str">
        <f>IFERROR(__xludf.DUMMYFUNCTION("GOOGLETRANSLATE(A87, ""en"", ""bn"")"),"৮৬")</f>
        <v>৮৬</v>
      </c>
      <c r="I87" s="4" t="str">
        <f>IFERROR(__xludf.DUMMYFUNCTION("GOOGLETRANSLATE(B87, ""en"", ""bn"")"),"আক্রমণ শুরু করার জন্য একজন আক্রমণকারীকে কোন লাইন অতিক্রম করতে হবে?")</f>
        <v>আক্রমণ শুরু করার জন্য একজন আক্রমণকারীকে কোন লাইন অতিক্রম করতে হবে?</v>
      </c>
      <c r="J87" s="4" t="str">
        <f>IFERROR(__xludf.DUMMYFUNCTION("GOOGLETRANSLATE(C87, ""en"", ""bn"")"),"ক) মধ্যরেখা, খ) শেষরেখা, গ) কেন্দ্র বৃত্ত, ঘ) সীমানা রেখা")</f>
        <v>ক) মধ্যরেখা, খ) শেষরেখা, গ) কেন্দ্র বৃত্ত, ঘ) সীমানা রেখা</v>
      </c>
      <c r="K87" s="4" t="str">
        <f>IFERROR(__xludf.DUMMYFUNCTION("GOOGLETRANSLATE(D87, ""en"", ""bn"")"),"ক) মধ্যরেখা")</f>
        <v>ক) মধ্যরেখা</v>
      </c>
      <c r="L87" s="4" t="str">
        <f>IFERROR(__xludf.DUMMYFUNCTION("GOOGLETRANSLATE(E87, ""en"", ""bn"")"),"রেইড শুরু করার জন্য রেইডারদের অবশ্যই মিডলাইন অতিক্রম করতে হবে।")</f>
        <v>রেইড শুরু করার জন্য রেইডারদের অবশ্যই মিডলাইন অতিক্রম করতে হবে।</v>
      </c>
    </row>
    <row r="88">
      <c r="A88" s="3">
        <v>87.0</v>
      </c>
      <c r="B88" s="3" t="s">
        <v>1750</v>
      </c>
      <c r="C88" s="3" t="s">
        <v>1751</v>
      </c>
      <c r="D88" s="3" t="s">
        <v>1752</v>
      </c>
      <c r="E88" s="3" t="s">
        <v>1753</v>
      </c>
      <c r="H88" s="4" t="str">
        <f>IFERROR(__xludf.DUMMYFUNCTION("GOOGLETRANSLATE(A88, ""en"", ""bn"")"),"৮৭")</f>
        <v>৮৭</v>
      </c>
      <c r="I88" s="4" t="str">
        <f>IFERROR(__xludf.DUMMYFUNCTION("GOOGLETRANSLATE(B88, ""en"", ""bn"")"),"যদি কোন রেইডার মিডলাইন অতিক্রম না করে তাহলে কী হবে?")</f>
        <v>যদি কোন রেইডার মিডলাইন অতিক্রম না করে তাহলে কী হবে?</v>
      </c>
      <c r="J88" s="4" t="str">
        <f>IFERROR(__xludf.DUMMYFUNCTION("GOOGLETRANSLATE(C88, ""en"", ""bn"")"),"ক) কোন পেনাল্টি নেই, খ) রিপ্লে, গ) রেইডার আউট, ঘ) সতর্কীকরণ")</f>
        <v>ক) কোন পেনাল্টি নেই, খ) রিপ্লে, গ) রেইডার আউট, ঘ) সতর্কীকরণ</v>
      </c>
      <c r="K88" s="4" t="str">
        <f>IFERROR(__xludf.DUMMYFUNCTION("GOOGLETRANSLATE(D88, ""en"", ""bn"")"),"গ) রেইডার আউট")</f>
        <v>গ) রেইডার আউট</v>
      </c>
      <c r="L88" s="4" t="str">
        <f>IFERROR(__xludf.DUMMYFUNCTION("GOOGLETRANSLATE(E88, ""en"", ""bn"")"),"রেইডার যদি মধ্যরেখা অতিক্রম না করে, তাহলে একটি রেইড অবৈধ।")</f>
        <v>রেইডার যদি মধ্যরেখা অতিক্রম না করে, তাহলে একটি রেইড অবৈধ।</v>
      </c>
    </row>
    <row r="89">
      <c r="A89" s="3">
        <v>88.0</v>
      </c>
      <c r="B89" s="3" t="s">
        <v>1754</v>
      </c>
      <c r="C89" s="3" t="s">
        <v>1755</v>
      </c>
      <c r="D89" s="3" t="s">
        <v>1756</v>
      </c>
      <c r="E89" s="3" t="s">
        <v>1757</v>
      </c>
      <c r="H89" s="4" t="str">
        <f>IFERROR(__xludf.DUMMYFUNCTION("GOOGLETRANSLATE(A89, ""en"", ""bn"")"),"৮৮")</f>
        <v>৮৮</v>
      </c>
      <c r="I89" s="4" t="str">
        <f>IFERROR(__xludf.DUMMYFUNCTION("GOOGLETRANSLATE(B89, ""en"", ""bn"")"),"হা-ডু-ডু স্কোয়াডে বদলি খেলোয়াড়সহ সর্বোচ্চ কতজন খেলোয়াড় থাকতে পারে?")</f>
        <v>হা-ডু-ডু স্কোয়াডে বদলি খেলোয়াড়সহ সর্বোচ্চ কতজন খেলোয়াড় থাকতে পারে?</v>
      </c>
      <c r="J89" s="4" t="str">
        <f>IFERROR(__xludf.DUMMYFUNCTION("GOOGLETRANSLATE(C89, ""en"", ""bn"")"),"ক) ৯, খ) ১০, গ) ১১, ঘ) ১২")</f>
        <v>ক) ৯, খ) ১০, গ) ১১, ঘ) ১২</v>
      </c>
      <c r="K89" s="4" t="str">
        <f>IFERROR(__xludf.DUMMYFUNCTION("GOOGLETRANSLATE(D89, ""en"", ""bn"")"),"ঘ) ১২")</f>
        <v>ঘ) ১২</v>
      </c>
      <c r="L89" s="4" t="str">
        <f>IFERROR(__xludf.DUMMYFUNCTION("GOOGLETRANSLATE(E89, ""en"", ""bn"")"),"একটি দলে বদলি খেলোয়াড়সহ সর্বোচ্চ ১২ জন খেলোয়াড় থাকতে পারে।")</f>
        <v>একটি দলে বদলি খেলোয়াড়সহ সর্বোচ্চ ১২ জন খেলোয়াড় থাকতে পারে।</v>
      </c>
    </row>
    <row r="90">
      <c r="A90" s="3">
        <v>89.0</v>
      </c>
      <c r="B90" s="3" t="s">
        <v>1758</v>
      </c>
      <c r="C90" s="3" t="s">
        <v>1759</v>
      </c>
      <c r="D90" s="3" t="s">
        <v>1752</v>
      </c>
      <c r="E90" s="3" t="s">
        <v>1760</v>
      </c>
      <c r="H90" s="4" t="str">
        <f>IFERROR(__xludf.DUMMYFUNCTION("GOOGLETRANSLATE(A90, ""en"", ""bn"")"),"৮৯")</f>
        <v>৮৯</v>
      </c>
      <c r="I90" s="4" t="str">
        <f>IFERROR(__xludf.DUMMYFUNCTION("GOOGLETRANSLATE(B90, ""en"", ""bn"")"),"যদি কোন রেইডার মিডলাইন স্পর্শ করে কিন্তু ফিরে আসার আগেই ধরা পড়ে যায় তাহলে কী হবে?")</f>
        <v>যদি কোন রেইডার মিডলাইন স্পর্শ করে কিন্তু ফিরে আসার আগেই ধরা পড়ে যায় তাহলে কী হবে?</v>
      </c>
      <c r="J90" s="4" t="str">
        <f>IFERROR(__xludf.DUMMYFUNCTION("GOOGLETRANSLATE(C90, ""en"", ""bn"")"),"ক) রেইডার স্কোর, খ) ডিফেন্ডারদের শাস্তি, গ) রেইডার আউট, ঘ) রিপ্লে")</f>
        <v>ক) রেইডার স্কোর, খ) ডিফেন্ডারদের শাস্তি, গ) রেইডার আউট, ঘ) রিপ্লে</v>
      </c>
      <c r="K90" s="4" t="str">
        <f>IFERROR(__xludf.DUMMYFUNCTION("GOOGLETRANSLATE(D90, ""en"", ""bn"")"),"গ) রেইডার আউট")</f>
        <v>গ) রেইডার আউট</v>
      </c>
      <c r="L90" s="4" t="str">
        <f>IFERROR(__xludf.DUMMYFUNCTION("GOOGLETRANSLATE(E90, ""en"", ""bn"")"),"একজন রেইডারকে পয়েন্ট অর্জনের জন্য পুরোপুরি ফিরে আসতে হবে।")</f>
        <v>একজন রেইডারকে পয়েন্ট অর্জনের জন্য পুরোপুরি ফিরে আসতে হবে।</v>
      </c>
    </row>
    <row r="91">
      <c r="A91" s="3">
        <v>90.0</v>
      </c>
      <c r="B91" s="3" t="s">
        <v>1761</v>
      </c>
      <c r="C91" s="3" t="s">
        <v>1762</v>
      </c>
      <c r="D91" s="3" t="s">
        <v>1763</v>
      </c>
      <c r="E91" s="3" t="s">
        <v>1764</v>
      </c>
      <c r="H91" s="4" t="str">
        <f>IFERROR(__xludf.DUMMYFUNCTION("GOOGLETRANSLATE(A91, ""en"", ""bn"")"),"৯০")</f>
        <v>৯০</v>
      </c>
      <c r="I91" s="4" t="str">
        <f>IFERROR(__xludf.DUMMYFUNCTION("GOOGLETRANSLATE(B91, ""en"", ""bn"")"),"ডিফেন্ডাররা রাইডারের চুল টেনে ধরার শাস্তি কী?")</f>
        <v>ডিফেন্ডাররা রাইডারের চুল টেনে ধরার শাস্তি কী?</v>
      </c>
      <c r="J91" s="4" t="str">
        <f>IFERROR(__xludf.DUMMYFUNCTION("GOOGLETRANSLATE(C91, ""en"", ""bn"")"),"ক) সতর্কীকরণ, খ) ফ্রি রেইড, গ) রেইডার পয়েন্ট, ঘ) ডিফেন্ডার আউট")</f>
        <v>ক) সতর্কীকরণ, খ) ফ্রি রেইড, গ) রেইডার পয়েন্ট, ঘ) ডিফেন্ডার আউট</v>
      </c>
      <c r="K91" s="4" t="str">
        <f>IFERROR(__xludf.DUMMYFUNCTION("GOOGLETRANSLATE(D91, ""en"", ""bn"")"),"ঘ) ডিফেন্ডার আউট")</f>
        <v>ঘ) ডিফেন্ডার আউট</v>
      </c>
      <c r="L91" s="4" t="str">
        <f>IFERROR(__xludf.DUMMYFUNCTION("GOOGLETRANSLATE(E91, ""en"", ""bn"")"),"চুল টানাটানি একটি ফাউল যা ডিফেন্ডারকে বাদ দেয়।")</f>
        <v>চুল টানাটানি একটি ফাউল যা ডিফেন্ডারকে বাদ দেয়।</v>
      </c>
    </row>
    <row r="92">
      <c r="A92" s="3">
        <v>91.0</v>
      </c>
      <c r="B92" s="3" t="s">
        <v>1765</v>
      </c>
      <c r="C92" s="3" t="s">
        <v>733</v>
      </c>
      <c r="D92" s="3" t="s">
        <v>566</v>
      </c>
      <c r="E92" s="3" t="s">
        <v>1766</v>
      </c>
      <c r="H92" s="4" t="str">
        <f>IFERROR(__xludf.DUMMYFUNCTION("GOOGLETRANSLATE(A92, ""en"", ""bn"")"),"৯১")</f>
        <v>৯১</v>
      </c>
      <c r="I92" s="4" t="str">
        <f>IFERROR(__xludf.DUMMYFUNCTION("GOOGLETRANSLATE(B92, ""en"", ""bn"")"),"একজন রেইডার একটি রেইডে কত বোনাস পয়েন্ট অর্জন করতে পারে?")</f>
        <v>একজন রেইডার একটি রেইডে কত বোনাস পয়েন্ট অর্জন করতে পারে?</v>
      </c>
      <c r="J92" s="4" t="str">
        <f>IFERROR(__xludf.DUMMYFUNCTION("GOOGLETRANSLATE(C92, ""en"", ""bn"")"),"ক) ১, খ) ২, গ) ৩, ঘ) সীমাহীন")</f>
        <v>ক) ১, খ) ২, গ) ৩, ঘ) সীমাহীন</v>
      </c>
      <c r="K92" s="4" t="str">
        <f>IFERROR(__xludf.DUMMYFUNCTION("GOOGLETRANSLATE(D92, ""en"", ""bn"")"),"ক) ১")</f>
        <v>ক) ১</v>
      </c>
      <c r="L92" s="4" t="str">
        <f>IFERROR(__xludf.DUMMYFUNCTION("GOOGLETRANSLATE(E92, ""en"", ""bn"")"),"একজন রেইডার একটি রেইডে শুধুমাত্র একটি বোনাস পয়েন্ট অর্জন করতে পারে।")</f>
        <v>একজন রেইডার একটি রেইডে শুধুমাত্র একটি বোনাস পয়েন্ট অর্জন করতে পারে।</v>
      </c>
    </row>
    <row r="93">
      <c r="A93" s="3">
        <v>92.0</v>
      </c>
      <c r="B93" s="3" t="s">
        <v>1767</v>
      </c>
      <c r="C93" s="3" t="s">
        <v>1768</v>
      </c>
      <c r="D93" s="3" t="s">
        <v>1769</v>
      </c>
      <c r="E93" s="3" t="s">
        <v>1770</v>
      </c>
      <c r="H93" s="4" t="str">
        <f>IFERROR(__xludf.DUMMYFUNCTION("GOOGLETRANSLATE(A93, ""en"", ""bn"")"),"৯২")</f>
        <v>৯২</v>
      </c>
      <c r="I93" s="4" t="str">
        <f>IFERROR(__xludf.DUMMYFUNCTION("GOOGLETRANSLATE(B93, ""en"", ""bn"")"),"অভিযানের সময় যদি ডাকাত আহত হয় তাহলে কী হবে?")</f>
        <v>অভিযানের সময় যদি ডাকাত আহত হয় তাহলে কী হবে?</v>
      </c>
      <c r="J93" s="4" t="str">
        <f>IFERROR(__xludf.DUMMYFUNCTION("GOOGLETRANSLATE(C93, ""en"", ""bn"")"),"ক) প্রতিস্থাপন অনুমোদিত, খ) রিপ্লে, গ) ডিফেন্ডারকে পয়েন্ট, ঘ) কোন ফলাফল নেই")</f>
        <v>ক) প্রতিস্থাপন অনুমোদিত, খ) রিপ্লে, গ) ডিফেন্ডারকে পয়েন্ট, ঘ) কোন ফলাফল নেই</v>
      </c>
      <c r="K93" s="4" t="str">
        <f>IFERROR(__xludf.DUMMYFUNCTION("GOOGLETRANSLATE(D93, ""en"", ""bn"")"),"ক) প্রতিস্থাপন অনুমোদিত")</f>
        <v>ক) প্রতিস্থাপন অনুমোদিত</v>
      </c>
      <c r="L93" s="4" t="str">
        <f>IFERROR(__xludf.DUMMYFUNCTION("GOOGLETRANSLATE(E93, ""en"", ""bn"")"),"আহত হলে, একজন রেইডারকে বদলি হিসেবে খেলানো যেতে পারে।")</f>
        <v>আহত হলে, একজন রেইডারকে বদলি হিসেবে খেলানো যেতে পারে।</v>
      </c>
    </row>
    <row r="94">
      <c r="A94" s="3">
        <v>93.0</v>
      </c>
      <c r="B94" s="3" t="s">
        <v>1771</v>
      </c>
      <c r="C94" s="3" t="s">
        <v>1772</v>
      </c>
      <c r="D94" s="3" t="s">
        <v>1077</v>
      </c>
      <c r="E94" s="3" t="s">
        <v>1773</v>
      </c>
      <c r="H94" s="4" t="str">
        <f>IFERROR(__xludf.DUMMYFUNCTION("GOOGLETRANSLATE(A94, ""en"", ""bn"")"),"৯৩")</f>
        <v>৯৩</v>
      </c>
      <c r="I94" s="4" t="str">
        <f>IFERROR(__xludf.DUMMYFUNCTION("GOOGLETRANSLATE(B94, ""en"", ""bn"")"),"একজন ডিফেন্ডার কি একজন রেইডারকে ট্যাগ করার জন্য কোর্টের বাইরে পা রাখতে পারেন?")</f>
        <v>একজন ডিফেন্ডার কি একজন রেইডারকে ট্যাগ করার জন্য কোর্টের বাইরে পা রাখতে পারেন?</v>
      </c>
      <c r="J94" s="4" t="str">
        <f>IFERROR(__xludf.DUMMYFUNCTION("GOOGLETRANSLATE(C94, ""en"", ""bn"")"),"ক) হ্যাঁ, খ) না, গ) শুধুমাত্র রেফারির অনুমতিক্রমে, ঘ) শুধুমাত্র বোনাস লাইনে")</f>
        <v>ক) হ্যাঁ, খ) না, গ) শুধুমাত্র রেফারির অনুমতিক্রমে, ঘ) শুধুমাত্র বোনাস লাইনে</v>
      </c>
      <c r="K94" s="4" t="str">
        <f>IFERROR(__xludf.DUMMYFUNCTION("GOOGLETRANSLATE(D94, ""en"", ""bn"")"),"খ) না")</f>
        <v>খ) না</v>
      </c>
      <c r="L94" s="4" t="str">
        <f>IFERROR(__xludf.DUMMYFUNCTION("GOOGLETRANSLATE(E94, ""en"", ""bn"")"),"ডিফেন্ডাররা ট্যাগ করার জন্য সীমানার বাইরে যেতে পারবেন না।")</f>
        <v>ডিফেন্ডাররা ট্যাগ করার জন্য সীমানার বাইরে যেতে পারবেন না।</v>
      </c>
    </row>
    <row r="95">
      <c r="A95" s="3">
        <v>94.0</v>
      </c>
      <c r="B95" s="3" t="s">
        <v>1774</v>
      </c>
      <c r="C95" s="3" t="s">
        <v>1775</v>
      </c>
      <c r="D95" s="3" t="s">
        <v>1776</v>
      </c>
      <c r="E95" s="3" t="s">
        <v>1777</v>
      </c>
      <c r="H95" s="4" t="str">
        <f>IFERROR(__xludf.DUMMYFUNCTION("GOOGLETRANSLATE(A95, ""en"", ""bn"")"),"৯৪")</f>
        <v>৯৪</v>
      </c>
      <c r="I95" s="4" t="str">
        <f>IFERROR(__xludf.DUMMYFUNCTION("GOOGLETRANSLATE(B95, ""en"", ""bn"")"),"যদি রেইডার এবং ডিফেন্ডার উভয়েই একসাথে সীমানার বাইরে চলে যায় তাহলে কী হবে?")</f>
        <v>যদি রেইডার এবং ডিফেন্ডার উভয়েই একসাথে সীমানার বাইরে চলে যায় তাহলে কী হবে?</v>
      </c>
      <c r="J95" s="4" t="str">
        <f>IFERROR(__xludf.DUMMYFUNCTION("GOOGLETRANSLATE(C95, ""en"", ""bn"")"),"ক) উভয়ই আউট, খ) উভয়ই নিরাপদ, গ) রিপ্লে, ঘ) রেইডার পয়েন্ট")</f>
        <v>ক) উভয়ই আউট, খ) উভয়ই নিরাপদ, গ) রিপ্লে, ঘ) রেইডার পয়েন্ট</v>
      </c>
      <c r="K95" s="4" t="str">
        <f>IFERROR(__xludf.DUMMYFUNCTION("GOOGLETRANSLATE(D95, ""en"", ""bn"")"),"ক) উভয়ই বাইরে")</f>
        <v>ক) উভয়ই বাইরে</v>
      </c>
      <c r="L95" s="4" t="str">
        <f>IFERROR(__xludf.DUMMYFUNCTION("GOOGLETRANSLATE(E95, ""en"", ""bn"")"),"উভয় খেলোয়াড় একসাথে চলে গেলে তাদের আউট ঘোষণা করা হয়।")</f>
        <v>উভয় খেলোয়াড় একসাথে চলে গেলে তাদের আউট ঘোষণা করা হয়।</v>
      </c>
    </row>
    <row r="96">
      <c r="A96" s="3">
        <v>95.0</v>
      </c>
      <c r="B96" s="3" t="s">
        <v>1778</v>
      </c>
      <c r="C96" s="3" t="s">
        <v>733</v>
      </c>
      <c r="D96" s="3" t="s">
        <v>24</v>
      </c>
      <c r="E96" s="3" t="s">
        <v>1779</v>
      </c>
      <c r="H96" s="4" t="str">
        <f>IFERROR(__xludf.DUMMYFUNCTION("GOOGLETRANSLATE(A96, ""en"", ""bn"")"),"৯৫")</f>
        <v>৯৫</v>
      </c>
      <c r="I96" s="4" t="str">
        <f>IFERROR(__xludf.DUMMYFUNCTION("GOOGLETRANSLATE(B96, ""en"", ""bn"")"),"একজন খেলোয়াড় পরপর সর্বোচ্চ কত সংখ্যক রেইড করতে পারে?")</f>
        <v>একজন খেলোয়াড় পরপর সর্বোচ্চ কত সংখ্যক রেইড করতে পারে?</v>
      </c>
      <c r="J96" s="4" t="str">
        <f>IFERROR(__xludf.DUMMYFUNCTION("GOOGLETRANSLATE(C96, ""en"", ""bn"")"),"ক) ১, খ) ২, গ) ৩, ঘ) সীমাহীন")</f>
        <v>ক) ১, খ) ২, গ) ৩, ঘ) সীমাহীন</v>
      </c>
      <c r="K96" s="4" t="str">
        <f>IFERROR(__xludf.DUMMYFUNCTION("GOOGLETRANSLATE(D96, ""en"", ""bn"")"),"খ) ২")</f>
        <v>খ) ২</v>
      </c>
      <c r="L96" s="4" t="str">
        <f>IFERROR(__xludf.DUMMYFUNCTION("GOOGLETRANSLATE(E96, ""en"", ""bn"")"),"কোন খেলোয়াড় পরপর দুইবারের বেশি রেইড করতে পারবে না।")</f>
        <v>কোন খেলোয়াড় পরপর দুইবারের বেশি রেইড করতে পারবে না।</v>
      </c>
    </row>
    <row r="97">
      <c r="A97" s="3">
        <v>96.0</v>
      </c>
      <c r="B97" s="3" t="s">
        <v>1780</v>
      </c>
      <c r="C97" s="3" t="s">
        <v>1781</v>
      </c>
      <c r="D97" s="3" t="s">
        <v>238</v>
      </c>
      <c r="E97" s="3" t="s">
        <v>1782</v>
      </c>
      <c r="H97" s="4" t="str">
        <f>IFERROR(__xludf.DUMMYFUNCTION("GOOGLETRANSLATE(A97, ""en"", ""bn"")"),"৯৬")</f>
        <v>৯৬</v>
      </c>
      <c r="I97" s="4" t="str">
        <f>IFERROR(__xludf.DUMMYFUNCTION("GOOGLETRANSLATE(B97, ""en"", ""bn"")"),"সহকারী রেফারির ভূমিকা কী?")</f>
        <v>সহকারী রেফারির ভূমিকা কী?</v>
      </c>
      <c r="J97" s="4" t="str">
        <f>IFERROR(__xludf.DUMMYFUNCTION("GOOGLETRANSLATE(C97, ""en"", ""bn"")"),"ক) স্কোরকিপিং, খ) টাইমকিপিং, গ) সাইডলাইন পর্যবেক্ষণ, ঘ) উপরের সবগুলো")</f>
        <v>ক) স্কোরকিপিং, খ) টাইমকিপিং, গ) সাইডলাইন পর্যবেক্ষণ, ঘ) উপরের সবগুলো</v>
      </c>
      <c r="K97" s="4" t="str">
        <f>IFERROR(__xludf.DUMMYFUNCTION("GOOGLETRANSLATE(D97, ""en"", ""bn"")"),"ঘ) উপরের সবগুলো")</f>
        <v>ঘ) উপরের সবগুলো</v>
      </c>
      <c r="L97" s="4" t="str">
        <f>IFERROR(__xludf.DUMMYFUNCTION("GOOGLETRANSLATE(E97, ""en"", ""bn"")"),"সহকারী রেফারিরা স্কোরিং, সময় এবং সাইডলাইন নিয়ম পরিচালনা করেন।")</f>
        <v>সহকারী রেফারিরা স্কোরিং, সময় এবং সাইডলাইন নিয়ম পরিচালনা করেন।</v>
      </c>
    </row>
    <row r="98">
      <c r="A98" s="3">
        <v>97.0</v>
      </c>
      <c r="B98" s="3" t="s">
        <v>1783</v>
      </c>
      <c r="C98" s="3" t="s">
        <v>1784</v>
      </c>
      <c r="D98" s="3" t="s">
        <v>1785</v>
      </c>
      <c r="E98" s="3" t="s">
        <v>1786</v>
      </c>
      <c r="H98" s="4" t="str">
        <f>IFERROR(__xludf.DUMMYFUNCTION("GOOGLETRANSLATE(A98, ""en"", ""bn"")"),"৯৭")</f>
        <v>৯৭</v>
      </c>
      <c r="I98" s="4" t="str">
        <f>IFERROR(__xludf.DUMMYFUNCTION("GOOGLETRANSLATE(B98, ""en"", ""bn"")"),"একজন আক্রমণকারীর মিথ্যা শুরুর শাস্তি কী?")</f>
        <v>একজন আক্রমণকারীর মিথ্যা শুরুর শাস্তি কী?</v>
      </c>
      <c r="J98" s="4" t="str">
        <f>IFERROR(__xludf.DUMMYFUNCTION("GOOGLETRANSLATE(C98, ""en"", ""bn"")"),"ক) সতর্কীকরণ, খ) রিপ্লে, গ) রেইডার আউট, ঘ) ডিফেন্ডারকে নির্দেশ করুন")</f>
        <v>ক) সতর্কীকরণ, খ) রিপ্লে, গ) রেইডার আউট, ঘ) ডিফেন্ডারকে নির্দেশ করুন</v>
      </c>
      <c r="K98" s="4" t="str">
        <f>IFERROR(__xludf.DUMMYFUNCTION("GOOGLETRANSLATE(D98, ""en"", ""bn"")"),"খ) রিপ্লে")</f>
        <v>খ) রিপ্লে</v>
      </c>
      <c r="L98" s="4" t="str">
        <f>IFERROR(__xludf.DUMMYFUNCTION("GOOGLETRANSLATE(E98, ""en"", ""bn"")"),"ভুল শুরু হলে রেইড রিপ্লে শুরু হবে।")</f>
        <v>ভুল শুরু হলে রেইড রিপ্লে শুরু হবে।</v>
      </c>
    </row>
    <row r="99">
      <c r="A99" s="3">
        <v>98.0</v>
      </c>
      <c r="B99" s="3" t="s">
        <v>1787</v>
      </c>
      <c r="C99" s="3" t="s">
        <v>1788</v>
      </c>
      <c r="D99" s="3" t="s">
        <v>1789</v>
      </c>
      <c r="E99" s="3" t="s">
        <v>1790</v>
      </c>
      <c r="H99" s="4" t="str">
        <f>IFERROR(__xludf.DUMMYFUNCTION("GOOGLETRANSLATE(A99, ""en"", ""bn"")"),"৯৮")</f>
        <v>৯৮</v>
      </c>
      <c r="I99" s="4" t="str">
        <f>IFERROR(__xludf.DUMMYFUNCTION("GOOGLETRANSLATE(B99, ""en"", ""bn"")"),"যদি একজন রেইডার একজন ডিফেন্ডারের পোশাক ধরে রাখে তাহলে কী হবে?")</f>
        <v>যদি একজন রেইডার একজন ডিফেন্ডারের পোশাক ধরে রাখে তাহলে কী হবে?</v>
      </c>
      <c r="J99" s="4" t="str">
        <f>IFERROR(__xludf.DUMMYFUNCTION("GOOGLETRANSLATE(C99, ""en"", ""bn"")"),"ক) রাইডার পয়েন্ট পেয়েছে, খ) ডিফেন্ডার আউট হয়েছে, গ) রাইডারকে শাস্তি দেওয়া হয়েছে, ঘ) রিপ্লে")</f>
        <v>ক) রাইডার পয়েন্ট পেয়েছে, খ) ডিফেন্ডার আউট হয়েছে, গ) রাইডারকে শাস্তি দেওয়া হয়েছে, ঘ) রিপ্লে</v>
      </c>
      <c r="K99" s="4" t="str">
        <f>IFERROR(__xludf.DUMMYFUNCTION("GOOGLETRANSLATE(D99, ""en"", ""bn"")"),"গ) রাইডারকে শাস্তি দেওয়া হয়েছে")</f>
        <v>গ) রাইডারকে শাস্তি দেওয়া হয়েছে</v>
      </c>
      <c r="L99" s="4" t="str">
        <f>IFERROR(__xludf.DUMMYFUNCTION("GOOGLETRANSLATE(E99, ""en"", ""bn"")"),"পোশাক ধরা বেআইনি, ডাকাতকে শাস্তি দেওয়া হবে।")</f>
        <v>পোশাক ধরা বেআইনি, ডাকাতকে শাস্তি দেওয়া হবে।</v>
      </c>
    </row>
    <row r="100">
      <c r="A100" s="3">
        <v>99.0</v>
      </c>
      <c r="B100" s="3" t="s">
        <v>1791</v>
      </c>
      <c r="C100" s="3" t="s">
        <v>1792</v>
      </c>
      <c r="D100" s="3" t="s">
        <v>1793</v>
      </c>
      <c r="E100" s="3" t="s">
        <v>1794</v>
      </c>
      <c r="H100" s="4" t="str">
        <f>IFERROR(__xludf.DUMMYFUNCTION("GOOGLETRANSLATE(A100, ""en"", ""bn"")"),"৯৯")</f>
        <v>৯৯</v>
      </c>
      <c r="I100" s="4" t="str">
        <f>IFERROR(__xludf.DUMMYFUNCTION("GOOGLETRANSLATE(B100, ""en"", ""bn"")"),"যখন ডিফেন্ডিং টিম একজন রেইডারকে ফিরে আসতে বাধা দেয় তখন কী হয়?")</f>
        <v>যখন ডিফেন্ডিং টিম একজন রেইডারকে ফিরে আসতে বাধা দেয় তখন কী হয়?</v>
      </c>
      <c r="J100" s="4" t="str">
        <f>IFERROR(__xludf.DUMMYFUNCTION("GOOGLETRANSLATE(C100, ""en"", ""bn"")"),"ক) ডিফেন্ডারদের স্কোর, খ) রেইডার সেফ, গ) রিপ্লে, ঘ) ফ্রি রেইড")</f>
        <v>ক) ডিফেন্ডারদের স্কোর, খ) রেইডার সেফ, গ) রিপ্লে, ঘ) ফ্রি রেইড</v>
      </c>
      <c r="K100" s="4" t="str">
        <f>IFERROR(__xludf.DUMMYFUNCTION("GOOGLETRANSLATE(D100, ""en"", ""bn"")"),"ক) ডিফেন্ডারদের স্কোর")</f>
        <v>ক) ডিফেন্ডারদের স্কোর</v>
      </c>
      <c r="L100" s="4" t="str">
        <f>IFERROR(__xludf.DUMMYFUNCTION("GOOGLETRANSLATE(E100, ""en"", ""bn"")"),"যদি রেইডার আটকে থাকে এবং ফিরে আসতে না পারে, তাহলে ডিফেন্ডাররা পয়েন্ট অর্জন করে।")</f>
        <v>যদি রেইডার আটকে থাকে এবং ফিরে আসতে না পারে, তাহলে ডিফেন্ডাররা পয়েন্ট অর্জন করে।</v>
      </c>
    </row>
    <row r="101">
      <c r="A101" s="3">
        <v>100.0</v>
      </c>
      <c r="B101" s="3" t="s">
        <v>1795</v>
      </c>
      <c r="C101" s="3" t="s">
        <v>1796</v>
      </c>
      <c r="D101" s="3" t="s">
        <v>1691</v>
      </c>
      <c r="E101" s="3" t="s">
        <v>1797</v>
      </c>
      <c r="H101" s="4" t="str">
        <f>IFERROR(__xludf.DUMMYFUNCTION("GOOGLETRANSLATE(A101, ""en"", ""bn"")"),"১০০")</f>
        <v>১০০</v>
      </c>
      <c r="I101" s="4" t="str">
        <f>IFERROR(__xludf.DUMMYFUNCTION("GOOGLETRANSLATE(B101, ""en"", ""bn"")"),"রাইডারের দুই হাত ব্যবহার করে শ্বাসরোধ করলে ডিফেন্ডারদের শাস্তি কী?")</f>
        <v>রাইডারের দুই হাত ব্যবহার করে শ্বাসরোধ করলে ডিফেন্ডারদের শাস্তি কী?</v>
      </c>
      <c r="J101" s="4" t="str">
        <f>IFERROR(__xludf.DUMMYFUNCTION("GOOGLETRANSLATE(C101, ""en"", ""bn"")"),"ক) কোন পেনাল্টি নেই, খ) সতর্কীকরণ, গ) ডিফেন্ডার আউট, ঘ) রাইডার বাদ পড়েছে")</f>
        <v>ক) কোন পেনাল্টি নেই, খ) সতর্কীকরণ, গ) ডিফেন্ডার আউট, ঘ) রাইডার বাদ পড়েছে</v>
      </c>
      <c r="K101" s="4" t="str">
        <f>IFERROR(__xludf.DUMMYFUNCTION("GOOGLETRANSLATE(D101, ""en"", ""bn"")"),"গ) ডিফেন্ডার আউট")</f>
        <v>গ) ডিফেন্ডার আউট</v>
      </c>
      <c r="L101" s="4" t="str">
        <f>IFERROR(__xludf.DUMMYFUNCTION("GOOGLETRANSLATE(E101, ""en"", ""bn"")"),"শ্বাসরোধ একটি ফাউল যা ডিফেন্ডারকে বাদ দেয়।")</f>
        <v>শ্বাসরোধ একটি ফাউল যা ডিফেন্ডারকে বাদ দেয়।</v>
      </c>
    </row>
    <row r="102">
      <c r="A102" s="3">
        <v>101.0</v>
      </c>
      <c r="B102" s="3" t="s">
        <v>1798</v>
      </c>
      <c r="C102" s="3" t="s">
        <v>1799</v>
      </c>
      <c r="D102" s="3" t="s">
        <v>1800</v>
      </c>
      <c r="E102" s="3" t="s">
        <v>1801</v>
      </c>
      <c r="H102" s="4" t="str">
        <f>IFERROR(__xludf.DUMMYFUNCTION("GOOGLETRANSLATE(A102, ""en"", ""bn"")"),"১০১")</f>
        <v>১০১</v>
      </c>
      <c r="I102" s="4" t="str">
        <f>IFERROR(__xludf.DUMMYFUNCTION("GOOGLETRANSLATE(B102, ""en"", ""bn"")"),"হা-ডু-ডু প্রতিরক্ষায় কোন ধরণের শারীরিক যোগাযোগ অনুমোদিত?")</f>
        <v>হা-ডু-ডু প্রতিরক্ষায় কোন ধরণের শারীরিক যোগাযোগ অনুমোদিত?</v>
      </c>
      <c r="J102" s="4" t="str">
        <f>IFERROR(__xludf.DUMMYFUNCTION("GOOGLETRANSLATE(C102, ""en"", ""bn"")"),"ক) কাঁধের ব্লক, খ) পা ঝাড়ু, গ) চুল টানা, ঘ) ঘুষি")</f>
        <v>ক) কাঁধের ব্লক, খ) পা ঝাড়ু, গ) চুল টানা, ঘ) ঘুষি</v>
      </c>
      <c r="K102" s="4" t="str">
        <f>IFERROR(__xludf.DUMMYFUNCTION("GOOGLETRANSLATE(D102, ""en"", ""bn"")"),"ক) কাঁধের ব্লক")</f>
        <v>ক) কাঁধের ব্লক</v>
      </c>
      <c r="L102" s="4" t="str">
        <f>IFERROR(__xludf.DUMMYFUNCTION("GOOGLETRANSLATE(E102, ""en"", ""bn"")"),"আইনী বডি ব্লকের মধ্যে রয়েছে কাঁধের ব্লক, হিংসাত্মক পদক্ষেপ নয়।")</f>
        <v>আইনী বডি ব্লকের মধ্যে রয়েছে কাঁধের ব্লক, হিংসাত্মক পদক্ষেপ নয়।</v>
      </c>
    </row>
    <row r="103">
      <c r="A103" s="3">
        <v>102.0</v>
      </c>
      <c r="B103" s="3" t="s">
        <v>1802</v>
      </c>
      <c r="C103" s="3" t="s">
        <v>1803</v>
      </c>
      <c r="D103" s="3" t="s">
        <v>1695</v>
      </c>
      <c r="E103" s="3" t="s">
        <v>1804</v>
      </c>
      <c r="H103" s="4" t="str">
        <f>IFERROR(__xludf.DUMMYFUNCTION("GOOGLETRANSLATE(A103, ""en"", ""bn"")"),"১০২")</f>
        <v>১০২</v>
      </c>
      <c r="I103" s="4" t="str">
        <f>IFERROR(__xludf.DUMMYFUNCTION("GOOGLETRANSLATE(B103, ""en"", ""bn"")"),"যদি রাইডার ভুলভাবে জপ করে তাহলে কী হবে?")</f>
        <v>যদি রাইডার ভুলভাবে জপ করে তাহলে কী হবে?</v>
      </c>
      <c r="J103" s="4" t="str">
        <f>IFERROR(__xludf.DUMMYFUNCTION("GOOGLETRANSLATE(C103, ""en"", ""bn"")"),"ক) সতর্কীকরণ, খ) রেইডার আউট, গ) রিপ্লে, ঘ) কোন পেনাল্টি নেই")</f>
        <v>ক) সতর্কীকরণ, খ) রেইডার আউট, গ) রিপ্লে, ঘ) কোন পেনাল্টি নেই</v>
      </c>
      <c r="K103" s="4" t="str">
        <f>IFERROR(__xludf.DUMMYFUNCTION("GOOGLETRANSLATE(D103, ""en"", ""bn"")"),"খ) রেইডার আউট")</f>
        <v>খ) রেইডার আউট</v>
      </c>
      <c r="L103" s="4" t="str">
        <f>IFERROR(__xludf.DUMMYFUNCTION("GOOGLETRANSLATE(E103, ""en"", ""bn"")"),"ভুল বা অসম্পূর্ণ মন্ত্র বাদ দেওয়ার দিকে পরিচালিত করে।")</f>
        <v>ভুল বা অসম্পূর্ণ মন্ত্র বাদ দেওয়ার দিকে পরিচালিত করে।</v>
      </c>
    </row>
    <row r="104">
      <c r="A104" s="3">
        <v>103.0</v>
      </c>
      <c r="B104" s="3" t="s">
        <v>1805</v>
      </c>
      <c r="C104" s="3" t="s">
        <v>1806</v>
      </c>
      <c r="D104" s="3" t="s">
        <v>1807</v>
      </c>
      <c r="E104" s="3" t="s">
        <v>1808</v>
      </c>
      <c r="H104" s="4" t="str">
        <f>IFERROR(__xludf.DUMMYFUNCTION("GOOGLETRANSLATE(A104, ""en"", ""bn"")"),"১০৩")</f>
        <v>১০৩</v>
      </c>
      <c r="I104" s="4" t="str">
        <f>IFERROR(__xludf.DUMMYFUNCTION("GOOGLETRANSLATE(B104, ""en"", ""bn"")"),"একজন রেইডার কি ডিফেন্ডারদের শরীরের কোনও অংশ স্পর্শ করে পয়েন্ট অর্জন করতে পারে?")</f>
        <v>একজন রেইডার কি ডিফেন্ডারদের শরীরের কোনও অংশ স্পর্শ করে পয়েন্ট অর্জন করতে পারে?</v>
      </c>
      <c r="J104" s="4" t="str">
        <f>IFERROR(__xludf.DUMMYFUNCTION("GOOGLETRANSLATE(C104, ""en"", ""bn"")"),"ক) শুধুমাত্র হাত, খ) শুধুমাত্র পা, গ) শরীরের যেকোনো অংশ, ঘ) শুধুমাত্র শরীরের উপরের অংশ")</f>
        <v>ক) শুধুমাত্র হাত, খ) শুধুমাত্র পা, গ) শরীরের যেকোনো অংশ, ঘ) শুধুমাত্র শরীরের উপরের অংশ</v>
      </c>
      <c r="K104" s="4" t="str">
        <f>IFERROR(__xludf.DUMMYFUNCTION("GOOGLETRANSLATE(D104, ""en"", ""bn"")"),"গ) শরীরের যেকোনো অংশ")</f>
        <v>গ) শরীরের যেকোনো অংশ</v>
      </c>
      <c r="L104" s="4" t="str">
        <f>IFERROR(__xludf.DUMMYFUNCTION("GOOGLETRANSLATE(E104, ""en"", ""bn"")"),"একজন রেইডার শরীরের যেকোনো অংশ ব্যবহার করে ট্যাগ করতে পারে।")</f>
        <v>একজন রেইডার শরীরের যেকোনো অংশ ব্যবহার করে ট্যাগ করতে পারে।</v>
      </c>
    </row>
    <row r="105">
      <c r="A105" s="3">
        <v>104.0</v>
      </c>
      <c r="B105" s="3" t="s">
        <v>1809</v>
      </c>
      <c r="C105" s="3" t="s">
        <v>1810</v>
      </c>
      <c r="D105" s="3" t="s">
        <v>1811</v>
      </c>
      <c r="E105" s="3" t="s">
        <v>1812</v>
      </c>
      <c r="H105" s="4" t="str">
        <f>IFERROR(__xludf.DUMMYFUNCTION("GOOGLETRANSLATE(A105, ""en"", ""bn"")"),"১০৪")</f>
        <v>১০৪</v>
      </c>
      <c r="I105" s="4" t="str">
        <f>IFERROR(__xludf.DUMMYFUNCTION("GOOGLETRANSLATE(B105, ""en"", ""bn"")"),"যদি ডিফেন্ডাররা রেইডারকে স্পর্শ না করেই ঘিরে ফেলে, তাহলে কী হবে?")</f>
        <v>যদি ডিফেন্ডাররা রেইডারকে স্পর্শ না করেই ঘিরে ফেলে, তাহলে কী হবে?</v>
      </c>
      <c r="J105" s="4" t="str">
        <f>IFERROR(__xludf.DUMMYFUNCTION("GOOGLETRANSLATE(C105, ""en"", ""bn"")"),"ক) রেইডার সেফ, খ) ডিফেন্ডারদের স্কোর, গ) সময় শেষ হলে রেইডার আউট, ঘ) রিপ্লে")</f>
        <v>ক) রেইডার সেফ, খ) ডিফেন্ডারদের স্কোর, গ) সময় শেষ হলে রেইডার আউট, ঘ) রিপ্লে</v>
      </c>
      <c r="K105" s="4" t="str">
        <f>IFERROR(__xludf.DUMMYFUNCTION("GOOGLETRANSLATE(D105, ""en"", ""bn"")"),"গ) সময় শেষ হলে রেইডার আউট")</f>
        <v>গ) সময় শেষ হলে রেইডার আউট</v>
      </c>
      <c r="L105" s="4" t="str">
        <f>IFERROR(__xludf.DUMMYFUNCTION("GOOGLETRANSLATE(E105, ""en"", ""bn"")"),"যদি ঘিরে ফেলা হয় এবং সময় শেষ হয়ে যায়, তাহলে আক্রমণকারী বেরিয়ে যাবে।")</f>
        <v>যদি ঘিরে ফেলা হয় এবং সময় শেষ হয়ে যায়, তাহলে আক্রমণকারী বেরিয়ে যাবে।</v>
      </c>
    </row>
    <row r="106">
      <c r="A106" s="3">
        <v>105.0</v>
      </c>
      <c r="B106" s="3" t="s">
        <v>1813</v>
      </c>
      <c r="C106" s="3" t="s">
        <v>1814</v>
      </c>
      <c r="D106" s="3" t="s">
        <v>1119</v>
      </c>
      <c r="E106" s="3" t="s">
        <v>1815</v>
      </c>
      <c r="H106" s="4" t="str">
        <f>IFERROR(__xludf.DUMMYFUNCTION("GOOGLETRANSLATE(A106, ""en"", ""bn"")"),"১০৫")</f>
        <v>১০৫</v>
      </c>
      <c r="I106" s="4" t="str">
        <f>IFERROR(__xludf.DUMMYFUNCTION("GOOGLETRANSLATE(B106, ""en"", ""bn"")"),"হাফটাইমে কি খেলোয়াড় বদলানো সম্ভব?")</f>
        <v>হাফটাইমে কি খেলোয়াড় বদলানো সম্ভব?</v>
      </c>
      <c r="J106" s="4" t="str">
        <f>IFERROR(__xludf.DUMMYFUNCTION("GOOGLETRANSLATE(C106, ""en"", ""bn"")"),"ক) হ্যাঁ, খ) না, গ) শুধুমাত্র রেফারির অনুমতি নিয়ে, ঘ) শুধুমাত্র প্রথম অভিযানের পরে")</f>
        <v>ক) হ্যাঁ, খ) না, গ) শুধুমাত্র রেফারির অনুমতি নিয়ে, ঘ) শুধুমাত্র প্রথম অভিযানের পরে</v>
      </c>
      <c r="K106" s="4" t="str">
        <f>IFERROR(__xludf.DUMMYFUNCTION("GOOGLETRANSLATE(D106, ""en"", ""bn"")"),"ক) হ্যাঁ")</f>
        <v>ক) হ্যাঁ</v>
      </c>
      <c r="L106" s="4" t="str">
        <f>IFERROR(__xludf.DUMMYFUNCTION("GOOGLETRANSLATE(E106, ""en"", ""bn"")"),"হাফটাইমের সময় প্রতিস্থাপন অনুমোদিত।")</f>
        <v>হাফটাইমের সময় প্রতিস্থাপন অনুমোদিত।</v>
      </c>
    </row>
    <row r="107">
      <c r="A107" s="3">
        <v>106.0</v>
      </c>
      <c r="B107" s="3" t="s">
        <v>1816</v>
      </c>
      <c r="C107" s="3" t="s">
        <v>1817</v>
      </c>
      <c r="D107" s="3" t="s">
        <v>238</v>
      </c>
      <c r="E107" s="3" t="s">
        <v>1818</v>
      </c>
      <c r="H107" s="4" t="str">
        <f>IFERROR(__xludf.DUMMYFUNCTION("GOOGLETRANSLATE(A107, ""en"", ""bn"")"),"১০৬")</f>
        <v>১০৬</v>
      </c>
      <c r="I107" s="4" t="str">
        <f>IFERROR(__xludf.DUMMYFUNCTION("GOOGLETRANSLATE(B107, ""en"", ""bn"")"),"একজন রেইডারকে আউট করার জন্য রেফারির সংকেত কী?")</f>
        <v>একজন রেইডারকে আউট করার জন্য রেফারির সংকেত কী?</v>
      </c>
      <c r="J107" s="4" t="str">
        <f>IFERROR(__xludf.DUMMYFUNCTION("GOOGLETRANSLATE(C107, ""en"", ""bn"")"),"ক) হাত উঁচু করা, খ) বাঁশি বাজানো, গ) রক্ষকদের দিকে ইশারা করা, ঘ) উপরের সবগুলো")</f>
        <v>ক) হাত উঁচু করা, খ) বাঁশি বাজানো, গ) রক্ষকদের দিকে ইশারা করা, ঘ) উপরের সবগুলো</v>
      </c>
      <c r="K107" s="4" t="str">
        <f>IFERROR(__xludf.DUMMYFUNCTION("GOOGLETRANSLATE(D107, ""en"", ""bn"")"),"ঘ) উপরের সবগুলো")</f>
        <v>ঘ) উপরের সবগুলো</v>
      </c>
      <c r="L107" s="4" t="str">
        <f>IFERROR(__xludf.DUMMYFUNCTION("GOOGLETRANSLATE(E107, ""en"", ""bn"")"),"রেফারিরা আউট নিশ্চিত করার জন্য হাতের সংকেত এবং বাঁশি ব্যবহার করেন।")</f>
        <v>রেফারিরা আউট নিশ্চিত করার জন্য হাতের সংকেত এবং বাঁশি ব্যবহার করেন।</v>
      </c>
    </row>
    <row r="108">
      <c r="A108" s="3">
        <v>107.0</v>
      </c>
      <c r="B108" s="3" t="s">
        <v>1819</v>
      </c>
      <c r="C108" s="3" t="s">
        <v>1460</v>
      </c>
      <c r="D108" s="3" t="s">
        <v>24</v>
      </c>
      <c r="E108" s="3" t="s">
        <v>1820</v>
      </c>
      <c r="H108" s="4" t="str">
        <f>IFERROR(__xludf.DUMMYFUNCTION("GOOGLETRANSLATE(A108, ""en"", ""bn"")"),"১০৭")</f>
        <v>১০৭</v>
      </c>
      <c r="I108" s="4" t="str">
        <f>IFERROR(__xludf.DUMMYFUNCTION("GOOGLETRANSLATE(B108, ""en"", ""bn"")"),"অল-আউটের জন্য কত পয়েন্ট দেওয়া হয়?")</f>
        <v>অল-আউটের জন্য কত পয়েন্ট দেওয়া হয়?</v>
      </c>
      <c r="J108" s="4" t="str">
        <f>IFERROR(__xludf.DUMMYFUNCTION("GOOGLETRANSLATE(C108, ""en"", ""bn"")"),"ক) ১, খ) ২, গ) ৩, ঘ) ৫")</f>
        <v>ক) ১, খ) ২, গ) ৩, ঘ) ৫</v>
      </c>
      <c r="K108" s="4" t="str">
        <f>IFERROR(__xludf.DUMMYFUNCTION("GOOGLETRANSLATE(D108, ""en"", ""bn"")"),"খ) ২")</f>
        <v>খ) ২</v>
      </c>
      <c r="L108" s="4" t="str">
        <f>IFERROR(__xludf.DUMMYFUNCTION("GOOGLETRANSLATE(E108, ""en"", ""bn"")"),"সকল ডিফেন্ডারকে বাদ দিলে ২টি অতিরিক্ত পয়েন্ট পাওয়া যাবে।")</f>
        <v>সকল ডিফেন্ডারকে বাদ দিলে ২টি অতিরিক্ত পয়েন্ট পাওয়া যাবে।</v>
      </c>
    </row>
    <row r="109">
      <c r="A109" s="3">
        <v>108.0</v>
      </c>
      <c r="B109" s="3" t="s">
        <v>1821</v>
      </c>
      <c r="C109" s="3" t="s">
        <v>1822</v>
      </c>
      <c r="D109" s="3" t="s">
        <v>1823</v>
      </c>
      <c r="E109" s="3" t="s">
        <v>1824</v>
      </c>
      <c r="H109" s="4" t="str">
        <f>IFERROR(__xludf.DUMMYFUNCTION("GOOGLETRANSLATE(A109, ""en"", ""bn"")"),"১০৮")</f>
        <v>১০৮</v>
      </c>
      <c r="I109" s="4" t="str">
        <f>IFERROR(__xludf.DUMMYFUNCTION("GOOGLETRANSLATE(B109, ""en"", ""bn"")"),"খেলার শুরুতে দলগুলোর মধ্যে সর্বনিম্ন দূরত্ব কত?")</f>
        <v>খেলার শুরুতে দলগুলোর মধ্যে সর্বনিম্ন দূরত্ব কত?</v>
      </c>
      <c r="J109" s="4" t="str">
        <f>IFERROR(__xludf.DUMMYFUNCTION("GOOGLETRANSLATE(C109, ""en"", ""bn"")"),"ক) ১ মিটার, খ) ২ মিটার, গ) ৩ মিটার, ঘ) ৫ মিটার")</f>
        <v>ক) ১ মিটার, খ) ২ মিটার, গ) ৩ মিটার, ঘ) ৫ মিটার</v>
      </c>
      <c r="K109" s="4" t="str">
        <f>IFERROR(__xludf.DUMMYFUNCTION("GOOGLETRANSLATE(D109, ""en"", ""bn"")"),"খ) ২ মি")</f>
        <v>খ) ২ মি</v>
      </c>
      <c r="L109" s="4" t="str">
        <f>IFERROR(__xludf.DUMMYFUNCTION("GOOGLETRANSLATE(E109, ""en"", ""bn"")"),"শুরুতে দলগুলিকে কমপক্ষে ২ মিটার দূরে থাকতে হবে।")</f>
        <v>শুরুতে দলগুলিকে কমপক্ষে ২ মিটার দূরে থাকতে হবে।</v>
      </c>
    </row>
    <row r="110">
      <c r="A110" s="3">
        <v>109.0</v>
      </c>
      <c r="B110" s="3" t="s">
        <v>1825</v>
      </c>
      <c r="C110" s="3" t="s">
        <v>1826</v>
      </c>
      <c r="D110" s="3" t="s">
        <v>1077</v>
      </c>
      <c r="E110" s="3" t="s">
        <v>1827</v>
      </c>
      <c r="H110" s="4" t="str">
        <f>IFERROR(__xludf.DUMMYFUNCTION("GOOGLETRANSLATE(A110, ""en"", ""bn"")"),"১০৯")</f>
        <v>১০৯</v>
      </c>
      <c r="I110" s="4" t="str">
        <f>IFERROR(__xludf.DUMMYFUNCTION("GOOGLETRANSLATE(B110, ""en"", ""bn"")"),"একজন ডিফেন্ডার কি রেইডারকে সীমানার বাইরে ঠেলে দিতে পারে?")</f>
        <v>একজন ডিফেন্ডার কি রেইডারকে সীমানার বাইরে ঠেলে দিতে পারে?</v>
      </c>
      <c r="J110" s="4" t="str">
        <f>IFERROR(__xludf.DUMMYFUNCTION("GOOGLETRANSLATE(C110, ""en"", ""bn"")"),"ক) হ্যাঁ, খ) না, গ) শুধুমাত্র রেফারির অনুমোদনক্রমে, ঘ) শুধুমাত্র বোনাস অভিযানের সময়")</f>
        <v>ক) হ্যাঁ, খ) না, গ) শুধুমাত্র রেফারির অনুমোদনক্রমে, ঘ) শুধুমাত্র বোনাস অভিযানের সময়</v>
      </c>
      <c r="K110" s="4" t="str">
        <f>IFERROR(__xludf.DUMMYFUNCTION("GOOGLETRANSLATE(D110, ""en"", ""bn"")"),"খ) না")</f>
        <v>খ) না</v>
      </c>
      <c r="L110" s="4" t="str">
        <f>IFERROR(__xludf.DUMMYFUNCTION("GOOGLETRANSLATE(E110, ""en"", ""bn"")"),"ডিফেন্ডাররা কোনও রেইডারকে লাইনের বাইরে ঠেলে দিতে পারবে না।")</f>
        <v>ডিফেন্ডাররা কোনও রেইডারকে লাইনের বাইরে ঠেলে দিতে পারবে না।</v>
      </c>
    </row>
    <row r="111">
      <c r="A111" s="3">
        <v>110.0</v>
      </c>
      <c r="B111" s="3" t="s">
        <v>1828</v>
      </c>
      <c r="C111" s="3" t="s">
        <v>1829</v>
      </c>
      <c r="D111" s="3" t="s">
        <v>1830</v>
      </c>
      <c r="E111" s="3" t="s">
        <v>1831</v>
      </c>
      <c r="H111" s="4" t="str">
        <f>IFERROR(__xludf.DUMMYFUNCTION("GOOGLETRANSLATE(A111, ""en"", ""bn"")"),"১১০")</f>
        <v>১১০</v>
      </c>
      <c r="I111" s="4" t="str">
        <f>IFERROR(__xludf.DUMMYFUNCTION("GOOGLETRANSLATE(B111, ""en"", ""bn"")"),"যদি কোন ডাকাত জপ না করে প্রবেশ করে তাহলে কী হবে?")</f>
        <v>যদি কোন ডাকাত জপ না করে প্রবেশ করে তাহলে কী হবে?</v>
      </c>
      <c r="J111" s="4" t="str">
        <f>IFERROR(__xludf.DUMMYFUNCTION("GOOGLETRANSLATE(C111, ""en"", ""bn"")"),"ক) রেইডার আউট, খ) ফ্রি রেইড, গ) রিপ্লে, ঘ) ডিফেন্ডারকে শাস্তি দেওয়া হয়েছে")</f>
        <v>ক) রেইডার আউট, খ) ফ্রি রেইড, গ) রিপ্লে, ঘ) ডিফেন্ডারকে শাস্তি দেওয়া হয়েছে</v>
      </c>
      <c r="K111" s="4" t="str">
        <f>IFERROR(__xludf.DUMMYFUNCTION("GOOGLETRANSLATE(D111, ""en"", ""bn"")"),"ক) রেইডার আউট")</f>
        <v>ক) রেইডার আউট</v>
      </c>
      <c r="L111" s="4" t="str">
        <f>IFERROR(__xludf.DUMMYFUNCTION("GOOGLETRANSLATE(E111, ""en"", ""bn"")"),"অভিযান গণনার জন্য জপ করা বাধ্যতামূলক।")</f>
        <v>অভিযান গণনার জন্য জপ করা বাধ্যতামূলক।</v>
      </c>
    </row>
    <row r="112">
      <c r="A112" s="3">
        <v>111.0</v>
      </c>
      <c r="B112" s="3" t="s">
        <v>1832</v>
      </c>
      <c r="C112" s="3" t="s">
        <v>1833</v>
      </c>
      <c r="D112" s="3" t="s">
        <v>1834</v>
      </c>
      <c r="E112" s="3" t="s">
        <v>1835</v>
      </c>
      <c r="H112" s="4" t="str">
        <f>IFERROR(__xludf.DUMMYFUNCTION("GOOGLETRANSLATE(A112, ""en"", ""bn"")"),"১১১")</f>
        <v>১১১</v>
      </c>
      <c r="I112" s="4" t="str">
        <f>IFERROR(__xludf.DUMMYFUNCTION("GOOGLETRANSLATE(B112, ""en"", ""bn"")"),"হা-ডু-ডুর বিজয়ী কীভাবে নির্ধারিত হয়?")</f>
        <v>হা-ডু-ডুর বিজয়ী কীভাবে নির্ধারিত হয়?</v>
      </c>
      <c r="J112" s="4" t="str">
        <f>IFERROR(__xludf.DUMMYFUNCTION("GOOGLETRANSLATE(C112, ""en"", ""bn"")"),"ক) সর্বাধিক ট্যাগ, খ) সর্বাধিক পয়েন্ট, গ) সর্বাধিক সফল রক্ষণ, ঘ) শেষ দল হিসেবে অবস্থান")</f>
        <v>ক) সর্বাধিক ট্যাগ, খ) সর্বাধিক পয়েন্ট, গ) সর্বাধিক সফল রক্ষণ, ঘ) শেষ দল হিসেবে অবস্থান</v>
      </c>
      <c r="K112" s="4" t="str">
        <f>IFERROR(__xludf.DUMMYFUNCTION("GOOGLETRANSLATE(D112, ""en"", ""bn"")"),"খ) সর্বাধিক পয়েন্ট")</f>
        <v>খ) সর্বাধিক পয়েন্ট</v>
      </c>
      <c r="L112" s="4" t="str">
        <f>IFERROR(__xludf.DUMMYFUNCTION("GOOGLETRANSLATE(E112, ""en"", ""bn"")"),"শেষে সর্বোচ্চ স্কোরকারী দল জয়ী হয়।")</f>
        <v>শেষে সর্বোচ্চ স্কোরকারী দল জয়ী হয়।</v>
      </c>
    </row>
    <row r="113">
      <c r="A113" s="3">
        <v>112.0</v>
      </c>
      <c r="B113" s="3" t="s">
        <v>1836</v>
      </c>
      <c r="C113" s="3" t="s">
        <v>1759</v>
      </c>
      <c r="D113" s="3" t="s">
        <v>1752</v>
      </c>
      <c r="E113" s="3" t="s">
        <v>1837</v>
      </c>
      <c r="H113" s="4" t="str">
        <f>IFERROR(__xludf.DUMMYFUNCTION("GOOGLETRANSLATE(A113, ""en"", ""bn"")"),"১১২")</f>
        <v>১১২</v>
      </c>
      <c r="I113" s="4" t="str">
        <f>IFERROR(__xludf.DUMMYFUNCTION("GOOGLETRANSLATE(B113, ""en"", ""bn"")"),"যদি কোন রেইডার ট্যাগ করে কিন্তু সময়ের মধ্যে ফিরে না আসে তাহলে কী হবে?")</f>
        <v>যদি কোন রেইডার ট্যাগ করে কিন্তু সময়ের মধ্যে ফিরে না আসে তাহলে কী হবে?</v>
      </c>
      <c r="J113" s="4" t="str">
        <f>IFERROR(__xludf.DUMMYFUNCTION("GOOGLETRANSLATE(C113, ""en"", ""bn"")"),"ক) রেইডার স্কোর, খ) ডিফেন্ডারদের শাস্তি, গ) রেইডার আউট, ঘ) রিপ্লে")</f>
        <v>ক) রেইডার স্কোর, খ) ডিফেন্ডারদের শাস্তি, গ) রেইডার আউট, ঘ) রিপ্লে</v>
      </c>
      <c r="K113" s="4" t="str">
        <f>IFERROR(__xludf.DUMMYFUNCTION("GOOGLETRANSLATE(D113, ""en"", ""bn"")"),"গ) রেইডার আউট")</f>
        <v>গ) রেইডার আউট</v>
      </c>
      <c r="L113" s="4" t="str">
        <f>IFERROR(__xludf.DUMMYFUNCTION("GOOGLETRANSLATE(E113, ""en"", ""bn"")"),"রাইডারকে নিরাপদে ফিরে এসে গোল করতে হবে।")</f>
        <v>রাইডারকে নিরাপদে ফিরে এসে গোল করতে হবে।</v>
      </c>
    </row>
    <row r="114">
      <c r="A114" s="3">
        <v>113.0</v>
      </c>
      <c r="B114" s="3" t="s">
        <v>1838</v>
      </c>
      <c r="C114" s="3" t="s">
        <v>1839</v>
      </c>
      <c r="D114" s="3" t="s">
        <v>1840</v>
      </c>
      <c r="E114" s="3" t="s">
        <v>1841</v>
      </c>
      <c r="H114" s="4" t="str">
        <f>IFERROR(__xludf.DUMMYFUNCTION("GOOGLETRANSLATE(A114, ""en"", ""bn"")"),"১১৩")</f>
        <v>১১৩</v>
      </c>
      <c r="I114" s="4" t="str">
        <f>IFERROR(__xludf.DUMMYFUNCTION("GOOGLETRANSLATE(B114, ""en"", ""bn"")"),"অলআউটের পর কতজন খেলোয়াড়কে ডিফেন্ডাররা পুনরুজ্জীবিত করতে পারে?")</f>
        <v>অলআউটের পর কতজন খেলোয়াড়কে ডিফেন্ডাররা পুনরুজ্জীবিত করতে পারে?</v>
      </c>
      <c r="J114" s="4" t="str">
        <f>IFERROR(__xludf.DUMMYFUNCTION("GOOGLETRANSLATE(C114, ""en"", ""bn"")"),"ক) কেউ নয়, খ) ১, গ) ২, ঘ) সব")</f>
        <v>ক) কেউ নয়, খ) ১, গ) ২, ঘ) সব</v>
      </c>
      <c r="K114" s="4" t="str">
        <f>IFERROR(__xludf.DUMMYFUNCTION("GOOGLETRANSLATE(D114, ""en"", ""bn"")"),"ঘ) সকল")</f>
        <v>ঘ) সকল</v>
      </c>
      <c r="L114" s="4" t="str">
        <f>IFERROR(__xludf.DUMMYFUNCTION("GOOGLETRANSLATE(E114, ""en"", ""bn"")"),"অলআউটের পর, সমস্ত খেলোয়াড় পুনরুজ্জীবিত হয়।")</f>
        <v>অলআউটের পর, সমস্ত খেলোয়াড় পুনরুজ্জীবিত হয়।</v>
      </c>
    </row>
    <row r="115">
      <c r="A115" s="3">
        <v>114.0</v>
      </c>
      <c r="B115" s="3" t="s">
        <v>1842</v>
      </c>
      <c r="C115" s="3" t="s">
        <v>1843</v>
      </c>
      <c r="D115" s="3" t="s">
        <v>1077</v>
      </c>
      <c r="E115" s="3" t="s">
        <v>1844</v>
      </c>
      <c r="H115" s="4" t="str">
        <f>IFERROR(__xludf.DUMMYFUNCTION("GOOGLETRANSLATE(A115, ""en"", ""bn"")"),"১১৪")</f>
        <v>১১৪</v>
      </c>
      <c r="I115" s="4" t="str">
        <f>IFERROR(__xludf.DUMMYFUNCTION("GOOGLETRANSLATE(B115, ""en"", ""bn"")"),"একজন ডাকাত কি জাল জপ করতে পারে?")</f>
        <v>একজন ডাকাত কি জাল জপ করতে পারে?</v>
      </c>
      <c r="J115" s="4" t="str">
        <f>IFERROR(__xludf.DUMMYFUNCTION("GOOGLETRANSLATE(C115, ""en"", ""bn"")"),"ক) হ্যাঁ, খ) না, গ) প্রতি অভিযানে কেবল একবার, ঘ) রেফারির অনুমতিক্রমে")</f>
        <v>ক) হ্যাঁ, খ) না, গ) প্রতি অভিযানে কেবল একবার, ঘ) রেফারির অনুমতিক্রমে</v>
      </c>
      <c r="K115" s="4" t="str">
        <f>IFERROR(__xludf.DUMMYFUNCTION("GOOGLETRANSLATE(D115, ""en"", ""bn"")"),"খ) না")</f>
        <v>খ) না</v>
      </c>
      <c r="L115" s="4" t="str">
        <f>IFERROR(__xludf.DUMMYFUNCTION("GOOGLETRANSLATE(E115, ""en"", ""bn"")"),"জাল মন্ত্র উচ্চারণ করা অবৈধ; একটানা মন্ত্র উচ্চারণ করা আবশ্যক।")</f>
        <v>জাল মন্ত্র উচ্চারণ করা অবৈধ; একটানা মন্ত্র উচ্চারণ করা আবশ্যক।</v>
      </c>
    </row>
    <row r="116">
      <c r="A116" s="3">
        <v>115.0</v>
      </c>
      <c r="B116" s="3" t="s">
        <v>1845</v>
      </c>
      <c r="C116" s="3" t="s">
        <v>1846</v>
      </c>
      <c r="D116" s="3" t="s">
        <v>1847</v>
      </c>
      <c r="E116" s="3" t="s">
        <v>1848</v>
      </c>
      <c r="H116" s="4" t="str">
        <f>IFERROR(__xludf.DUMMYFUNCTION("GOOGLETRANSLATE(A116, ""en"", ""bn"")"),"১১৫")</f>
        <v>১১৫</v>
      </c>
      <c r="I116" s="4" t="str">
        <f>IFERROR(__xludf.DUMMYFUNCTION("GOOGLETRANSLATE(B116, ""en"", ""bn"")"),"বিরোধের ক্ষেত্রে রেফারির সিদ্ধান্ত কী?")</f>
        <v>বিরোধের ক্ষেত্রে রেফারির সিদ্ধান্ত কী?</v>
      </c>
      <c r="J116" s="4" t="str">
        <f>IFERROR(__xludf.DUMMYFUNCTION("GOOGLETRANSLATE(C116, ""en"", ""bn"")"),"ক) রিপ্লে, খ) ফাইনাল এবং বাইন্ডিং, গ) অধিনায়করা সিদ্ধান্ত নেন, ঘ) দর্শকদের ভোট")</f>
        <v>ক) রিপ্লে, খ) ফাইনাল এবং বাইন্ডিং, গ) অধিনায়করা সিদ্ধান্ত নেন, ঘ) দর্শকদের ভোট</v>
      </c>
      <c r="K116" s="4" t="str">
        <f>IFERROR(__xludf.DUMMYFUNCTION("GOOGLETRANSLATE(D116, ""en"", ""bn"")"),"খ) চূড়ান্ত এবং বাঁধাই")</f>
        <v>খ) চূড়ান্ত এবং বাঁধাই</v>
      </c>
      <c r="L116" s="4" t="str">
        <f>IFERROR(__xludf.DUMMYFUNCTION("GOOGLETRANSLATE(E116, ""en"", ""bn"")"),"বিরোধের ক্ষেত্রে রেফারির সিদ্ধান্তই চূড়ান্ত।")</f>
        <v>বিরোধের ক্ষেত্রে রেফারির সিদ্ধান্তই চূড়ান্ত।</v>
      </c>
    </row>
    <row r="117">
      <c r="A117" s="3">
        <v>116.0</v>
      </c>
      <c r="B117" s="3" t="s">
        <v>1849</v>
      </c>
      <c r="C117" s="3" t="s">
        <v>1850</v>
      </c>
      <c r="D117" s="3" t="s">
        <v>1785</v>
      </c>
      <c r="E117" s="3" t="s">
        <v>1851</v>
      </c>
      <c r="H117" s="4" t="str">
        <f>IFERROR(__xludf.DUMMYFUNCTION("GOOGLETRANSLATE(A117, ""en"", ""bn"")"),"১১৬")</f>
        <v>১১৬</v>
      </c>
      <c r="I117" s="4" t="str">
        <f>IFERROR(__xludf.DUMMYFUNCTION("GOOGLETRANSLATE(B117, ""en"", ""bn"")"),"রেইডার যদি রেফারির সাথে সংঘর্ষে লিপ্ত হয় তাহলে কী হবে?")</f>
        <v>রেইডার যদি রেফারির সাথে সংঘর্ষে লিপ্ত হয় তাহলে কী হবে?</v>
      </c>
      <c r="J117" s="4" t="str">
        <f>IFERROR(__xludf.DUMMYFUNCTION("GOOGLETRANSLATE(C117, ""en"", ""bn"")"),"ক) রেইডার আউট, খ) রিপ্লে, গ) ডিফেন্ডার পয়েন্ট, ঘ) কোন পেনাল্টি নেই")</f>
        <v>ক) রেইডার আউট, খ) রিপ্লে, গ) ডিফেন্ডার পয়েন্ট, ঘ) কোন পেনাল্টি নেই</v>
      </c>
      <c r="K117" s="4" t="str">
        <f>IFERROR(__xludf.DUMMYFUNCTION("GOOGLETRANSLATE(D117, ""en"", ""bn"")"),"খ) রিপ্লে")</f>
        <v>খ) রিপ্লে</v>
      </c>
      <c r="L117" s="4" t="str">
        <f>IFERROR(__xludf.DUMMYFUNCTION("GOOGLETRANSLATE(E117, ""en"", ""bn"")"),"দুর্ঘটনাজনিত সংঘর্ষের ফলে রিপ্লে দেখা যায়।")</f>
        <v>দুর্ঘটনাজনিত সংঘর্ষের ফলে রিপ্লে দেখা যায়।</v>
      </c>
    </row>
    <row r="118">
      <c r="A118" s="3">
        <v>117.0</v>
      </c>
      <c r="B118" s="3" t="s">
        <v>1852</v>
      </c>
      <c r="C118" s="3" t="s">
        <v>1853</v>
      </c>
      <c r="D118" s="3" t="s">
        <v>1119</v>
      </c>
      <c r="E118" s="3" t="s">
        <v>1854</v>
      </c>
      <c r="H118" s="4" t="str">
        <f>IFERROR(__xludf.DUMMYFUNCTION("GOOGLETRANSLATE(A118, ""en"", ""bn"")"),"১১৭")</f>
        <v>১১৭</v>
      </c>
      <c r="I118" s="4" t="str">
        <f>IFERROR(__xludf.DUMMYFUNCTION("GOOGLETRANSLATE(B118, ""en"", ""bn"")"),"একজন খেলোয়াড় কি হা-ডু-ডুতে খালি পায়ে খেলতে পারে?")</f>
        <v>একজন খেলোয়াড় কি হা-ডু-ডুতে খালি পায়ে খেলতে পারে?</v>
      </c>
      <c r="J118" s="4" t="str">
        <f>IFERROR(__xludf.DUMMYFUNCTION("GOOGLETRANSLATE(C118, ""en"", ""bn"")"),"ক) হ্যাঁ, খ) না, গ) শুধুমাত্র আহত হলে, ঘ) শুধুমাত্র ঘাসের উপর")</f>
        <v>ক) হ্যাঁ, খ) না, গ) শুধুমাত্র আহত হলে, ঘ) শুধুমাত্র ঘাসের উপর</v>
      </c>
      <c r="K118" s="4" t="str">
        <f>IFERROR(__xludf.DUMMYFUNCTION("GOOGLETRANSLATE(D118, ""en"", ""bn"")"),"ক) হ্যাঁ")</f>
        <v>ক) হ্যাঁ</v>
      </c>
      <c r="L118" s="4" t="str">
        <f>IFERROR(__xludf.DUMMYFUNCTION("GOOGLETRANSLATE(E118, ""en"", ""bn"")"),"খেলোয়াড়রা ঐতিহ্যবাহী নিয়ম অনুসারে খালি পায়ে খেলতে পারে।")</f>
        <v>খেলোয়াড়রা ঐতিহ্যবাহী নিয়ম অনুসারে খালি পায়ে খেলতে পারে।</v>
      </c>
    </row>
    <row r="119">
      <c r="A119" s="3">
        <v>118.0</v>
      </c>
      <c r="B119" s="3" t="s">
        <v>1855</v>
      </c>
      <c r="C119" s="3" t="s">
        <v>1856</v>
      </c>
      <c r="D119" s="3" t="s">
        <v>1857</v>
      </c>
      <c r="E119" s="3" t="s">
        <v>1858</v>
      </c>
      <c r="H119" s="4" t="str">
        <f>IFERROR(__xludf.DUMMYFUNCTION("GOOGLETRANSLATE(A119, ""en"", ""bn"")"),"১১৮")</f>
        <v>১১৮</v>
      </c>
      <c r="I119" s="4" t="str">
        <f>IFERROR(__xludf.DUMMYFUNCTION("GOOGLETRANSLATE(B119, ""en"", ""bn"")"),"যদি কোন ডিফেন্ডার রেইডের সময় দেরিতে প্রবেশ করে তাহলে কী হবে?")</f>
        <v>যদি কোন ডিফেন্ডার রেইডের সময় দেরিতে প্রবেশ করে তাহলে কী হবে?</v>
      </c>
      <c r="J119" s="4" t="str">
        <f>IFERROR(__xludf.DUMMYFUNCTION("GOOGLETRANSLATE(C119, ""en"", ""bn"")"),"ক) ডিফেন্ডারকে শাস্তি দেওয়া হয়েছে, খ) রেইডারকে আউট করা হয়েছে, গ) রিপ্লে, ঘ) কোন শাস্তি দেওয়া হয়নি")</f>
        <v>ক) ডিফেন্ডারকে শাস্তি দেওয়া হয়েছে, খ) রেইডারকে আউট করা হয়েছে, গ) রিপ্লে, ঘ) কোন শাস্তি দেওয়া হয়নি</v>
      </c>
      <c r="K119" s="4" t="str">
        <f>IFERROR(__xludf.DUMMYFUNCTION("GOOGLETRANSLATE(D119, ""en"", ""bn"")"),"ক) ডিফেন্ডারকে শাস্তি দেওয়া হয়েছে")</f>
        <v>ক) ডিফেন্ডারকে শাস্তি দেওয়া হয়েছে</v>
      </c>
      <c r="L119" s="4" t="str">
        <f>IFERROR(__xludf.DUMMYFUNCTION("GOOGLETRANSLATE(E119, ""en"", ""bn"")"),"দেরিতে প্রবেশ করা একটি ফাউল; ডিফেন্ডারকে শাস্তি দেওয়া হবে।")</f>
        <v>দেরিতে প্রবেশ করা একটি ফাউল; ডিফেন্ডারকে শাস্তি দেওয়া হবে।</v>
      </c>
    </row>
    <row r="120">
      <c r="A120" s="3">
        <v>119.0</v>
      </c>
      <c r="B120" s="3" t="s">
        <v>1859</v>
      </c>
      <c r="C120" s="3" t="s">
        <v>1860</v>
      </c>
      <c r="D120" s="3" t="s">
        <v>566</v>
      </c>
      <c r="E120" s="3" t="s">
        <v>1861</v>
      </c>
      <c r="H120" s="4" t="str">
        <f>IFERROR(__xludf.DUMMYFUNCTION("GOOGLETRANSLATE(A120, ""en"", ""bn"")"),"১১৯")</f>
        <v>১১৯</v>
      </c>
      <c r="I120" s="4" t="str">
        <f>IFERROR(__xludf.DUMMYFUNCTION("GOOGLETRANSLATE(B120, ""en"", ""bn"")"),"বোনাস লাইন স্পর্শ করলে কত বোনাস পয়েন্ট পাওয়া যাবে?")</f>
        <v>বোনাস লাইন স্পর্শ করলে কত বোনাস পয়েন্ট পাওয়া যাবে?</v>
      </c>
      <c r="J120" s="4" t="str">
        <f>IFERROR(__xludf.DUMMYFUNCTION("GOOGLETRANSLATE(C120, ""en"", ""bn"")"),"ক) ১, খ) ২, গ) ৩, ঘ) কোনটিই নয়")</f>
        <v>ক) ১, খ) ২, গ) ৩, ঘ) কোনটিই নয়</v>
      </c>
      <c r="K120" s="4" t="str">
        <f>IFERROR(__xludf.DUMMYFUNCTION("GOOGLETRANSLATE(D120, ""en"", ""bn"")"),"ক) ১")</f>
        <v>ক) ১</v>
      </c>
      <c r="L120" s="4" t="str">
        <f>IFERROR(__xludf.DUMMYFUNCTION("GOOGLETRANSLATE(E120, ""en"", ""bn"")"),"বোনাস লাইন অতিক্রম করলে ১ বোনাস পয়েন্ট পাওয়া যাবে।")</f>
        <v>বোনাস লাইন অতিক্রম করলে ১ বোনাস পয়েন্ট পাওয়া যাবে।</v>
      </c>
    </row>
    <row r="121">
      <c r="A121" s="3">
        <v>120.0</v>
      </c>
      <c r="B121" s="3" t="s">
        <v>1862</v>
      </c>
      <c r="C121" s="3" t="s">
        <v>1863</v>
      </c>
      <c r="D121" s="3" t="s">
        <v>1864</v>
      </c>
      <c r="E121" s="3" t="s">
        <v>1865</v>
      </c>
      <c r="H121" s="4" t="str">
        <f>IFERROR(__xludf.DUMMYFUNCTION("GOOGLETRANSLATE(A121, ""en"", ""bn"")"),"১২০")</f>
        <v>১২০</v>
      </c>
      <c r="I121" s="4" t="str">
        <f>IFERROR(__xludf.DUMMYFUNCTION("GOOGLETRANSLATE(B121, ""en"", ""bn"")"),"৩০ মিনিটের একটি ম্যাচে সর্বোচ্চ কতটি রেইড করা সম্ভব?")</f>
        <v>৩০ মিনিটের একটি ম্যাচে সর্বোচ্চ কতটি রেইড করা সম্ভব?</v>
      </c>
      <c r="J121" s="4" t="str">
        <f>IFERROR(__xludf.DUMMYFUNCTION("GOOGLETRANSLATE(C121, ""en"", ""bn"")"),"ক) স্থির ২০, খ) স্থির ২৫, গ) স্থির নয়, ঘ) ৫০")</f>
        <v>ক) স্থির ২০, খ) স্থির ২৫, গ) স্থির নয়, ঘ) ৫০</v>
      </c>
      <c r="K121" s="4" t="str">
        <f>IFERROR(__xludf.DUMMYFUNCTION("GOOGLETRANSLATE(D121, ""en"", ""bn"")"),"গ) স্থির নয়")</f>
        <v>গ) স্থির নয়</v>
      </c>
      <c r="L121" s="4" t="str">
        <f>IFERROR(__xludf.DUMMYFUNCTION("GOOGLETRANSLATE(E121, ""en"", ""bn"")"),"অভিযানের সংখ্যা সময়ের উপর নির্ভর করে, নির্দিষ্ট নয়।")</f>
        <v>অভিযানের সংখ্যা সময়ের উপর নির্ভর করে, নির্দিষ্ট নয়।</v>
      </c>
    </row>
    <row r="122">
      <c r="A122" s="3">
        <v>121.0</v>
      </c>
      <c r="B122" s="3" t="s">
        <v>1866</v>
      </c>
      <c r="C122" s="3" t="s">
        <v>1867</v>
      </c>
      <c r="D122" s="3" t="s">
        <v>1868</v>
      </c>
      <c r="E122" s="3" t="s">
        <v>1869</v>
      </c>
      <c r="H122" s="4" t="str">
        <f>IFERROR(__xludf.DUMMYFUNCTION("GOOGLETRANSLATE(A122, ""en"", ""bn"")"),"১২১")</f>
        <v>১২১</v>
      </c>
      <c r="I122" s="4" t="str">
        <f>IFERROR(__xludf.DUMMYFUNCTION("GOOGLETRANSLATE(B122, ""en"", ""bn"")"),"রেফারির ডাকের পর যদি কোনও দল খেলতে অস্বীকৃতি জানায়, তাহলে কী হবে?")</f>
        <v>রেফারির ডাকের পর যদি কোনও দল খেলতে অস্বীকৃতি জানায়, তাহলে কী হবে?</v>
      </c>
      <c r="J122" s="4" t="str">
        <f>IFERROR(__xludf.DUMMYFUNCTION("GOOGLETRANSLATE(C122, ""en"", ""bn"")"),"ক) ম্যাচ পুনরায় খেলা, খ) বাজেয়াপ্ত, গ) সতর্কতা, ঘ) কোন জরিমানা নেই")</f>
        <v>ক) ম্যাচ পুনরায় খেলা, খ) বাজেয়াপ্ত, গ) সতর্কতা, ঘ) কোন জরিমানা নেই</v>
      </c>
      <c r="K122" s="4" t="str">
        <f>IFERROR(__xludf.DUMMYFUNCTION("GOOGLETRANSLATE(D122, ""en"", ""bn"")"),"খ) বাজেয়াপ্ত করা")</f>
        <v>খ) বাজেয়াপ্ত করা</v>
      </c>
      <c r="L122" s="4" t="str">
        <f>IFERROR(__xludf.DUMMYFUNCTION("GOOGLETRANSLATE(E122, ""en"", ""bn"")"),"খেলতে অস্বীকৃতি জানানোর ফলে ম্যাচ হারানো হয়।")</f>
        <v>খেলতে অস্বীকৃতি জানানোর ফলে ম্যাচ হারানো হয়।</v>
      </c>
    </row>
    <row r="123">
      <c r="A123" s="3">
        <v>122.0</v>
      </c>
      <c r="B123" s="3" t="s">
        <v>1870</v>
      </c>
      <c r="C123" s="3" t="s">
        <v>1871</v>
      </c>
      <c r="D123" s="3" t="s">
        <v>1119</v>
      </c>
      <c r="E123" s="3" t="s">
        <v>1872</v>
      </c>
      <c r="H123" s="4" t="str">
        <f>IFERROR(__xludf.DUMMYFUNCTION("GOOGLETRANSLATE(A123, ""en"", ""bn"")"),"১২২")</f>
        <v>১২২</v>
      </c>
      <c r="I123" s="4" t="str">
        <f>IFERROR(__xludf.DUMMYFUNCTION("GOOGLETRANSLATE(B123, ""en"", ""bn"")"),"রেইডার কি ডিফেন্ডারদের উপর দিয়ে লাফিয়ে পড়তে পারে?")</f>
        <v>রেইডার কি ডিফেন্ডারদের উপর দিয়ে লাফিয়ে পড়তে পারে?</v>
      </c>
      <c r="J123" s="4" t="str">
        <f>IFERROR(__xludf.DUMMYFUNCTION("GOOGLETRANSLATE(C123, ""en"", ""bn"")"),"ক) হ্যাঁ, খ) না, গ) শুধুমাত্র একবার, ঘ) শুধুমাত্র রেফারির অনুমোদনক্রমে")</f>
        <v>ক) হ্যাঁ, খ) না, গ) শুধুমাত্র একবার, ঘ) শুধুমাত্র রেফারির অনুমোদনক্রমে</v>
      </c>
      <c r="K123" s="4" t="str">
        <f>IFERROR(__xludf.DUMMYFUNCTION("GOOGLETRANSLATE(D123, ""en"", ""bn"")"),"ক) হ্যাঁ")</f>
        <v>ক) হ্যাঁ</v>
      </c>
      <c r="L123" s="4" t="str">
        <f>IFERROR(__xludf.DUMMYFUNCTION("GOOGLETRANSLATE(E123, ""en"", ""bn"")"),"সীমানার মধ্যে থাকলে লাফ দেওয়া বৈধ।")</f>
        <v>সীমানার মধ্যে থাকলে লাফ দেওয়া বৈধ।</v>
      </c>
    </row>
    <row r="124">
      <c r="A124" s="3">
        <v>123.0</v>
      </c>
      <c r="B124" s="3" t="s">
        <v>1873</v>
      </c>
      <c r="C124" s="3" t="s">
        <v>1874</v>
      </c>
      <c r="D124" s="3" t="s">
        <v>1875</v>
      </c>
      <c r="E124" s="3" t="s">
        <v>1876</v>
      </c>
      <c r="H124" s="4" t="str">
        <f>IFERROR(__xludf.DUMMYFUNCTION("GOOGLETRANSLATE(A124, ""en"", ""bn"")"),"১২৩")</f>
        <v>১২৩</v>
      </c>
      <c r="I124" s="4" t="str">
        <f>IFERROR(__xludf.DUMMYFUNCTION("GOOGLETRANSLATE(B124, ""en"", ""bn"")"),"রেইডের সময় যদি কোন রেইডার ইচ্ছাকৃতভাবে রেফারিকে স্পর্শ করে তাহলে কী হবে?")</f>
        <v>রেইডের সময় যদি কোন রেইডার ইচ্ছাকৃতভাবে রেফারিকে স্পর্শ করে তাহলে কী হবে?</v>
      </c>
      <c r="J124" s="4" t="str">
        <f>IFERROR(__xludf.DUMMYFUNCTION("GOOGLETRANSLATE(C124, ""en"", ""bn"")"),"ক) রেইডার সেফ, খ) রেইডারকে পেনাল্টি দেওয়া হয়েছে, গ) রিপ্লে, ঘ) ডিফেন্ডার আউট")</f>
        <v>ক) রেইডার সেফ, খ) রেইডারকে পেনাল্টি দেওয়া হয়েছে, গ) রিপ্লে, ঘ) ডিফেন্ডার আউট</v>
      </c>
      <c r="K124" s="4" t="str">
        <f>IFERROR(__xludf.DUMMYFUNCTION("GOOGLETRANSLATE(D124, ""en"", ""bn"")"),"খ) রাইডারকে শাস্তি দেওয়া হয়েছে")</f>
        <v>খ) রাইডারকে শাস্তি দেওয়া হয়েছে</v>
      </c>
      <c r="L124" s="4" t="str">
        <f>IFERROR(__xludf.DUMMYFUNCTION("GOOGLETRANSLATE(E124, ""en"", ""bn"")"),"রেফারির সাথে ইচ্ছাকৃতভাবে যোগাযোগ করলে শাস্তি দেওয়া হবে।")</f>
        <v>রেফারির সাথে ইচ্ছাকৃতভাবে যোগাযোগ করলে শাস্তি দেওয়া হবে।</v>
      </c>
    </row>
    <row r="125">
      <c r="A125" s="3">
        <v>124.0</v>
      </c>
      <c r="B125" s="3" t="s">
        <v>1877</v>
      </c>
      <c r="C125" s="3" t="s">
        <v>23</v>
      </c>
      <c r="D125" s="3" t="s">
        <v>566</v>
      </c>
      <c r="E125" s="3" t="s">
        <v>1878</v>
      </c>
      <c r="H125" s="4" t="str">
        <f>IFERROR(__xludf.DUMMYFUNCTION("GOOGLETRANSLATE(A125, ""en"", ""bn"")"),"১২৪")</f>
        <v>১২৪</v>
      </c>
      <c r="I125" s="4" t="str">
        <f>IFERROR(__xludf.DUMMYFUNCTION("GOOGLETRANSLATE(B125, ""en"", ""bn"")"),"কতজন কর্মকর্তা স্কোরের হিসাব রাখেন?")</f>
        <v>কতজন কর্মকর্তা স্কোরের হিসাব রাখেন?</v>
      </c>
      <c r="J125" s="4" t="str">
        <f>IFERROR(__xludf.DUMMYFUNCTION("GOOGLETRANSLATE(C125, ""en"", ""bn"")"),"ক) ১, খ) ২, গ) ৩, ঘ) ৪")</f>
        <v>ক) ১, খ) ২, গ) ৩, ঘ) ৪</v>
      </c>
      <c r="K125" s="4" t="str">
        <f>IFERROR(__xludf.DUMMYFUNCTION("GOOGLETRANSLATE(D125, ""en"", ""bn"")"),"ক) ১")</f>
        <v>ক) ১</v>
      </c>
      <c r="L125" s="4" t="str">
        <f>IFERROR(__xludf.DUMMYFUNCTION("GOOGLETRANSLATE(E125, ""en"", ""bn"")"),"খেলার সময় স্কোরার অফিসিয়াল স্কোর রেকর্ড করেন।")</f>
        <v>খেলার সময় স্কোরার অফিসিয়াল স্কোর রেকর্ড করেন।</v>
      </c>
    </row>
    <row r="126">
      <c r="A126" s="3">
        <v>125.0</v>
      </c>
      <c r="B126" s="3" t="s">
        <v>1879</v>
      </c>
      <c r="C126" s="3" t="s">
        <v>1880</v>
      </c>
      <c r="D126" s="3" t="s">
        <v>1369</v>
      </c>
      <c r="E126" s="3" t="s">
        <v>1881</v>
      </c>
      <c r="H126" s="4" t="str">
        <f>IFERROR(__xludf.DUMMYFUNCTION("GOOGLETRANSLATE(A126, ""en"", ""bn"")"),"১২৫")</f>
        <v>১২৫</v>
      </c>
      <c r="I126" s="4" t="str">
        <f>IFERROR(__xludf.DUMMYFUNCTION("GOOGLETRANSLATE(B126, ""en"", ""bn"")"),"টাইমআউটের সময় যদি উভয় দলই কোর্টে প্রবেশ করে তাহলে কী হবে?")</f>
        <v>টাইমআউটের সময় যদি উভয় দলই কোর্টে প্রবেশ করে তাহলে কী হবে?</v>
      </c>
      <c r="J126" s="4" t="str">
        <f>IFERROR(__xludf.DUMMYFUNCTION("GOOGLETRANSLATE(C126, ""en"", ""bn"")"),"ক) সতর্কীকরণ, খ) বাজেয়াপ্ত, গ) রিপ্লে, ঘ) কোন জরিমানা নেই")</f>
        <v>ক) সতর্কীকরণ, খ) বাজেয়াপ্ত, গ) রিপ্লে, ঘ) কোন জরিমানা নেই</v>
      </c>
      <c r="K126" s="4" t="str">
        <f>IFERROR(__xludf.DUMMYFUNCTION("GOOGLETRANSLATE(D126, ""en"", ""bn"")"),"ক) সতর্কতা")</f>
        <v>ক) সতর্কতা</v>
      </c>
      <c r="L126" s="4" t="str">
        <f>IFERROR(__xludf.DUMMYFUNCTION("GOOGLETRANSLATE(E126, ""en"", ""bn"")"),"টাইমআউটের সময় উভয় দলকেই মাঠের বাইরে থাকতে হবে।")</f>
        <v>টাইমআউটের সময় উভয় দলকেই মাঠের বাইরে থাকতে হবে।</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31.25"/>
    <col customWidth="1" min="5" max="5" width="37.63"/>
    <col customWidth="1" min="10" max="11" width="37.63"/>
    <col customWidth="1" min="12" max="12" width="33.0"/>
    <col customWidth="1" min="13" max="13" width="37.63"/>
  </cols>
  <sheetData>
    <row r="1">
      <c r="A1" s="1" t="s">
        <v>0</v>
      </c>
      <c r="B1" s="1" t="s">
        <v>1</v>
      </c>
      <c r="C1" s="1" t="s">
        <v>2</v>
      </c>
      <c r="D1" s="1" t="s">
        <v>3</v>
      </c>
      <c r="E1" s="1" t="s">
        <v>4</v>
      </c>
      <c r="I1" s="2" t="s">
        <v>5</v>
      </c>
      <c r="J1" s="2" t="s">
        <v>6</v>
      </c>
      <c r="K1" s="2" t="s">
        <v>7</v>
      </c>
      <c r="L1" s="2" t="s">
        <v>8</v>
      </c>
      <c r="M1" s="2" t="s">
        <v>9</v>
      </c>
    </row>
    <row r="2">
      <c r="A2" s="3">
        <v>1.0</v>
      </c>
      <c r="B2" s="3" t="s">
        <v>1882</v>
      </c>
      <c r="C2" s="3" t="s">
        <v>1883</v>
      </c>
      <c r="D2" s="3" t="s">
        <v>1884</v>
      </c>
      <c r="E2" s="3" t="s">
        <v>1885</v>
      </c>
      <c r="I2" s="4" t="str">
        <f>IFERROR(__xludf.DUMMYFUNCTION("GOOGLETRANSLATE(A2, ""en"", ""bn"")"),"১")</f>
        <v>১</v>
      </c>
      <c r="J2" s="4" t="str">
        <f>IFERROR(__xludf.DUMMYFUNCTION("GOOGLETRANSLATE(B2, ""en"", ""bn"")"),"লাঠিখেলায় ব্যবহৃত প্রাথমিক অস্ত্র কী?")</f>
        <v>লাঠিখেলায় ব্যবহৃত প্রাথমিক অস্ত্র কী?</v>
      </c>
      <c r="K2" s="4" t="str">
        <f>IFERROR(__xludf.DUMMYFUNCTION("GOOGLETRANSLATE(C2, ""en"", ""bn"")"),"ক) তরবারি, খ) ঢাল, গ) লাঠি, ঘ) ছোরা")</f>
        <v>ক) তরবারি, খ) ঢাল, গ) লাঠি, ঘ) ছোরা</v>
      </c>
      <c r="L2" s="4" t="str">
        <f>IFERROR(__xludf.DUMMYFUNCTION("GOOGLETRANSLATE(D2, ""en"", ""bn"")"),"গ) লাঠি")</f>
        <v>গ) লাঠি</v>
      </c>
      <c r="M2" s="4" t="str">
        <f>IFERROR(__xludf.DUMMYFUNCTION("GOOGLETRANSLATE(E2, ""en"", ""bn"")"),"লাঠি খেলা ঐতিহ্যগতভাবে একটি লম্বা কাঠের লাঠি দিয়ে খেলা হয়, যা 'লাঠি' নামে পরিচিত।")</f>
        <v>লাঠি খেলা ঐতিহ্যগতভাবে একটি লম্বা কাঠের লাঠি দিয়ে খেলা হয়, যা 'লাঠি' নামে পরিচিত।</v>
      </c>
    </row>
    <row r="3">
      <c r="A3" s="3">
        <v>2.0</v>
      </c>
      <c r="B3" s="3" t="s">
        <v>1886</v>
      </c>
      <c r="C3" s="3" t="s">
        <v>1887</v>
      </c>
      <c r="D3" s="3" t="s">
        <v>1888</v>
      </c>
      <c r="E3" s="3" t="s">
        <v>1889</v>
      </c>
      <c r="I3" s="4" t="str">
        <f>IFERROR(__xludf.DUMMYFUNCTION("GOOGLETRANSLATE(A3, ""en"", ""bn"")"),"২")</f>
        <v>২</v>
      </c>
      <c r="J3" s="4" t="str">
        <f>IFERROR(__xludf.DUMMYFUNCTION("GOOGLETRANSLATE(B3, ""en"", ""bn"")"),"লাঠিখেলায় প্রতিটি দলে সাধারণত কতজন খেলোয়াড় থাকে?")</f>
        <v>লাঠিখেলায় প্রতিটি দলে সাধারণত কতজন খেলোয়াড় থাকে?</v>
      </c>
      <c r="K3" s="4" t="str">
        <f>IFERROR(__xludf.DUMMYFUNCTION("GOOGLETRANSLATE(C3, ""en"", ""bn"")"),"ক) ৫, খ) ১০, গ) ১৫, ঘ) ২০")</f>
        <v>ক) ৫, খ) ১০, গ) ১৫, ঘ) ২০</v>
      </c>
      <c r="L3" s="4" t="str">
        <f>IFERROR(__xludf.DUMMYFUNCTION("GOOGLETRANSLATE(D3, ""en"", ""bn"")"),"খ) ১০")</f>
        <v>খ) ১০</v>
      </c>
      <c r="M3" s="4" t="str">
        <f>IFERROR(__xludf.DUMMYFUNCTION("GOOGLETRANSLATE(E3, ""en"", ""bn"")"),"লাঠিখেলায় প্রতিটি দলে সাধারণত ১০ জন খেলোয়াড় থাকে।")</f>
        <v>লাঠিখেলায় প্রতিটি দলে সাধারণত ১০ জন খেলোয়াড় থাকে।</v>
      </c>
    </row>
    <row r="4">
      <c r="A4" s="3">
        <v>3.0</v>
      </c>
      <c r="B4" s="3" t="s">
        <v>1890</v>
      </c>
      <c r="C4" s="3" t="s">
        <v>1891</v>
      </c>
      <c r="D4" s="3" t="s">
        <v>1892</v>
      </c>
      <c r="E4" s="3" t="s">
        <v>1893</v>
      </c>
      <c r="I4" s="4" t="str">
        <f>IFERROR(__xludf.DUMMYFUNCTION("GOOGLETRANSLATE(A4, ""en"", ""bn"")"),"৩")</f>
        <v>৩</v>
      </c>
      <c r="J4" s="4" t="str">
        <f>IFERROR(__xludf.DUMMYFUNCTION("GOOGLETRANSLATE(B4, ""en"", ""bn"")"),"লাঠি খেলায় খেলার মূল লক্ষ্য কী?")</f>
        <v>লাঠি খেলায় খেলার মূল লক্ষ্য কী?</v>
      </c>
      <c r="K4" s="4" t="str">
        <f>IFERROR(__xludf.DUMMYFUNCTION("GOOGLETRANSLATE(C4, ""en"", ""bn"")"),"ক) গোল করা, খ) প্রতিপক্ষকে নক আউট করা, গ) পতাকা ধরা, ঘ) অঞ্চল রক্ষা করা")</f>
        <v>ক) গোল করা, খ) প্রতিপক্ষকে নক আউট করা, গ) পতাকা ধরা, ঘ) অঞ্চল রক্ষা করা</v>
      </c>
      <c r="L4" s="4" t="str">
        <f>IFERROR(__xludf.DUMMYFUNCTION("GOOGLETRANSLATE(D4, ""en"", ""bn"")"),"খ) প্রতিপক্ষকে নক আউট করা")</f>
        <v>খ) প্রতিপক্ষকে নক আউট করা</v>
      </c>
      <c r="M4" s="4" t="str">
        <f>IFERROR(__xludf.DUMMYFUNCTION("GOOGLETRANSLATE(E4, ""en"", ""bn"")"),"মূল লক্ষ্য হলো লাঠি দিয়ে আঘাত করে প্রতিপক্ষকে ছিটকে দেওয়া।")</f>
        <v>মূল লক্ষ্য হলো লাঠি দিয়ে আঘাত করে প্রতিপক্ষকে ছিটকে দেওয়া।</v>
      </c>
    </row>
    <row r="5">
      <c r="A5" s="3">
        <v>4.0</v>
      </c>
      <c r="B5" s="3" t="s">
        <v>1894</v>
      </c>
      <c r="C5" s="3" t="s">
        <v>1895</v>
      </c>
      <c r="D5" s="3" t="s">
        <v>1896</v>
      </c>
      <c r="E5" s="3" t="s">
        <v>1897</v>
      </c>
      <c r="I5" s="4" t="str">
        <f>IFERROR(__xludf.DUMMYFUNCTION("GOOGLETRANSLATE(A5, ""en"", ""bn"")"),"৪")</f>
        <v>৪</v>
      </c>
      <c r="J5" s="4" t="str">
        <f>IFERROR(__xludf.DUMMYFUNCTION("GOOGLETRANSLATE(B5, ""en"", ""bn"")"),"লাঠি খেলায় লাঠি বলতে কী বোঝায়?")</f>
        <v>লাঠি খেলায় লাঠি বলতে কী বোঝায়?</v>
      </c>
      <c r="K5" s="4" t="str">
        <f>IFERROR(__xludf.DUMMYFUNCTION("GOOGLETRANSLATE(C5, ""en"", ""bn"")"),"A) গদা, B) লাঠি, C) ডান্ডা, D) পাত্তা")</f>
        <v>A) গদা, B) লাঠি, C) ডান্ডা, D) পাত্তা</v>
      </c>
      <c r="L5" s="4" t="str">
        <f>IFERROR(__xludf.DUMMYFUNCTION("GOOGLETRANSLATE(D5, ""en"", ""bn"")"),"খ) লাঠি")</f>
        <v>খ) লাঠি</v>
      </c>
      <c r="M5" s="4" t="str">
        <f>IFERROR(__xludf.DUMMYFUNCTION("GOOGLETRANSLATE(E5, ""en"", ""bn"")"),"লাঠিখেলায় ব্যবহৃত লাঠিকে 'লাঠি' বলা হয়।")</f>
        <v>লাঠিখেলায় ব্যবহৃত লাঠিকে 'লাঠি' বলা হয়।</v>
      </c>
    </row>
    <row r="6">
      <c r="A6" s="3">
        <v>5.0</v>
      </c>
      <c r="B6" s="3" t="s">
        <v>1898</v>
      </c>
      <c r="C6" s="3" t="s">
        <v>1899</v>
      </c>
      <c r="D6" s="3" t="s">
        <v>1066</v>
      </c>
      <c r="E6" s="3" t="s">
        <v>1900</v>
      </c>
      <c r="I6" s="4" t="str">
        <f>IFERROR(__xludf.DUMMYFUNCTION("GOOGLETRANSLATE(A6, ""en"", ""bn"")"),"৫")</f>
        <v>৫</v>
      </c>
      <c r="J6" s="4" t="str">
        <f>IFERROR(__xludf.DUMMYFUNCTION("GOOGLETRANSLATE(B6, ""en"", ""bn"")"),"লাঠিখেলায়, খেলার সময়সীমা কত?")</f>
        <v>লাঠিখেলায়, খেলার সময়সীমা কত?</v>
      </c>
      <c r="K6" s="4" t="str">
        <f>IFERROR(__xludf.DUMMYFUNCTION("GOOGLETRANSLATE(C6, ""en"", ""bn"")"),"ক) ৩০ মিনিট, খ) ৬০ মিনিট, গ) ৯০ মিনিট, ঘ) কোন সময়সীমা নেই")</f>
        <v>ক) ৩০ মিনিট, খ) ৬০ মিনিট, গ) ৯০ মিনিট, ঘ) কোন সময়সীমা নেই</v>
      </c>
      <c r="L6" s="4" t="str">
        <f>IFERROR(__xludf.DUMMYFUNCTION("GOOGLETRANSLATE(D6, ""en"", ""bn"")"),"ঘ) কোন সময়সীমা নেই")</f>
        <v>ঘ) কোন সময়সীমা নেই</v>
      </c>
      <c r="M6" s="4" t="str">
        <f>IFERROR(__xludf.DUMMYFUNCTION("GOOGLETRANSLATE(E6, ""en"", ""bn"")"),"লাঠি খেলায় সাধারণত কোন নির্দিষ্ট সময়সীমা থাকে না এবং একটি দল পরাজিত না হওয়া পর্যন্ত খেলা হয়।")</f>
        <v>লাঠি খেলায় সাধারণত কোন নির্দিষ্ট সময়সীমা থাকে না এবং একটি দল পরাজিত না হওয়া পর্যন্ত খেলা হয়।</v>
      </c>
    </row>
    <row r="7">
      <c r="A7" s="3">
        <v>6.0</v>
      </c>
      <c r="B7" s="3" t="s">
        <v>1901</v>
      </c>
      <c r="C7" s="3" t="s">
        <v>1902</v>
      </c>
      <c r="D7" s="3" t="s">
        <v>1903</v>
      </c>
      <c r="E7" s="3" t="s">
        <v>1904</v>
      </c>
      <c r="I7" s="4" t="str">
        <f>IFERROR(__xludf.DUMMYFUNCTION("GOOGLETRANSLATE(A7, ""en"", ""bn"")"),"৬")</f>
        <v>৬</v>
      </c>
      <c r="J7" s="4" t="str">
        <f>IFERROR(__xludf.DUMMYFUNCTION("GOOGLETRANSLATE(B7, ""en"", ""bn"")"),"লাঠিখেলায় নেতার ভূমিকা কী?")</f>
        <v>লাঠিখেলায় নেতার ভূমিকা কী?</v>
      </c>
      <c r="K7" s="4" t="str">
        <f>IFERROR(__xludf.DUMMYFUNCTION("GOOGLETRANSLATE(C7, ""en"", ""bn"")"),"ক) আক্রমণের নেতৃত্ব দেওয়া, খ) প্রতিরক্ষার নেতৃত্ব দেওয়া, গ) দলকে নির্দেশনা দেওয়া, ঘ) নিয়ম বলবৎ করা")</f>
        <v>ক) আক্রমণের নেতৃত্ব দেওয়া, খ) প্রতিরক্ষার নেতৃত্ব দেওয়া, গ) দলকে নির্দেশনা দেওয়া, ঘ) নিয়ম বলবৎ করা</v>
      </c>
      <c r="L7" s="4" t="str">
        <f>IFERROR(__xludf.DUMMYFUNCTION("GOOGLETRANSLATE(D7, ""en"", ""bn"")"),"গ) দলকে পরিচালনা করা")</f>
        <v>গ) দলকে পরিচালনা করা</v>
      </c>
      <c r="M7" s="4" t="str">
        <f>IFERROR(__xludf.DUMMYFUNCTION("GOOGLETRANSLATE(E7, ""en"", ""bn"")"),"লাঠিখেলায় দলের কৌশল এবং সামগ্রিক গেমপ্লে পরিচালনা করেন নেতা।")</f>
        <v>লাঠিখেলায় দলের কৌশল এবং সামগ্রিক গেমপ্লে পরিচালনা করেন নেতা।</v>
      </c>
    </row>
    <row r="8">
      <c r="A8" s="3">
        <v>7.0</v>
      </c>
      <c r="B8" s="3" t="s">
        <v>1905</v>
      </c>
      <c r="C8" s="3" t="s">
        <v>1906</v>
      </c>
      <c r="D8" s="3" t="s">
        <v>1907</v>
      </c>
      <c r="E8" s="3" t="s">
        <v>1908</v>
      </c>
      <c r="I8" s="4" t="str">
        <f>IFERROR(__xludf.DUMMYFUNCTION("GOOGLETRANSLATE(A8, ""en"", ""bn"")"),"৭")</f>
        <v>৭</v>
      </c>
      <c r="J8" s="4" t="str">
        <f>IFERROR(__xludf.DUMMYFUNCTION("GOOGLETRANSLATE(B8, ""en"", ""bn"")"),"লাঠিখেলায় ব্যবহৃত একটি সাধারণ কৌশল কী?")</f>
        <v>লাঠিখেলায় ব্যবহৃত একটি সাধারণ কৌশল কী?</v>
      </c>
      <c r="K8" s="4" t="str">
        <f>IFERROR(__xludf.DUMMYFUNCTION("GOOGLETRANSLATE(C8, ""en"", ""bn"")"),"ক) প্রতিপক্ষের উপর লাফিয়ে পড়া, খ) প্রতিপক্ষকে ছাড়িয়ে যাওয়া, গ) প্রতিপক্ষকে নিরস্ত্র করা, ঘ) দলগতভাবে আঘাত করা")</f>
        <v>ক) প্রতিপক্ষের উপর লাফিয়ে পড়া, খ) প্রতিপক্ষকে ছাড়িয়ে যাওয়া, গ) প্রতিপক্ষকে নিরস্ত্র করা, ঘ) দলগতভাবে আঘাত করা</v>
      </c>
      <c r="L8" s="4" t="str">
        <f>IFERROR(__xludf.DUMMYFUNCTION("GOOGLETRANSLATE(D8, ""en"", ""bn"")"),"ঘ) আঘাত হানার জন্য দলগত কাজ ব্যবহার করা")</f>
        <v>ঘ) আঘাত হানার জন্য দলগত কাজ ব্যবহার করা</v>
      </c>
      <c r="M8" s="4" t="str">
        <f>IFERROR(__xludf.DUMMYFUNCTION("GOOGLETRANSLATE(E8, ""en"", ""bn"")"),"লাঠিখেলায় দলগত কাজ অত্যন্ত গুরুত্বপূর্ণ, খেলোয়াড়রা সমন্বিত স্ট্রাইক এবং প্রতিরক্ষা ব্যবহার করে।")</f>
        <v>লাঠিখেলায় দলগত কাজ অত্যন্ত গুরুত্বপূর্ণ, খেলোয়াড়রা সমন্বিত স্ট্রাইক এবং প্রতিরক্ষা ব্যবহার করে।</v>
      </c>
    </row>
    <row r="9">
      <c r="A9" s="3">
        <v>8.0</v>
      </c>
      <c r="B9" s="3" t="s">
        <v>1909</v>
      </c>
      <c r="C9" s="3" t="s">
        <v>1910</v>
      </c>
      <c r="D9" s="3" t="s">
        <v>1911</v>
      </c>
      <c r="E9" s="3" t="s">
        <v>1912</v>
      </c>
      <c r="I9" s="4" t="str">
        <f>IFERROR(__xludf.DUMMYFUNCTION("GOOGLETRANSLATE(A9, ""en"", ""bn"")"),"৮")</f>
        <v>৮</v>
      </c>
      <c r="J9" s="4" t="str">
        <f>IFERROR(__xludf.DUMMYFUNCTION("GOOGLETRANSLATE(B9, ""en"", ""bn"")"),"লাঠিখেলায় নিচের কোনটি নিষিদ্ধ?")</f>
        <v>লাঠিখেলায় নিচের কোনটি নিষিদ্ধ?</v>
      </c>
      <c r="K9" s="4" t="str">
        <f>IFERROR(__xludf.DUMMYFUNCTION("GOOGLETRANSLATE(C9, ""en"", ""bn"")"),"ক) লাঠি দিয়ে আঘাত করা, খ) খালি হাতে আক্রমণ করা, গ) লাঠি নিক্ষেপ করা, ঘ) ঢাল দিয়ে রক্ষা করা")</f>
        <v>ক) লাঠি দিয়ে আঘাত করা, খ) খালি হাতে আক্রমণ করা, গ) লাঠি নিক্ষেপ করা, ঘ) ঢাল দিয়ে রক্ষা করা</v>
      </c>
      <c r="L9" s="4" t="str">
        <f>IFERROR(__xludf.DUMMYFUNCTION("GOOGLETRANSLATE(D9, ""en"", ""bn"")"),"ঘ) ঢাল দিয়ে রক্ষা করা")</f>
        <v>ঘ) ঢাল দিয়ে রক্ষা করা</v>
      </c>
      <c r="M9" s="4" t="str">
        <f>IFERROR(__xludf.DUMMYFUNCTION("GOOGLETRANSLATE(E9, ""en"", ""bn"")"),"লাঠি খেলায় ঢাল সরঞ্জামের অংশ নয়; খেলাটিতে আক্রমণ এবং প্রতিরক্ষার জন্য লাঠি ব্যবহারের উপর জোর দেওয়া হয়।")</f>
        <v>লাঠি খেলায় ঢাল সরঞ্জামের অংশ নয়; খেলাটিতে আক্রমণ এবং প্রতিরক্ষার জন্য লাঠি ব্যবহারের উপর জোর দেওয়া হয়।</v>
      </c>
    </row>
    <row r="10">
      <c r="A10" s="3">
        <v>9.0</v>
      </c>
      <c r="B10" s="3" t="s">
        <v>1913</v>
      </c>
      <c r="C10" s="3" t="s">
        <v>1914</v>
      </c>
      <c r="D10" s="3" t="s">
        <v>1915</v>
      </c>
      <c r="E10" s="3" t="s">
        <v>1916</v>
      </c>
      <c r="I10" s="4" t="str">
        <f>IFERROR(__xludf.DUMMYFUNCTION("GOOGLETRANSLATE(A10, ""en"", ""bn"")"),"৯")</f>
        <v>৯</v>
      </c>
      <c r="J10" s="4" t="str">
        <f>IFERROR(__xludf.DUMMYFUNCTION("GOOGLETRANSLATE(B10, ""en"", ""bn"")"),"লাঠিখেলায় একজন খেলোয়াড় কীভাবে 'নকআউট' হয়?")</f>
        <v>লাঠিখেলায় একজন খেলোয়াড় কীভাবে 'নকআউট' হয়?</v>
      </c>
      <c r="K10" s="4" t="str">
        <f>IFERROR(__xludf.DUMMYFUNCTION("GOOGLETRANSLATE(C10, ""en"", ""bn"")"),"ক) মাথায় আঘাত করলে, খ) পায়ে আঘাত করলে, গ) যদি তাদের লাঠি ভেঙে যায়, ঘ) যদি তারা মাটিতে পড়ে যায়")</f>
        <v>ক) মাথায় আঘাত করলে, খ) পায়ে আঘাত করলে, গ) যদি তাদের লাঠি ভেঙে যায়, ঘ) যদি তারা মাটিতে পড়ে যায়</v>
      </c>
      <c r="L10" s="4" t="str">
        <f>IFERROR(__xludf.DUMMYFUNCTION("GOOGLETRANSLATE(D10, ""en"", ""bn"")"),"ক) মাথায় আঘাত করলে")</f>
        <v>ক) মাথায় আঘাত করলে</v>
      </c>
      <c r="M10" s="4" t="str">
        <f>IFERROR(__xludf.DUMMYFUNCTION("GOOGLETRANSLATE(E10, ""en"", ""bn"")"),"প্রতিপক্ষের লাঠিতে যদি কোনও খেলোয়াড়ের মাথায় আঘাত লাগে, তাহলে তাকে বাদ বলে গণ্য করা হবে।")</f>
        <v>প্রতিপক্ষের লাঠিতে যদি কোনও খেলোয়াড়ের মাথায় আঘাত লাগে, তাহলে তাকে বাদ বলে গণ্য করা হবে।</v>
      </c>
    </row>
    <row r="11">
      <c r="A11" s="3">
        <v>10.0</v>
      </c>
      <c r="B11" s="3" t="s">
        <v>1917</v>
      </c>
      <c r="C11" s="3" t="s">
        <v>1918</v>
      </c>
      <c r="D11" s="3" t="s">
        <v>1919</v>
      </c>
      <c r="E11" s="3" t="s">
        <v>1920</v>
      </c>
      <c r="I11" s="4" t="str">
        <f>IFERROR(__xludf.DUMMYFUNCTION("GOOGLETRANSLATE(A11, ""en"", ""bn"")"),"১০")</f>
        <v>১০</v>
      </c>
      <c r="J11" s="4" t="str">
        <f>IFERROR(__xludf.DUMMYFUNCTION("GOOGLETRANSLATE(B11, ""en"", ""bn"")"),"লাঠি খেলায় সাধারণত কোন ধরণের পাদুকা পরা হয়?")</f>
        <v>লাঠি খেলায় সাধারণত কোন ধরণের পাদুকা পরা হয়?</v>
      </c>
      <c r="K11" s="4" t="str">
        <f>IFERROR(__xludf.DUMMYFUNCTION("GOOGLETRANSLATE(C11, ""en"", ""bn"")"),"ক) স্যান্ডেল, খ) খালি পায়ে, গ) স্নিকার্স, ঘ) বুট")</f>
        <v>ক) স্যান্ডেল, খ) খালি পায়ে, গ) স্নিকার্স, ঘ) বুট</v>
      </c>
      <c r="L11" s="4" t="str">
        <f>IFERROR(__xludf.DUMMYFUNCTION("GOOGLETRANSLATE(D11, ""en"", ""bn"")"),"খ) খালি পায়ে")</f>
        <v>খ) খালি পায়ে</v>
      </c>
      <c r="M11" s="4" t="str">
        <f>IFERROR(__xludf.DUMMYFUNCTION("GOOGLETRANSLATE(E11, ""en"", ""bn"")"),"খেলোয়াড়রা সাধারণত নগ্ন পায়ে লাঠি খেলা খেলে যাতে গতিশীলতা এবং গ্রিপ ভালো থাকে।")</f>
        <v>খেলোয়াড়রা সাধারণত নগ্ন পায়ে লাঠি খেলা খেলে যাতে গতিশীলতা এবং গ্রিপ ভালো থাকে।</v>
      </c>
    </row>
    <row r="12">
      <c r="A12" s="3">
        <v>11.0</v>
      </c>
      <c r="B12" s="3" t="s">
        <v>1921</v>
      </c>
      <c r="C12" s="3" t="s">
        <v>1922</v>
      </c>
      <c r="D12" s="3" t="s">
        <v>1923</v>
      </c>
      <c r="E12" s="3" t="s">
        <v>1924</v>
      </c>
      <c r="I12" s="4" t="str">
        <f>IFERROR(__xludf.DUMMYFUNCTION("GOOGLETRANSLATE(A12, ""en"", ""bn"")"),"১১")</f>
        <v>১১</v>
      </c>
      <c r="J12" s="4" t="str">
        <f>IFERROR(__xludf.DUMMYFUNCTION("GOOGLETRANSLATE(B12, ""en"", ""bn"")"),"লাঠিখেলায় দলগুলি কীভাবে জিতবে?")</f>
        <v>লাঠিখেলায় দলগুলি কীভাবে জিতবে?</v>
      </c>
      <c r="K12" s="4" t="str">
        <f>IFERROR(__xludf.DUMMYFUNCTION("GOOGLETRANSLATE(C12, ""en"", ""bn"")"),"ক) সকল প্রতিপক্ষ খেলোয়াড়কে বাদ দিয়ে, খ) সর্বাধিক হিট স্কোর করে, গ) প্রতিপক্ষের পতাকা ধরে, ঘ) সর্বাধিক স্ট্রাইক ব্লক করে")</f>
        <v>ক) সকল প্রতিপক্ষ খেলোয়াড়কে বাদ দিয়ে, খ) সর্বাধিক হিট স্কোর করে, গ) প্রতিপক্ষের পতাকা ধরে, ঘ) সর্বাধিক স্ট্রাইক ব্লক করে</v>
      </c>
      <c r="L12" s="4" t="str">
        <f>IFERROR(__xludf.DUMMYFUNCTION("GOOGLETRANSLATE(D12, ""en"", ""bn"")"),"ক) সমস্ত প্রতিপক্ষ খেলোয়াড়দের বাদ দিয়ে")</f>
        <v>ক) সমস্ত প্রতিপক্ষ খেলোয়াড়দের বাদ দিয়ে</v>
      </c>
      <c r="M12" s="4" t="str">
        <f>IFERROR(__xludf.DUMMYFUNCTION("GOOGLETRANSLATE(E12, ""en"", ""bn"")"),"প্রতিপক্ষ দলের সকল খেলোয়াড়কে ছিটকে দিয়ে একটি দল জয়ী হয়।")</f>
        <v>প্রতিপক্ষ দলের সকল খেলোয়াড়কে ছিটকে দিয়ে একটি দল জয়ী হয়।</v>
      </c>
    </row>
    <row r="13">
      <c r="A13" s="3">
        <v>12.0</v>
      </c>
      <c r="B13" s="3" t="s">
        <v>1925</v>
      </c>
      <c r="C13" s="3" t="s">
        <v>1926</v>
      </c>
      <c r="D13" s="3" t="s">
        <v>1927</v>
      </c>
      <c r="E13" s="3" t="s">
        <v>1928</v>
      </c>
      <c r="I13" s="4" t="str">
        <f>IFERROR(__xludf.DUMMYFUNCTION("GOOGLETRANSLATE(A13, ""en"", ""bn"")"),"১২")</f>
        <v>১২</v>
      </c>
      <c r="J13" s="4" t="str">
        <f>IFERROR(__xludf.DUMMYFUNCTION("GOOGLETRANSLATE(B13, ""en"", ""bn"")"),"লাঠি খেলা শব্দের 'খেলা' অর্থ কী?")</f>
        <v>লাঠি খেলা শব্দের 'খেলা' অর্থ কী?</v>
      </c>
      <c r="K13" s="4" t="str">
        <f>IFERROR(__xludf.DUMMYFUNCTION("GOOGLETRANSLATE(C13, ""en"", ""bn"")"),"ক) অস্ত্র, খ) খেলা, গ) শক্তি, ঘ) যুদ্ধ")</f>
        <v>ক) অস্ত্র, খ) খেলা, গ) শক্তি, ঘ) যুদ্ধ</v>
      </c>
      <c r="L13" s="4" t="str">
        <f>IFERROR(__xludf.DUMMYFUNCTION("GOOGLETRANSLATE(D13, ""en"", ""bn"")"),"খ) খেলা")</f>
        <v>খ) খেলা</v>
      </c>
      <c r="M13" s="4" t="str">
        <f>IFERROR(__xludf.DUMMYFUNCTION("GOOGLETRANSLATE(E13, ""en"", ""bn"")"),"'খেলা' শব্দটির বাংলা অর্থ 'খেলা'।")</f>
        <v>'খেলা' শব্দটির বাংলা অর্থ 'খেলা'।</v>
      </c>
    </row>
    <row r="14">
      <c r="A14" s="3">
        <v>13.0</v>
      </c>
      <c r="B14" s="3" t="s">
        <v>1929</v>
      </c>
      <c r="C14" s="3" t="s">
        <v>1930</v>
      </c>
      <c r="D14" s="3" t="s">
        <v>238</v>
      </c>
      <c r="E14" s="3" t="s">
        <v>1931</v>
      </c>
      <c r="I14" s="4" t="str">
        <f>IFERROR(__xludf.DUMMYFUNCTION("GOOGLETRANSLATE(A14, ""en"", ""bn"")"),"১৩")</f>
        <v>১৩</v>
      </c>
      <c r="J14" s="4" t="str">
        <f>IFERROR(__xludf.DUMMYFUNCTION("GOOGLETRANSLATE(B14, ""en"", ""bn"")"),"লাঠিখেলার জন্য কী ধরণের প্রশিক্ষণ জড়িত?")</f>
        <v>লাঠিখেলার জন্য কী ধরণের প্রশিক্ষণ জড়িত?</v>
      </c>
      <c r="K14" s="4" t="str">
        <f>IFERROR(__xludf.DUMMYFUNCTION("GOOGLETRANSLATE(C14, ""en"", ""bn"")"),"ক) শারীরিক কন্ডিশনিং, খ) মার্শাল আর্ট কৌশল, গ) দলের সমন্বয়, ঘ) উপরের সবগুলো")</f>
        <v>ক) শারীরিক কন্ডিশনিং, খ) মার্শাল আর্ট কৌশল, গ) দলের সমন্বয়, ঘ) উপরের সবগুলো</v>
      </c>
      <c r="L14" s="4" t="str">
        <f>IFERROR(__xludf.DUMMYFUNCTION("GOOGLETRANSLATE(D14, ""en"", ""bn"")"),"ঘ) উপরের সবগুলো")</f>
        <v>ঘ) উপরের সবগুলো</v>
      </c>
      <c r="M14" s="4" t="str">
        <f>IFERROR(__xludf.DUMMYFUNCTION("GOOGLETRANSLATE(E14, ""en"", ""bn"")"),"খেলোয়াড়দের শারীরিক কন্ডিশনিং, মার্শাল আর্ট কৌশল এবং সমন্বয় প্রশিক্ষণ দেওয়া হয়।")</f>
        <v>খেলোয়াড়দের শারীরিক কন্ডিশনিং, মার্শাল আর্ট কৌশল এবং সমন্বয় প্রশিক্ষণ দেওয়া হয়।</v>
      </c>
    </row>
    <row r="15">
      <c r="A15" s="3">
        <v>14.0</v>
      </c>
      <c r="B15" s="3" t="s">
        <v>1932</v>
      </c>
      <c r="C15" s="3" t="s">
        <v>1933</v>
      </c>
      <c r="D15" s="3" t="s">
        <v>1934</v>
      </c>
      <c r="E15" s="3" t="s">
        <v>1935</v>
      </c>
      <c r="I15" s="4" t="str">
        <f>IFERROR(__xludf.DUMMYFUNCTION("GOOGLETRANSLATE(A15, ""en"", ""bn"")"),"১৪")</f>
        <v>১৪</v>
      </c>
      <c r="J15" s="4" t="str">
        <f>IFERROR(__xludf.DUMMYFUNCTION("GOOGLETRANSLATE(B15, ""en"", ""bn"")"),"লাঠি খেলা সাধারণত কোথায় খেলা হয়?")</f>
        <v>লাঠি খেলা সাধারণত কোথায় খেলা হয়?</v>
      </c>
      <c r="K15" s="4" t="str">
        <f>IFERROR(__xludf.DUMMYFUNCTION("GOOGLETRANSLATE(C15, ""en"", ""bn"")"),"ক) শহরাঞ্চলে, খ) মাঠে, গ) জিমনেসিয়ামে, ঘ) খেলার মাঠে")</f>
        <v>ক) শহরাঞ্চলে, খ) মাঠে, গ) জিমনেসিয়ামে, ঘ) খেলার মাঠে</v>
      </c>
      <c r="L15" s="4" t="str">
        <f>IFERROR(__xludf.DUMMYFUNCTION("GOOGLETRANSLATE(D15, ""en"", ""bn"")"),"খ) মাঠে")</f>
        <v>খ) মাঠে</v>
      </c>
      <c r="M15" s="4" t="str">
        <f>IFERROR(__xludf.DUMMYFUNCTION("GOOGLETRANSLATE(E15, ""en"", ""bn"")"),"লাঠি খেলা সাধারণত খোলা মাঠে খেলা হয় যাতে চলাচলের জন্য জায়গা থাকে।")</f>
        <v>লাঠি খেলা সাধারণত খোলা মাঠে খেলা হয় যাতে চলাচলের জন্য জায়গা থাকে।</v>
      </c>
    </row>
    <row r="16">
      <c r="A16" s="3">
        <v>15.0</v>
      </c>
      <c r="B16" s="3" t="s">
        <v>1936</v>
      </c>
      <c r="C16" s="3" t="s">
        <v>1937</v>
      </c>
      <c r="D16" s="3" t="s">
        <v>1938</v>
      </c>
      <c r="E16" s="3" t="s">
        <v>1939</v>
      </c>
      <c r="I16" s="4" t="str">
        <f>IFERROR(__xludf.DUMMYFUNCTION("GOOGLETRANSLATE(A16, ""en"", ""bn"")"),"১৫")</f>
        <v>১৫</v>
      </c>
      <c r="J16" s="4" t="str">
        <f>IFERROR(__xludf.DUMMYFUNCTION("GOOGLETRANSLATE(B16, ""en"", ""bn"")"),"লাঠিখেলায়, শরীরের কোন অংশে আঘাত করা হয়?")</f>
        <v>লাঠিখেলায়, শরীরের কোন অংশে আঘাত করা হয়?</v>
      </c>
      <c r="K16" s="4" t="str">
        <f>IFERROR(__xludf.DUMMYFUNCTION("GOOGLETRANSLATE(C16, ""en"", ""bn"")"),"ক) পা, খ) বাহু, গ) মাথা, ঘ) ধড়")</f>
        <v>ক) পা, খ) বাহু, গ) মাথা, ঘ) ধড়</v>
      </c>
      <c r="L16" s="4" t="str">
        <f>IFERROR(__xludf.DUMMYFUNCTION("GOOGLETRANSLATE(D16, ""en"", ""bn"")"),"গ) মাথা")</f>
        <v>গ) মাথা</v>
      </c>
      <c r="M16" s="4" t="str">
        <f>IFERROR(__xludf.DUMMYFUNCTION("GOOGLETRANSLATE(E16, ""en"", ""bn"")"),"প্রতিপক্ষকে নক আউট করার লক্ষ্যে স্ট্রাইকের সবচেয়ে সাধারণ লক্ষ্য হল মাথা।")</f>
        <v>প্রতিপক্ষকে নক আউট করার লক্ষ্যে স্ট্রাইকের সবচেয়ে সাধারণ লক্ষ্য হল মাথা।</v>
      </c>
    </row>
    <row r="17">
      <c r="A17" s="3">
        <v>16.0</v>
      </c>
      <c r="B17" s="3" t="s">
        <v>1940</v>
      </c>
      <c r="C17" s="3" t="s">
        <v>1941</v>
      </c>
      <c r="D17" s="3" t="s">
        <v>1942</v>
      </c>
      <c r="E17" s="3" t="s">
        <v>1943</v>
      </c>
      <c r="I17" s="4" t="str">
        <f>IFERROR(__xludf.DUMMYFUNCTION("GOOGLETRANSLATE(A17, ""en"", ""bn"")"),"১৬")</f>
        <v>১৬</v>
      </c>
      <c r="J17" s="4" t="str">
        <f>IFERROR(__xludf.DUMMYFUNCTION("GOOGLETRANSLATE(B17, ""en"", ""bn"")"),"খেলায় ব্যবহৃত লাঠির সর্বোচ্চ দৈর্ঘ্য কত?")</f>
        <v>খেলায় ব্যবহৃত লাঠির সর্বোচ্চ দৈর্ঘ্য কত?</v>
      </c>
      <c r="K17" s="4" t="str">
        <f>IFERROR(__xludf.DUMMYFUNCTION("GOOGLETRANSLATE(C17, ""en"", ""bn"")"),"ক) ৩ ফুট, খ) ৫ ফুট, গ) ৭ ফুট, ঘ) ৯ ফুট")</f>
        <v>ক) ৩ ফুট, খ) ৫ ফুট, গ) ৭ ফুট, ঘ) ৯ ফুট</v>
      </c>
      <c r="L17" s="4" t="str">
        <f>IFERROR(__xludf.DUMMYFUNCTION("GOOGLETRANSLATE(D17, ""en"", ""bn"")"),"খ) ৫ ফুট")</f>
        <v>খ) ৫ ফুট</v>
      </c>
      <c r="M17" s="4" t="str">
        <f>IFERROR(__xludf.DUMMYFUNCTION("GOOGLETRANSLATE(E17, ""en"", ""bn"")"),"লাঠিটি সাধারণত ৫ ফুট লম্বা হয়।")</f>
        <v>লাঠিটি সাধারণত ৫ ফুট লম্বা হয়।</v>
      </c>
    </row>
    <row r="18">
      <c r="A18" s="3">
        <v>17.0</v>
      </c>
      <c r="B18" s="3" t="s">
        <v>1944</v>
      </c>
      <c r="C18" s="3" t="s">
        <v>1945</v>
      </c>
      <c r="D18" s="3" t="s">
        <v>1946</v>
      </c>
      <c r="E18" s="3" t="s">
        <v>1947</v>
      </c>
      <c r="I18" s="4" t="str">
        <f>IFERROR(__xludf.DUMMYFUNCTION("GOOGLETRANSLATE(A18, ""en"", ""bn"")"),"১৭")</f>
        <v>১৭</v>
      </c>
      <c r="J18" s="4" t="str">
        <f>IFERROR(__xludf.DUMMYFUNCTION("GOOGLETRANSLATE(B18, ""en"", ""bn"")"),"লাঠিখেলায় সফল ধর্মঘটের নাম কী?")</f>
        <v>লাঠিখেলায় সফল ধর্মঘটের নাম কী?</v>
      </c>
      <c r="K18" s="4" t="str">
        <f>IFERROR(__xludf.DUMMYFUNCTION("GOOGLETRANSLATE(C18, ""en"", ""bn"")"),"ক) আঘাত, খ) টেকডাউন, গ) নকআউট, ঘ) সোয়াইপ")</f>
        <v>ক) আঘাত, খ) টেকডাউন, গ) নকআউট, ঘ) সোয়াইপ</v>
      </c>
      <c r="L18" s="4" t="str">
        <f>IFERROR(__xludf.DUMMYFUNCTION("GOOGLETRANSLATE(D18, ""en"", ""bn"")"),"গ) নকআউট")</f>
        <v>গ) নকআউট</v>
      </c>
      <c r="M18" s="4" t="str">
        <f>IFERROR(__xludf.DUMMYFUNCTION("GOOGLETRANSLATE(E18, ""en"", ""bn"")"),"একটি সফল স্ট্রাইক যা প্রতিপক্ষকে নির্মূল করে তাকে 'নকআউট' বলা হয়।")</f>
        <v>একটি সফল স্ট্রাইক যা প্রতিপক্ষকে নির্মূল করে তাকে 'নকআউট' বলা হয়।</v>
      </c>
    </row>
    <row r="19">
      <c r="A19" s="3">
        <v>18.0</v>
      </c>
      <c r="B19" s="3" t="s">
        <v>1948</v>
      </c>
      <c r="C19" s="3" t="s">
        <v>1949</v>
      </c>
      <c r="D19" s="3" t="s">
        <v>1950</v>
      </c>
      <c r="E19" s="3" t="s">
        <v>1951</v>
      </c>
      <c r="I19" s="4" t="str">
        <f>IFERROR(__xludf.DUMMYFUNCTION("GOOGLETRANSLATE(A19, ""en"", ""bn"")"),"১৮")</f>
        <v>১৮</v>
      </c>
      <c r="J19" s="4" t="str">
        <f>IFERROR(__xludf.DUMMYFUNCTION("GOOGLETRANSLATE(B19, ""en"", ""bn"")"),"লাঠিখেলায়, খেলোয়াড়দের কী করা এড়িয়ে চলতে হবে?")</f>
        <v>লাঠিখেলায়, খেলোয়াড়দের কী করা এড়িয়ে চলতে হবে?</v>
      </c>
      <c r="K19" s="4" t="str">
        <f>IFERROR(__xludf.DUMMYFUNCTION("GOOGLETRANSLATE(C19, ""en"", ""bn"")"),"ক) অতিরিক্ত বল প্রয়োগ করে আঘাত করা, খ) সীমার বাইরে যাওয়া, গ) পা লক্ষ্য করে আঘাত করা, ঘ) লাঠি ভাঙা")</f>
        <v>ক) অতিরিক্ত বল প্রয়োগ করে আঘাত করা, খ) সীমার বাইরে যাওয়া, গ) পা লক্ষ্য করে আঘাত করা, ঘ) লাঠি ভাঙা</v>
      </c>
      <c r="L19" s="4" t="str">
        <f>IFERROR(__xludf.DUMMYFUNCTION("GOOGLETRANSLATE(D19, ""en"", ""bn"")"),"ক) অতিরিক্ত শক্তি প্রয়োগ করে আঘাত করা")</f>
        <v>ক) অতিরিক্ত শক্তি প্রয়োগ করে আঘাত করা</v>
      </c>
      <c r="M19" s="4" t="str">
        <f>IFERROR(__xludf.DUMMYFUNCTION("GOOGLETRANSLATE(E19, ""en"", ""bn"")"),"নিরাপত্তা নিশ্চিত করার জন্য খেলোয়াড়দের অতিরিক্ত বল প্রয়োগ এড়িয়ে চলতে হবে, কারণ খেলাটি বিপজ্জনক হতে পারে।")</f>
        <v>নিরাপত্তা নিশ্চিত করার জন্য খেলোয়াড়দের অতিরিক্ত বল প্রয়োগ এড়িয়ে চলতে হবে, কারণ খেলাটি বিপজ্জনক হতে পারে।</v>
      </c>
    </row>
    <row r="20">
      <c r="A20" s="3">
        <v>19.0</v>
      </c>
      <c r="B20" s="3" t="s">
        <v>1952</v>
      </c>
      <c r="C20" s="3" t="s">
        <v>1953</v>
      </c>
      <c r="D20" s="3" t="s">
        <v>1954</v>
      </c>
      <c r="E20" s="3" t="s">
        <v>1955</v>
      </c>
      <c r="I20" s="4" t="str">
        <f>IFERROR(__xludf.DUMMYFUNCTION("GOOGLETRANSLATE(A20, ""en"", ""bn"")"),"১৯")</f>
        <v>১৯</v>
      </c>
      <c r="J20" s="4" t="str">
        <f>IFERROR(__xludf.DUMMYFUNCTION("GOOGLETRANSLATE(B20, ""en"", ""bn"")"),"লাঠিখেলায় একজন খেলোয়াড় ছিটকে গেলে কী হয়?")</f>
        <v>লাঠিখেলায় একজন খেলোয়াড় ছিটকে গেলে কী হয়?</v>
      </c>
      <c r="K20" s="4" t="str">
        <f>IFERROR(__xludf.DUMMYFUNCTION("GOOGLETRANSLATE(C20, ""en"", ""bn"")"),"ক) তাদের বদলি করা হয়, খ) তারা মাঠ ছেড়ে চলে যায়, গ) তারা সুস্থ হয়ে ওঠে এবং চালিয়ে যায়, ঘ) তারা খেলার বাকি সময় বাইরে থাকে")</f>
        <v>ক) তাদের বদলি করা হয়, খ) তারা মাঠ ছেড়ে চলে যায়, গ) তারা সুস্থ হয়ে ওঠে এবং চালিয়ে যায়, ঘ) তারা খেলার বাকি সময় বাইরে থাকে</v>
      </c>
      <c r="L20" s="4" t="str">
        <f>IFERROR(__xludf.DUMMYFUNCTION("GOOGLETRANSLATE(D20, ""en"", ""bn"")"),"ঘ) তারা খেলার বাকি সময় বাইরে থাকবে")</f>
        <v>ঘ) তারা খেলার বাকি সময় বাইরে থাকবে</v>
      </c>
      <c r="M20" s="4" t="str">
        <f>IFERROR(__xludf.DUMMYFUNCTION("GOOGLETRANSLATE(E20, ""en"", ""bn"")"),"একবার কোনও খেলোয়াড় ছিটকে গেলে, খেলার বাকি সময় তাদের বাইরে রাখা হয়।")</f>
        <v>একবার কোনও খেলোয়াড় ছিটকে গেলে, খেলার বাকি সময় তাদের বাইরে রাখা হয়।</v>
      </c>
    </row>
    <row r="21">
      <c r="A21" s="3">
        <v>20.0</v>
      </c>
      <c r="B21" s="3" t="s">
        <v>1956</v>
      </c>
      <c r="C21" s="3" t="s">
        <v>1957</v>
      </c>
      <c r="D21" s="3" t="s">
        <v>1958</v>
      </c>
      <c r="E21" s="3" t="s">
        <v>1959</v>
      </c>
      <c r="I21" s="4" t="str">
        <f>IFERROR(__xludf.DUMMYFUNCTION("GOOGLETRANSLATE(A21, ""en"", ""bn"")"),"২০")</f>
        <v>২০</v>
      </c>
      <c r="J21" s="4" t="str">
        <f>IFERROR(__xludf.DUMMYFUNCTION("GOOGLETRANSLATE(B21, ""en"", ""bn"")"),"লাঠিখেলায় কোন ধরণের প্রতিরক্ষামূলক পোশাক পরা হয়?")</f>
        <v>লাঠিখেলায় কোন ধরণের প্রতিরক্ষামূলক পোশাক পরা হয়?</v>
      </c>
      <c r="K21" s="4" t="str">
        <f>IFERROR(__xludf.DUMMYFUNCTION("GOOGLETRANSLATE(C21, ""en"", ""bn"")"),"ক) হেলমেট, খ) গ্লাভস, গ) আর্ম গার্ড, ঘ) কোনও প্রতিরক্ষামূলক সরঞ্জাম নেই")</f>
        <v>ক) হেলমেট, খ) গ্লাভস, গ) আর্ম গার্ড, ঘ) কোনও প্রতিরক্ষামূলক সরঞ্জাম নেই</v>
      </c>
      <c r="L21" s="4" t="str">
        <f>IFERROR(__xludf.DUMMYFUNCTION("GOOGLETRANSLATE(D21, ""en"", ""bn"")"),"ঘ) কোন প্রতিরক্ষামূলক সরঞ্জাম নেই")</f>
        <v>ঘ) কোন প্রতিরক্ষামূলক সরঞ্জাম নেই</v>
      </c>
      <c r="M21" s="4" t="str">
        <f>IFERROR(__xludf.DUMMYFUNCTION("GOOGLETRANSLATE(E21, ""en"", ""bn"")"),"ঐতিহ্যগতভাবে লাঠি খেলা কোনও প্রতিরক্ষামূলক সরঞ্জাম ছাড়াই খেলা হয়।")</f>
        <v>ঐতিহ্যগতভাবে লাঠি খেলা কোনও প্রতিরক্ষামূলক সরঞ্জাম ছাড়াই খেলা হয়।</v>
      </c>
    </row>
    <row r="22">
      <c r="A22" s="3">
        <v>21.0</v>
      </c>
      <c r="B22" s="3" t="s">
        <v>1960</v>
      </c>
      <c r="C22" s="3" t="s">
        <v>1961</v>
      </c>
      <c r="D22" s="3" t="s">
        <v>1962</v>
      </c>
      <c r="E22" s="3" t="s">
        <v>1963</v>
      </c>
      <c r="I22" s="4" t="str">
        <f>IFERROR(__xludf.DUMMYFUNCTION("GOOGLETRANSLATE(A22, ""en"", ""bn"")"),"২১")</f>
        <v>২১</v>
      </c>
      <c r="J22" s="4" t="str">
        <f>IFERROR(__xludf.DUMMYFUNCTION("GOOGLETRANSLATE(B22, ""en"", ""bn"")"),"লাঠিখেলার খেলোয়াড়রা কীভাবে নিজেদের রক্ষা করে?")</f>
        <v>লাঠিখেলার খেলোয়াড়রা কীভাবে নিজেদের রক্ষা করে?</v>
      </c>
      <c r="K22" s="4" t="str">
        <f>IFERROR(__xludf.DUMMYFUNCTION("GOOGLETRANSLATE(C22, ""en"", ""bn"")"),"ক) হাত ব্যবহার করে, খ) লাঠি দিয়ে বাধা দিয়ে, গ) দৌড়ে, ঘ) লুকিয়ে")</f>
        <v>ক) হাত ব্যবহার করে, খ) লাঠি দিয়ে বাধা দিয়ে, গ) দৌড়ে, ঘ) লুকিয়ে</v>
      </c>
      <c r="L22" s="4" t="str">
        <f>IFERROR(__xludf.DUMMYFUNCTION("GOOGLETRANSLATE(D22, ""en"", ""bn"")"),"খ) লাঠি দিয়ে বাধা দিয়ে")</f>
        <v>খ) লাঠি দিয়ে বাধা দিয়ে</v>
      </c>
      <c r="M22" s="4" t="str">
        <f>IFERROR(__xludf.DUMMYFUNCTION("GOOGLETRANSLATE(E22, ""en"", ""bn"")"),"খেলোয়াড়রা লাঠি ব্যবহার করে আগত আঘাত রোধ করে নিজেদের রক্ষা করে।")</f>
        <v>খেলোয়াড়রা লাঠি ব্যবহার করে আগত আঘাত রোধ করে নিজেদের রক্ষা করে।</v>
      </c>
    </row>
    <row r="23">
      <c r="A23" s="3">
        <v>22.0</v>
      </c>
      <c r="B23" s="3" t="s">
        <v>1964</v>
      </c>
      <c r="C23" s="3" t="s">
        <v>1965</v>
      </c>
      <c r="D23" s="3" t="s">
        <v>1966</v>
      </c>
      <c r="E23" s="3" t="s">
        <v>1967</v>
      </c>
      <c r="I23" s="4" t="str">
        <f>IFERROR(__xludf.DUMMYFUNCTION("GOOGLETRANSLATE(A23, ""en"", ""bn"")"),"২২")</f>
        <v>২২</v>
      </c>
      <c r="J23" s="4" t="str">
        <f>IFERROR(__xludf.DUMMYFUNCTION("GOOGLETRANSLATE(B23, ""en"", ""bn"")"),"লাঠিখেলায় একটি রাউন্ডের সাধারণ সময়কাল কত?")</f>
        <v>লাঠিখেলায় একটি রাউন্ডের সাধারণ সময়কাল কত?</v>
      </c>
      <c r="K23" s="4" t="str">
        <f>IFERROR(__xludf.DUMMYFUNCTION("GOOGLETRANSLATE(C23, ""en"", ""bn"")"),"ক) ১০ মিনিট, খ) ২০ মিনিট, গ) ৩০ মিনিট, ঘ) ১ ঘন্টা")</f>
        <v>ক) ১০ মিনিট, খ) ২০ মিনিট, গ) ৩০ মিনিট, ঘ) ১ ঘন্টা</v>
      </c>
      <c r="L23" s="4" t="str">
        <f>IFERROR(__xludf.DUMMYFUNCTION("GOOGLETRANSLATE(D23, ""en"", ""bn"")"),"খ) ২০ মিনিট")</f>
        <v>খ) ২০ মিনিট</v>
      </c>
      <c r="M23" s="4" t="str">
        <f>IFERROR(__xludf.DUMMYFUNCTION("GOOGLETRANSLATE(E23, ""en"", ""bn"")"),"একটি রাউন্ড সাধারণত ২০ মিনিট স্থায়ী হয়, তবে প্রতিযোগিতার উপর নির্ভর করে এটি পরিবর্তিত হতে পারে।")</f>
        <v>একটি রাউন্ড সাধারণত ২০ মিনিট স্থায়ী হয়, তবে প্রতিযোগিতার উপর নির্ভর করে এটি পরিবর্তিত হতে পারে।</v>
      </c>
    </row>
    <row r="24">
      <c r="A24" s="3">
        <v>23.0</v>
      </c>
      <c r="B24" s="3" t="s">
        <v>1968</v>
      </c>
      <c r="C24" s="3" t="s">
        <v>1969</v>
      </c>
      <c r="D24" s="3" t="s">
        <v>1970</v>
      </c>
      <c r="E24" s="3" t="s">
        <v>1971</v>
      </c>
      <c r="I24" s="4" t="str">
        <f>IFERROR(__xludf.DUMMYFUNCTION("GOOGLETRANSLATE(A24, ""en"", ""bn"")"),"২৩")</f>
        <v>২৩</v>
      </c>
      <c r="J24" s="4" t="str">
        <f>IFERROR(__xludf.DUMMYFUNCTION("GOOGLETRANSLATE(B24, ""en"", ""bn"")"),"অন্যান্য যুদ্ধ খেলার তুলনায় লাঠি খেলার অনন্য বৈশিষ্ট্য কী?")</f>
        <v>অন্যান্য যুদ্ধ খেলার তুলনায় লাঠি খেলার অনন্য বৈশিষ্ট্য কী?</v>
      </c>
      <c r="K24" s="4" t="str">
        <f>IFERROR(__xludf.DUMMYFUNCTION("GOOGLETRANSLATE(C24, ""en"", ""bn"")"),"ক) তরবারির ব্যবহার, খ) শারীরিক সংস্পর্শ নয়, গ) লাঠির ব্যবহার, ঘ) ধৈর্যের উপর মনোযোগ দিন")</f>
        <v>ক) তরবারির ব্যবহার, খ) শারীরিক সংস্পর্শ নয়, গ) লাঠির ব্যবহার, ঘ) ধৈর্যের উপর মনোযোগ দিন</v>
      </c>
      <c r="L24" s="4" t="str">
        <f>IFERROR(__xludf.DUMMYFUNCTION("GOOGLETRANSLATE(D24, ""en"", ""bn"")"),"গ) লাঠির ব্যবহার")</f>
        <v>গ) লাঠির ব্যবহার</v>
      </c>
      <c r="M24" s="4" t="str">
        <f>IFERROR(__xludf.DUMMYFUNCTION("GOOGLETRANSLATE(E24, ""en"", ""bn"")"),"লাঠি খেলার প্রধান অস্ত্র হল লাঠি, যা এটিকে অন্যান্য যুদ্ধ খেলার থেকে আলাদা করে।")</f>
        <v>লাঠি খেলার প্রধান অস্ত্র হল লাঠি, যা এটিকে অন্যান্য যুদ্ধ খেলার থেকে আলাদা করে।</v>
      </c>
    </row>
    <row r="25">
      <c r="A25" s="3">
        <v>24.0</v>
      </c>
      <c r="B25" s="3" t="s">
        <v>1972</v>
      </c>
      <c r="C25" s="3" t="s">
        <v>1973</v>
      </c>
      <c r="D25" s="3" t="s">
        <v>1974</v>
      </c>
      <c r="E25" s="3" t="s">
        <v>1975</v>
      </c>
      <c r="I25" s="4" t="str">
        <f>IFERROR(__xludf.DUMMYFUNCTION("GOOGLETRANSLATE(A25, ""en"", ""bn"")"),"২৪")</f>
        <v>২৪</v>
      </c>
      <c r="J25" s="4" t="str">
        <f>IFERROR(__xludf.DUMMYFUNCTION("GOOGLETRANSLATE(B25, ""en"", ""bn"")"),"লাঠি খেলায় দক্ষতা অর্জনের জন্য প্রাথমিক দক্ষতা কী?")</f>
        <v>লাঠি খেলায় দক্ষতা অর্জনের জন্য প্রাথমিক দক্ষতা কী?</v>
      </c>
      <c r="K25" s="4" t="str">
        <f>IFERROR(__xludf.DUMMYFUNCTION("GOOGLETRANSLATE(C25, ""en"", ""bn"")"),"ক) গতি, খ) শক্তি, গ) কৌশল, ঘ) সহনশীলতা")</f>
        <v>ক) গতি, খ) শক্তি, গ) কৌশল, ঘ) সহনশীলতা</v>
      </c>
      <c r="L25" s="4" t="str">
        <f>IFERROR(__xludf.DUMMYFUNCTION("GOOGLETRANSLATE(D25, ""en"", ""bn"")"),"গ) কৌশল")</f>
        <v>গ) কৌশল</v>
      </c>
      <c r="M25" s="4" t="str">
        <f>IFERROR(__xludf.DUMMYFUNCTION("GOOGLETRANSLATE(E25, ""en"", ""bn"")"),"লাঠিখেলার জন্য কেবল শারীরিক শক্তির চেয়েও বেশি কিছু, সতর্ক কৌশলগত পরিকল্পনা এবং দলগত কাজের প্রয়োজন।")</f>
        <v>লাঠিখেলার জন্য কেবল শারীরিক শক্তির চেয়েও বেশি কিছু, সতর্ক কৌশলগত পরিকল্পনা এবং দলগত কাজের প্রয়োজন।</v>
      </c>
    </row>
    <row r="26">
      <c r="A26" s="3">
        <v>25.0</v>
      </c>
      <c r="B26" s="3" t="s">
        <v>1976</v>
      </c>
      <c r="C26" s="3" t="s">
        <v>1977</v>
      </c>
      <c r="D26" s="3" t="s">
        <v>1077</v>
      </c>
      <c r="E26" s="3" t="s">
        <v>1978</v>
      </c>
      <c r="I26" s="4" t="str">
        <f>IFERROR(__xludf.DUMMYFUNCTION("GOOGLETRANSLATE(A26, ""en"", ""bn"")"),"২৫")</f>
        <v>২৫</v>
      </c>
      <c r="J26" s="4" t="str">
        <f>IFERROR(__xludf.DUMMYFUNCTION("GOOGLETRANSLATE(B26, ""en"", ""bn"")"),"লাঠি খেলা কি আলাদাভাবে খেলা যাবে?")</f>
        <v>লাঠি খেলা কি আলাদাভাবে খেলা যাবে?</v>
      </c>
      <c r="K26" s="4" t="str">
        <f>IFERROR(__xludf.DUMMYFUNCTION("GOOGLETRANSLATE(C26, ""en"", ""bn"")"),"ক) হ্যাঁ, খ) না")</f>
        <v>ক) হ্যাঁ, খ) না</v>
      </c>
      <c r="L26" s="4" t="str">
        <f>IFERROR(__xludf.DUMMYFUNCTION("GOOGLETRANSLATE(D26, ""en"", ""bn"")"),"খ) না")</f>
        <v>খ) না</v>
      </c>
      <c r="M26" s="4" t="str">
        <f>IFERROR(__xludf.DUMMYFUNCTION("GOOGLETRANSLATE(E26, ""en"", ""bn"")"),"লাঠি খেলা একটি দলভিত্তিক খেলা এবং এটি এককভাবে খেলা যায় না।")</f>
        <v>লাঠি খেলা একটি দলভিত্তিক খেলা এবং এটি এককভাবে খেলা যায় না।</v>
      </c>
    </row>
    <row r="27">
      <c r="A27" s="3">
        <v>26.0</v>
      </c>
      <c r="B27" s="3" t="s">
        <v>1979</v>
      </c>
      <c r="C27" s="3" t="s">
        <v>1507</v>
      </c>
      <c r="D27" s="3" t="s">
        <v>802</v>
      </c>
      <c r="E27" s="3" t="s">
        <v>1980</v>
      </c>
      <c r="I27" s="4" t="str">
        <f>IFERROR(__xludf.DUMMYFUNCTION("GOOGLETRANSLATE(A27, ""en"", ""bn"")"),"২৬")</f>
        <v>২৬</v>
      </c>
      <c r="J27" s="4" t="str">
        <f>IFERROR(__xludf.DUMMYFUNCTION("GOOGLETRANSLATE(B27, ""en"", ""bn"")"),"লাঠি খেলা খেলার জন্য সর্বনিম্ন কতজন খেলোয়াড়ের প্রয়োজন?")</f>
        <v>লাঠি খেলা খেলার জন্য সর্বনিম্ন কতজন খেলোয়াড়ের প্রয়োজন?</v>
      </c>
      <c r="K27" s="4" t="str">
        <f>IFERROR(__xludf.DUMMYFUNCTION("GOOGLETRANSLATE(C27, ""en"", ""bn"")"),"ক) ৫, খ) ৬, গ) ৭, ঘ) ৮")</f>
        <v>ক) ৫, খ) ৬, গ) ৭, ঘ) ৮</v>
      </c>
      <c r="L27" s="4" t="str">
        <f>IFERROR(__xludf.DUMMYFUNCTION("GOOGLETRANSLATE(D27, ""en"", ""bn"")"),"খ) ৬")</f>
        <v>খ) ৬</v>
      </c>
      <c r="M27" s="4" t="str">
        <f>IFERROR(__xludf.DUMMYFUNCTION("GOOGLETRANSLATE(E27, ""en"", ""bn"")"),"লাঠিখেলায় একটি খেলা শুরু করতে প্রতিটি দলে কমপক্ষে ৬ জন খেলোয়াড়ের প্রয়োজন হয়।")</f>
        <v>লাঠিখেলায় একটি খেলা শুরু করতে প্রতিটি দলে কমপক্ষে ৬ জন খেলোয়াড়ের প্রয়োজন হয়।</v>
      </c>
    </row>
    <row r="28">
      <c r="A28" s="3">
        <v>27.0</v>
      </c>
      <c r="B28" s="3" t="s">
        <v>1981</v>
      </c>
      <c r="C28" s="3" t="s">
        <v>1982</v>
      </c>
      <c r="D28" s="3" t="s">
        <v>1983</v>
      </c>
      <c r="E28" s="3" t="s">
        <v>1984</v>
      </c>
      <c r="I28" s="4" t="str">
        <f>IFERROR(__xludf.DUMMYFUNCTION("GOOGLETRANSLATE(A28, ""en"", ""bn"")"),"২৭")</f>
        <v>২৭</v>
      </c>
      <c r="J28" s="4" t="str">
        <f>IFERROR(__xludf.DUMMYFUNCTION("GOOGLETRANSLATE(B28, ""en"", ""bn"")"),"লাঠিখেলায় প্রতিপক্ষকে আঘাত করার উদ্দেশ্য কী?")</f>
        <v>লাঠিখেলায় প্রতিপক্ষকে আঘাত করার উদ্দেশ্য কী?</v>
      </c>
      <c r="K28" s="4" t="str">
        <f>IFERROR(__xludf.DUMMYFUNCTION("GOOGLETRANSLATE(C28, ""en"", ""bn"")"),"ক) আহত করা, খ) তাদের ছিটকে ফেলা, গ) তাদের নিরস্ত্র করা, ঘ) তাদের পড়ে যেতে বাধ্য করা")</f>
        <v>ক) আহত করা, খ) তাদের ছিটকে ফেলা, গ) তাদের নিরস্ত্র করা, ঘ) তাদের পড়ে যেতে বাধ্য করা</v>
      </c>
      <c r="L28" s="4" t="str">
        <f>IFERROR(__xludf.DUMMYFUNCTION("GOOGLETRANSLATE(D28, ""en"", ""bn"")"),"খ) তাদের ছিটকে ফেলার জন্য")</f>
        <v>খ) তাদের ছিটকে ফেলার জন্য</v>
      </c>
      <c r="M28" s="4" t="str">
        <f>IFERROR(__xludf.DUMMYFUNCTION("GOOGLETRANSLATE(E28, ""en"", ""bn"")"),"লক্ষ্য হলো প্রতিপক্ষকে এমনভাবে আঘাত করা যাতে তারা খেলা থেকে ছিটকে যায়।")</f>
        <v>লক্ষ্য হলো প্রতিপক্ষকে এমনভাবে আঘাত করা যাতে তারা খেলা থেকে ছিটকে যায়।</v>
      </c>
    </row>
    <row r="29">
      <c r="A29" s="3">
        <v>28.0</v>
      </c>
      <c r="B29" s="3" t="s">
        <v>1985</v>
      </c>
      <c r="C29" s="3" t="s">
        <v>1986</v>
      </c>
      <c r="D29" s="3" t="s">
        <v>1987</v>
      </c>
      <c r="E29" s="3" t="s">
        <v>1988</v>
      </c>
      <c r="I29" s="4" t="str">
        <f>IFERROR(__xludf.DUMMYFUNCTION("GOOGLETRANSLATE(A29, ""en"", ""bn"")"),"২৮")</f>
        <v>২৮</v>
      </c>
      <c r="J29" s="4" t="str">
        <f>IFERROR(__xludf.DUMMYFUNCTION("GOOGLETRANSLATE(B29, ""en"", ""bn"")"),"যখন উভয় দল সমান সংখ্যক নকআউট গোল করে তখন কী ঘটে?")</f>
        <v>যখন উভয় দল সমান সংখ্যক নকআউট গোল করে তখন কী ঘটে?</v>
      </c>
      <c r="K29" s="4" t="str">
        <f>IFERROR(__xludf.DUMMYFUNCTION("GOOGLETRANSLATE(C29, ""en"", ""bn"")"),"ক) অতিরিক্ত সময় দেওয়া হয়, খ) টাইব্রেকারে খেলা নিষ্পত্তি হয়, গ) ম্যাচটি ড্র হয়, ঘ) পুনরায় খেলা অনুষ্ঠিত হয়")</f>
        <v>ক) অতিরিক্ত সময় দেওয়া হয়, খ) টাইব্রেকারে খেলা নিষ্পত্তি হয়, গ) ম্যাচটি ড্র হয়, ঘ) পুনরায় খেলা অনুষ্ঠিত হয়</v>
      </c>
      <c r="L29" s="4" t="str">
        <f>IFERROR(__xludf.DUMMYFUNCTION("GOOGLETRANSLATE(D29, ""en"", ""bn"")"),"গ) ম্যাচটি ড্র হয়")</f>
        <v>গ) ম্যাচটি ড্র হয়</v>
      </c>
      <c r="M29" s="4" t="str">
        <f>IFERROR(__xludf.DUMMYFUNCTION("GOOGLETRANSLATE(E29, ""en"", ""bn"")"),"যদি উভয় দল সমান সংখ্যক নকআউট গোল করে, তাহলে খেলাটি ড্র ঘোষণা করা হবে।")</f>
        <v>যদি উভয় দল সমান সংখ্যক নকআউট গোল করে, তাহলে খেলাটি ড্র ঘোষণা করা হবে।</v>
      </c>
    </row>
    <row r="30">
      <c r="A30" s="3">
        <v>29.0</v>
      </c>
      <c r="B30" s="3" t="s">
        <v>1989</v>
      </c>
      <c r="C30" s="3" t="s">
        <v>1990</v>
      </c>
      <c r="D30" s="3" t="s">
        <v>1991</v>
      </c>
      <c r="E30" s="3" t="s">
        <v>1992</v>
      </c>
      <c r="I30" s="4" t="str">
        <f>IFERROR(__xludf.DUMMYFUNCTION("GOOGLETRANSLATE(A30, ""en"", ""bn"")"),"২৯")</f>
        <v>২৯</v>
      </c>
      <c r="J30" s="4" t="str">
        <f>IFERROR(__xludf.DUMMYFUNCTION("GOOGLETRANSLATE(B30, ""en"", ""bn"")"),"লাঠি খেলা খেলার সময় যোগাযোগের জন্য ব্যবহৃত সাধারণ ভাষা কী?")</f>
        <v>লাঠি খেলা খেলার সময় যোগাযোগের জন্য ব্যবহৃত সাধারণ ভাষা কী?</v>
      </c>
      <c r="K30" s="4" t="str">
        <f>IFERROR(__xludf.DUMMYFUNCTION("GOOGLETRANSLATE(C30, ""en"", ""bn"")"),"ক) বাংলা, খ) হিন্দি, গ) ইংরেজি, ঘ) উর্দু")</f>
        <v>ক) বাংলা, খ) হিন্দি, গ) ইংরেজি, ঘ) উর্দু</v>
      </c>
      <c r="L30" s="4" t="str">
        <f>IFERROR(__xludf.DUMMYFUNCTION("GOOGLETRANSLATE(D30, ""en"", ""bn"")"),"ক) বাংলা")</f>
        <v>ক) বাংলা</v>
      </c>
      <c r="M30" s="4" t="str">
        <f>IFERROR(__xludf.DUMMYFUNCTION("GOOGLETRANSLATE(E30, ""en"", ""bn"")"),"লাঠিখেলা খেলার সময় সাধারণত বাংলা ভাষা ব্যবহৃত হয়।")</f>
        <v>লাঠিখেলা খেলার সময় সাধারণত বাংলা ভাষা ব্যবহৃত হয়।</v>
      </c>
    </row>
    <row r="31">
      <c r="A31" s="3">
        <v>30.0</v>
      </c>
      <c r="B31" s="3" t="s">
        <v>1993</v>
      </c>
      <c r="C31" s="3" t="s">
        <v>1994</v>
      </c>
      <c r="D31" s="3" t="s">
        <v>1995</v>
      </c>
      <c r="E31" s="3" t="s">
        <v>1996</v>
      </c>
      <c r="I31" s="4" t="str">
        <f>IFERROR(__xludf.DUMMYFUNCTION("GOOGLETRANSLATE(A31, ""en"", ""bn"")"),"৩০")</f>
        <v>৩০</v>
      </c>
      <c r="J31" s="4" t="str">
        <f>IFERROR(__xludf.DUMMYFUNCTION("GOOGLETRANSLATE(B31, ""en"", ""bn"")"),"লাঠি খেলার খেলোয়াড়রা কীভাবে জানে কখন আঘাত করতে হবে?")</f>
        <v>লাঠি খেলার খেলোয়াড়রা কীভাবে জানে কখন আঘাত করতে হবে?</v>
      </c>
      <c r="K31" s="4" t="str">
        <f>IFERROR(__xludf.DUMMYFUNCTION("GOOGLETRANSLATE(C31, ""en"", ""bn"")"),"ক) রেফারির সংকেতে, খ) যখন তারা একটি খোলার শব্দ দেখতে পান, গ) একটি বাঁশিতে, ঘ) একটি কাউন্টডাউনের পরে")</f>
        <v>ক) রেফারির সংকেতে, খ) যখন তারা একটি খোলার শব্দ দেখতে পান, গ) একটি বাঁশিতে, ঘ) একটি কাউন্টডাউনের পরে</v>
      </c>
      <c r="L31" s="4" t="str">
        <f>IFERROR(__xludf.DUMMYFUNCTION("GOOGLETRANSLATE(D31, ""en"", ""bn"")"),"খ) যখন তারা একটি ফাঁক দেখতে পায়")</f>
        <v>খ) যখন তারা একটি ফাঁক দেখতে পায়</v>
      </c>
      <c r="M31" s="4" t="str">
        <f>IFERROR(__xludf.DUMMYFUNCTION("GOOGLETRANSLATE(E31, ""en"", ""bn"")"),"খেলোয়াড়রা যখন তাদের প্রতিপক্ষের রক্ষণভাগে খোলা জায়গা দেখতে পায় তখন তারা আঘাত করে।")</f>
        <v>খেলোয়াড়রা যখন তাদের প্রতিপক্ষের রক্ষণভাগে খোলা জায়গা দেখতে পায় তখন তারা আঘাত করে।</v>
      </c>
    </row>
    <row r="32">
      <c r="A32" s="3">
        <v>31.0</v>
      </c>
      <c r="B32" s="3" t="s">
        <v>1997</v>
      </c>
      <c r="C32" s="3" t="s">
        <v>1998</v>
      </c>
      <c r="D32" s="3" t="s">
        <v>238</v>
      </c>
      <c r="E32" s="3" t="s">
        <v>1999</v>
      </c>
      <c r="I32" s="4" t="str">
        <f>IFERROR(__xludf.DUMMYFUNCTION("GOOGLETRANSLATE(A32, ""en"", ""bn"")"),"৩১")</f>
        <v>৩১</v>
      </c>
      <c r="J32" s="4" t="str">
        <f>IFERROR(__xludf.DUMMYFUNCTION("GOOGLETRANSLATE(B32, ""en"", ""bn"")"),"লাঠি খেলা প্রশিক্ষণের একটি গুরুত্বপূর্ণ দিক কী?")</f>
        <v>লাঠি খেলা প্রশিক্ষণের একটি গুরুত্বপূর্ণ দিক কী?</v>
      </c>
      <c r="K32" s="4" t="str">
        <f>IFERROR(__xludf.DUMMYFUNCTION("GOOGLETRANSLATE(C32, ""en"", ""bn"")"),"ক) গতি, খ) শৃঙ্খলা, গ) তৎপরতা, ঘ) উপরের সবগুলো")</f>
        <v>ক) গতি, খ) শৃঙ্খলা, গ) তৎপরতা, ঘ) উপরের সবগুলো</v>
      </c>
      <c r="L32" s="4" t="str">
        <f>IFERROR(__xludf.DUMMYFUNCTION("GOOGLETRANSLATE(D32, ""en"", ""bn"")"),"ঘ) উপরের সবগুলো")</f>
        <v>ঘ) উপরের সবগুলো</v>
      </c>
      <c r="M32" s="4" t="str">
        <f>IFERROR(__xludf.DUMMYFUNCTION("GOOGLETRANSLATE(E32, ""en"", ""bn"")"),"লাঠি খেলার প্রশিক্ষণের মধ্যে রয়েছে গতি, শৃঙ্খলা এবং তত্পরতা।")</f>
        <v>লাঠি খেলার প্রশিক্ষণের মধ্যে রয়েছে গতি, শৃঙ্খলা এবং তত্পরতা।</v>
      </c>
    </row>
    <row r="33">
      <c r="A33" s="3">
        <v>32.0</v>
      </c>
      <c r="B33" s="3" t="s">
        <v>2000</v>
      </c>
      <c r="C33" s="3" t="s">
        <v>2001</v>
      </c>
      <c r="D33" s="3" t="s">
        <v>2002</v>
      </c>
      <c r="E33" s="3" t="s">
        <v>2003</v>
      </c>
      <c r="I33" s="4" t="str">
        <f>IFERROR(__xludf.DUMMYFUNCTION("GOOGLETRANSLATE(A33, ""en"", ""bn"")"),"৩২")</f>
        <v>৩২</v>
      </c>
      <c r="J33" s="4" t="str">
        <f>IFERROR(__xludf.DUMMYFUNCTION("GOOGLETRANSLATE(B33, ""en"", ""bn"")"),"লাঠি খেলায় দর্শকরা সাধারণত কোন জিনিসটি সবচেয়ে বেশি উপভোগ করেন?")</f>
        <v>লাঠি খেলায় দর্শকরা সাধারণত কোন জিনিসটি সবচেয়ে বেশি উপভোগ করেন?</v>
      </c>
      <c r="K33" s="4" t="str">
        <f>IFERROR(__xludf.DUMMYFUNCTION("GOOGLETRANSLATE(C33, ""en"", ""bn"")"),"ক) গতি, খ) কৌশল, গ) লড়াইয়ের উত্তেজনা, ঘ) দলের সমন্বয়")</f>
        <v>ক) গতি, খ) কৌশল, গ) লড়াইয়ের উত্তেজনা, ঘ) দলের সমন্বয়</v>
      </c>
      <c r="L33" s="4" t="str">
        <f>IFERROR(__xludf.DUMMYFUNCTION("GOOGLETRANSLATE(D33, ""en"", ""bn"")"),"গ) লড়াইয়ের উত্তেজনা")</f>
        <v>গ) লড়াইয়ের উত্তেজনা</v>
      </c>
      <c r="M33" s="4" t="str">
        <f>IFERROR(__xludf.DUMMYFUNCTION("GOOGLETRANSLATE(E33, ""en"", ""bn"")"),"দর্শকরা লাঠি খেলার রোমাঞ্চকর এবং তীব্র লড়াইয়ের দিকগুলি উপভোগ করেন।")</f>
        <v>দর্শকরা লাঠি খেলার রোমাঞ্চকর এবং তীব্র লড়াইয়ের দিকগুলি উপভোগ করেন।</v>
      </c>
    </row>
    <row r="34">
      <c r="A34" s="3">
        <v>33.0</v>
      </c>
      <c r="B34" s="3" t="s">
        <v>2004</v>
      </c>
      <c r="C34" s="3" t="s">
        <v>2005</v>
      </c>
      <c r="D34" s="3" t="s">
        <v>2006</v>
      </c>
      <c r="E34" s="3" t="s">
        <v>2007</v>
      </c>
      <c r="I34" s="4" t="str">
        <f>IFERROR(__xludf.DUMMYFUNCTION("GOOGLETRANSLATE(A34, ""en"", ""bn"")"),"৩৩")</f>
        <v>৩৩</v>
      </c>
      <c r="J34" s="4" t="str">
        <f>IFERROR(__xludf.DUMMYFUNCTION("GOOGLETRANSLATE(B34, ""en"", ""bn"")"),"লাঠি খেলা দলগুলি সাধারণত কীভাবে বিজয় উদযাপন করে?")</f>
        <v>লাঠি খেলা দলগুলি সাধারণত কীভাবে বিজয় উদযাপন করে?</v>
      </c>
      <c r="K34" s="4" t="str">
        <f>IFERROR(__xludf.DUMMYFUNCTION("GOOGLETRANSLATE(C34, ""en"", ""bn"")"),"ক) গান গেয়ে, খ) নাচিয়ে, গ) ট্রফি তুলে, ঘ) ভোজ আয়োজন করে")</f>
        <v>ক) গান গেয়ে, খ) নাচিয়ে, গ) ট্রফি তুলে, ঘ) ভোজ আয়োজন করে</v>
      </c>
      <c r="L34" s="4" t="str">
        <f>IFERROR(__xludf.DUMMYFUNCTION("GOOGLETRANSLATE(D34, ""en"", ""bn"")"),"খ) নাচের মাধ্যমে")</f>
        <v>খ) নাচের মাধ্যমে</v>
      </c>
      <c r="M34" s="4" t="str">
        <f>IFERROR(__xludf.DUMMYFUNCTION("GOOGLETRANSLATE(E34, ""en"", ""bn"")"),"লাঠিখেলায় দলগুলি প্রায়শই ঐতিহ্যবাহী নৃত্যের মাধ্যমে বিজয় উদযাপন করে।")</f>
        <v>লাঠিখেলায় দলগুলি প্রায়শই ঐতিহ্যবাহী নৃত্যের মাধ্যমে বিজয় উদযাপন করে।</v>
      </c>
    </row>
    <row r="35">
      <c r="A35" s="3">
        <v>34.0</v>
      </c>
      <c r="B35" s="3" t="s">
        <v>2008</v>
      </c>
      <c r="C35" s="3" t="s">
        <v>2009</v>
      </c>
      <c r="D35" s="3" t="s">
        <v>2010</v>
      </c>
      <c r="E35" s="3" t="s">
        <v>2011</v>
      </c>
      <c r="I35" s="4" t="str">
        <f>IFERROR(__xludf.DUMMYFUNCTION("GOOGLETRANSLATE(A35, ""en"", ""bn"")"),"৩৪")</f>
        <v>৩৪</v>
      </c>
      <c r="J35" s="4" t="str">
        <f>IFERROR(__xludf.DUMMYFUNCTION("GOOGLETRANSLATE(B35, ""en"", ""bn"")"),"লাঠি খেলা খেলার বিপদগুলির মধ্যে একটি কী?")</f>
        <v>লাঠি খেলা খেলার বিপদগুলির মধ্যে একটি কী?</v>
      </c>
      <c r="K35" s="4" t="str">
        <f>IFERROR(__xludf.DUMMYFUNCTION("GOOGLETRANSLATE(C35, ""en"", ""bn"")"),"ক) পানিশূন্যতার ঝুঁকি, খ) আঘাতের ঝুঁকি, গ) বিষক্রিয়ার ঝুঁকি, ঘ) ক্লান্তির ঝুঁকি")</f>
        <v>ক) পানিশূন্যতার ঝুঁকি, খ) আঘাতের ঝুঁকি, গ) বিষক্রিয়ার ঝুঁকি, ঘ) ক্লান্তির ঝুঁকি</v>
      </c>
      <c r="L35" s="4" t="str">
        <f>IFERROR(__xludf.DUMMYFUNCTION("GOOGLETRANSLATE(D35, ""en"", ""bn"")"),"খ) আঘাতের ঝুঁকি")</f>
        <v>খ) আঘাতের ঝুঁকি</v>
      </c>
      <c r="M35" s="4" t="str">
        <f>IFERROR(__xludf.DUMMYFUNCTION("GOOGLETRANSLATE(E35, ""en"", ""bn"")"),"লাঠি খেলা একটি শারীরিকভাবে তীব্র খেলা, এবং খেলার লড়াইয়ের প্রকৃতির কারণে খেলোয়াড়দের আঘাতের ঝুঁকি থাকে।")</f>
        <v>লাঠি খেলা একটি শারীরিকভাবে তীব্র খেলা, এবং খেলার লড়াইয়ের প্রকৃতির কারণে খেলোয়াড়দের আঘাতের ঝুঁকি থাকে।</v>
      </c>
    </row>
    <row r="36">
      <c r="A36" s="3">
        <v>35.0</v>
      </c>
      <c r="B36" s="3" t="s">
        <v>2012</v>
      </c>
      <c r="C36" s="3" t="s">
        <v>1507</v>
      </c>
      <c r="D36" s="3" t="s">
        <v>802</v>
      </c>
      <c r="E36" s="3" t="s">
        <v>2013</v>
      </c>
      <c r="I36" s="4" t="str">
        <f>IFERROR(__xludf.DUMMYFUNCTION("GOOGLETRANSLATE(A36, ""en"", ""bn"")"),"৩৫")</f>
        <v>৩৫</v>
      </c>
      <c r="J36" s="4" t="str">
        <f>IFERROR(__xludf.DUMMYFUNCTION("GOOGLETRANSLATE(B36, ""en"", ""bn"")"),"লাঠিখেলায় প্রতিটি দলে কতজন খেলোয়াড় প্রয়োজন?")</f>
        <v>লাঠিখেলায় প্রতিটি দলে কতজন খেলোয়াড় প্রয়োজন?</v>
      </c>
      <c r="K36" s="4" t="str">
        <f>IFERROR(__xludf.DUMMYFUNCTION("GOOGLETRANSLATE(C36, ""en"", ""bn"")"),"ক) ৫, খ) ৬, গ) ৭, ঘ) ৮")</f>
        <v>ক) ৫, খ) ৬, গ) ৭, ঘ) ৮</v>
      </c>
      <c r="L36" s="4" t="str">
        <f>IFERROR(__xludf.DUMMYFUNCTION("GOOGLETRANSLATE(D36, ""en"", ""bn"")"),"খ) ৬")</f>
        <v>খ) ৬</v>
      </c>
      <c r="M36" s="4" t="str">
        <f>IFERROR(__xludf.DUMMYFUNCTION("GOOGLETRANSLATE(E36, ""en"", ""bn"")"),"লাঠিখেলায় একটি ম্যাচে প্রতি দলে কমপক্ষে ৬ জন খেলোয়াড়ের প্রয়োজন হয়।")</f>
        <v>লাঠিখেলায় একটি ম্যাচে প্রতি দলে কমপক্ষে ৬ জন খেলোয়াড়ের প্রয়োজন হয়।</v>
      </c>
    </row>
    <row r="37">
      <c r="A37" s="3">
        <v>36.0</v>
      </c>
      <c r="B37" s="3" t="s">
        <v>1882</v>
      </c>
      <c r="C37" s="3" t="s">
        <v>2014</v>
      </c>
      <c r="D37" s="3" t="s">
        <v>2015</v>
      </c>
      <c r="E37" s="3" t="s">
        <v>2016</v>
      </c>
      <c r="I37" s="4" t="str">
        <f>IFERROR(__xludf.DUMMYFUNCTION("GOOGLETRANSLATE(A37, ""en"", ""bn"")"),"৩৬")</f>
        <v>৩৬</v>
      </c>
      <c r="J37" s="4" t="str">
        <f>IFERROR(__xludf.DUMMYFUNCTION("GOOGLETRANSLATE(B37, ""en"", ""bn"")"),"লাঠিখেলায় ব্যবহৃত প্রাথমিক অস্ত্র কী?")</f>
        <v>লাঠিখেলায় ব্যবহৃত প্রাথমিক অস্ত্র কী?</v>
      </c>
      <c r="K37" s="4" t="str">
        <f>IFERROR(__xludf.DUMMYFUNCTION("GOOGLETRANSLATE(C37, ""en"", ""bn"")"),"ক) লাঠি, খ) তরবারি, গ) ঢাল, ঘ) কুঠার")</f>
        <v>ক) লাঠি, খ) তরবারি, গ) ঢাল, ঘ) কুঠার</v>
      </c>
      <c r="L37" s="4" t="str">
        <f>IFERROR(__xludf.DUMMYFUNCTION("GOOGLETRANSLATE(D37, ""en"", ""bn"")"),"ক) লাঠি")</f>
        <v>ক) লাঠি</v>
      </c>
      <c r="M37" s="4" t="str">
        <f>IFERROR(__xludf.DUMMYFUNCTION("GOOGLETRANSLATE(E37, ""en"", ""bn"")"),"খেলা চলাকালীন খেলোয়াড়রা 'লাঠি' নামে পরিচিত একটি লম্বা লাঠি ব্যবহার করে, যা তাদের অস্ত্র হিসেবে ব্যবহার করে।")</f>
        <v>খেলা চলাকালীন খেলোয়াড়রা 'লাঠি' নামে পরিচিত একটি লম্বা লাঠি ব্যবহার করে, যা তাদের অস্ত্র হিসেবে ব্যবহার করে।</v>
      </c>
    </row>
    <row r="38">
      <c r="A38" s="3">
        <v>37.0</v>
      </c>
      <c r="B38" s="3" t="s">
        <v>2017</v>
      </c>
      <c r="C38" s="3" t="s">
        <v>2018</v>
      </c>
      <c r="D38" s="3" t="s">
        <v>2019</v>
      </c>
      <c r="E38" s="3" t="s">
        <v>2020</v>
      </c>
      <c r="I38" s="4" t="str">
        <f>IFERROR(__xludf.DUMMYFUNCTION("GOOGLETRANSLATE(A38, ""en"", ""bn"")"),"৩৭")</f>
        <v>৩৭</v>
      </c>
      <c r="J38" s="4" t="str">
        <f>IFERROR(__xludf.DUMMYFUNCTION("GOOGLETRANSLATE(B38, ""en"", ""bn"")"),"লাঠি খেলা খেলার মূল লক্ষ্য কী?")</f>
        <v>লাঠি খেলা খেলার মূল লক্ষ্য কী?</v>
      </c>
      <c r="K38" s="4" t="str">
        <f>IFERROR(__xludf.DUMMYFUNCTION("GOOGLETRANSLATE(C38, ""en"", ""bn"")"),"ক) পয়েন্ট অর্জন করা, খ) প্রতিপক্ষকে ছিটকে দেওয়া, গ) শেষ রেখায় পৌঁছানো, ঘ) একটি বাধা অতিক্রম করা")</f>
        <v>ক) পয়েন্ট অর্জন করা, খ) প্রতিপক্ষকে ছিটকে দেওয়া, গ) শেষ রেখায় পৌঁছানো, ঘ) একটি বাধা অতিক্রম করা</v>
      </c>
      <c r="L38" s="4" t="str">
        <f>IFERROR(__xludf.DUMMYFUNCTION("GOOGLETRANSLATE(D38, ""en"", ""bn"")"),"খ) প্রতিপক্ষকে ছিটকে ফেলার জন্য")</f>
        <v>খ) প্রতিপক্ষকে ছিটকে ফেলার জন্য</v>
      </c>
      <c r="M38" s="4" t="str">
        <f>IFERROR(__xludf.DUMMYFUNCTION("GOOGLETRANSLATE(E38, ""en"", ""bn"")"),"উদ্দেশ্য হলো প্রতিপক্ষ দলের খেলোয়াড়দের লাঠি দিয়ে আঘাত করে ছিটকে ফেলা।")</f>
        <v>উদ্দেশ্য হলো প্রতিপক্ষ দলের খেলোয়াড়দের লাঠি দিয়ে আঘাত করে ছিটকে ফেলা।</v>
      </c>
    </row>
    <row r="39">
      <c r="A39" s="3">
        <v>38.0</v>
      </c>
      <c r="B39" s="3" t="s">
        <v>2021</v>
      </c>
      <c r="C39" s="3" t="s">
        <v>2022</v>
      </c>
      <c r="D39" s="3" t="s">
        <v>2023</v>
      </c>
      <c r="E39" s="3" t="s">
        <v>2024</v>
      </c>
      <c r="I39" s="4" t="str">
        <f>IFERROR(__xludf.DUMMYFUNCTION("GOOGLETRANSLATE(A39, ""en"", ""bn"")"),"৩৮")</f>
        <v>৩৮</v>
      </c>
      <c r="J39" s="4" t="str">
        <f>IFERROR(__xludf.DUMMYFUNCTION("GOOGLETRANSLATE(B39, ""en"", ""bn"")"),"লাঠিখেলায় যদি কোনও খেলোয়াড় আঘাতপ্রাপ্ত হয় তবে কী হবে?")</f>
        <v>লাঠিখেলায় যদি কোনও খেলোয়াড় আঘাতপ্রাপ্ত হয় তবে কী হবে?</v>
      </c>
      <c r="K39" s="4" t="str">
        <f>IFERROR(__xludf.DUMMYFUNCTION("GOOGLETRANSLATE(C39, ""en"", ""bn"")"),"ক) তারা অযোগ্য ঘোষণা করা হয়েছে, খ) তারা ছিটকে গেছে, গ) তারা পয়েন্ট হারায়, ঘ) তাদের বদলি করা হয়েছে")</f>
        <v>ক) তারা অযোগ্য ঘোষণা করা হয়েছে, খ) তারা ছিটকে গেছে, গ) তারা পয়েন্ট হারায়, ঘ) তাদের বদলি করা হয়েছে</v>
      </c>
      <c r="L39" s="4" t="str">
        <f>IFERROR(__xludf.DUMMYFUNCTION("GOOGLETRANSLATE(D39, ""en"", ""bn"")"),"খ) তারা ছিটকে গেছে")</f>
        <v>খ) তারা ছিটকে গেছে</v>
      </c>
      <c r="M39" s="4" t="str">
        <f>IFERROR(__xludf.DUMMYFUNCTION("GOOGLETRANSLATE(E39, ""en"", ""bn"")"),"প্রতিপক্ষের লাথি যদি সফলভাবে আঘাত করে, তাহলে একজন খেলোয়াড়কে নক আউট বলে গণ্য করা হবে।")</f>
        <v>প্রতিপক্ষের লাথি যদি সফলভাবে আঘাত করে, তাহলে একজন খেলোয়াড়কে নক আউট বলে গণ্য করা হবে।</v>
      </c>
    </row>
    <row r="40">
      <c r="A40" s="3">
        <v>39.0</v>
      </c>
      <c r="B40" s="3" t="s">
        <v>2025</v>
      </c>
      <c r="C40" s="3" t="s">
        <v>2026</v>
      </c>
      <c r="D40" s="3" t="s">
        <v>1077</v>
      </c>
      <c r="E40" s="3" t="s">
        <v>2027</v>
      </c>
      <c r="I40" s="4" t="str">
        <f>IFERROR(__xludf.DUMMYFUNCTION("GOOGLETRANSLATE(A40, ""en"", ""bn"")"),"৩৯")</f>
        <v>৩৯</v>
      </c>
      <c r="J40" s="4" t="str">
        <f>IFERROR(__xludf.DUMMYFUNCTION("GOOGLETRANSLATE(B40, ""en"", ""bn"")"),"লাঠিখেলায় কি একজন খেলোয়াড় হাত দিয়ে রক্ষণ করতে পারে?")</f>
        <v>লাঠিখেলায় কি একজন খেলোয়াড় হাত দিয়ে রক্ষণ করতে পারে?</v>
      </c>
      <c r="K40" s="4" t="str">
        <f>IFERROR(__xludf.DUMMYFUNCTION("GOOGLETRANSLATE(C40, ""en"", ""bn"")"),"ক) হ্যাঁ, খ) না, গ) শুধুমাত্র ব্লক করার জন্য, ঘ) শুধুমাত্র ধরার জন্য")</f>
        <v>ক) হ্যাঁ, খ) না, গ) শুধুমাত্র ব্লক করার জন্য, ঘ) শুধুমাত্র ধরার জন্য</v>
      </c>
      <c r="L40" s="4" t="str">
        <f>IFERROR(__xludf.DUMMYFUNCTION("GOOGLETRANSLATE(D40, ""en"", ""bn"")"),"খ) না")</f>
        <v>খ) না</v>
      </c>
      <c r="M40" s="4" t="str">
        <f>IFERROR(__xludf.DUMMYFUNCTION("GOOGLETRANSLATE(E40, ""en"", ""bn"")"),"খেলোয়াড়দের প্রতিরক্ষার জন্য হাত ব্যবহার করার অনুমতি নেই; শুধুমাত্র লাঠি ব্যবহার করা হয়।")</f>
        <v>খেলোয়াড়দের প্রতিরক্ষার জন্য হাত ব্যবহার করার অনুমতি নেই; শুধুমাত্র লাঠি ব্যবহার করা হয়।</v>
      </c>
    </row>
    <row r="41">
      <c r="A41" s="3">
        <v>40.0</v>
      </c>
      <c r="B41" s="3" t="s">
        <v>2028</v>
      </c>
      <c r="C41" s="3" t="s">
        <v>2029</v>
      </c>
      <c r="D41" s="3" t="s">
        <v>2030</v>
      </c>
      <c r="E41" s="3" t="s">
        <v>2031</v>
      </c>
      <c r="I41" s="4" t="str">
        <f>IFERROR(__xludf.DUMMYFUNCTION("GOOGLETRANSLATE(A41, ""en"", ""bn"")"),"৪০")</f>
        <v>৪০</v>
      </c>
      <c r="J41" s="4" t="str">
        <f>IFERROR(__xludf.DUMMYFUNCTION("GOOGLETRANSLATE(B41, ""en"", ""bn"")"),"যদি উভয় দল একই সংখ্যক নকআউট স্কোর করে, তাহলে ম্যাচটি কীভাবে নিষ্পত্তি হবে?")</f>
        <v>যদি উভয় দল একই সংখ্যক নকআউট স্কোর করে, তাহলে ম্যাচটি কীভাবে নিষ্পত্তি হবে?</v>
      </c>
      <c r="K41" s="4" t="str">
        <f>IFERROR(__xludf.DUMMYFUNCTION("GOOGLETRANSLATE(C41, ""en"", ""bn"")"),"ক) অতিরিক্ত সময়, খ) পুনরায় খেলা, গ) টাইব্রেকার রাউন্ড, ঘ) খেলাটি ড্র হয়")</f>
        <v>ক) অতিরিক্ত সময়, খ) পুনরায় খেলা, গ) টাইব্রেকার রাউন্ড, ঘ) খেলাটি ড্র হয়</v>
      </c>
      <c r="L41" s="4" t="str">
        <f>IFERROR(__xludf.DUMMYFUNCTION("GOOGLETRANSLATE(D41, ""en"", ""bn"")"),"ঘ) ম্যাচটি ড্র হয়")</f>
        <v>ঘ) ম্যাচটি ড্র হয়</v>
      </c>
      <c r="M41" s="4" t="str">
        <f>IFERROR(__xludf.DUMMYFUNCTION("GOOGLETRANSLATE(E41, ""en"", ""bn"")"),"যদি উভয় দলই সমান সংখ্যক নকআউট পয়েন্ট অর্জন করে, তাহলে ম্যাচটি ড্র ঘোষণা করা হবে।")</f>
        <v>যদি উভয় দলই সমান সংখ্যক নকআউট পয়েন্ট অর্জন করে, তাহলে ম্যাচটি ড্র ঘোষণা করা হবে।</v>
      </c>
    </row>
    <row r="42">
      <c r="A42" s="3">
        <v>41.0</v>
      </c>
      <c r="B42" s="3" t="s">
        <v>2032</v>
      </c>
      <c r="C42" s="3" t="s">
        <v>2033</v>
      </c>
      <c r="D42" s="3" t="s">
        <v>238</v>
      </c>
      <c r="E42" s="3" t="s">
        <v>2034</v>
      </c>
      <c r="I42" s="4" t="str">
        <f>IFERROR(__xludf.DUMMYFUNCTION("GOOGLETRANSLATE(A42, ""en"", ""bn"")"),"৪১")</f>
        <v>৪১</v>
      </c>
      <c r="J42" s="4" t="str">
        <f>IFERROR(__xludf.DUMMYFUNCTION("GOOGLETRANSLATE(B42, ""en"", ""bn"")"),"লাঠিখেলায় নিচের কোনটি নিষিদ্ধ?")</f>
        <v>লাঠিখেলায় নিচের কোনটি নিষিদ্ধ?</v>
      </c>
      <c r="K42" s="4" t="str">
        <f>IFERROR(__xludf.DUMMYFUNCTION("GOOGLETRANSLATE(C42, ""en"", ""bn"")"),"ক) মাথার গুলি, খ) লাঠি ছাড়া অন্য অস্ত্র ব্যবহার, গ) পেছন থেকে আঘাত, ঘ) উপরের সবগুলো")</f>
        <v>ক) মাথার গুলি, খ) লাঠি ছাড়া অন্য অস্ত্র ব্যবহার, গ) পেছন থেকে আঘাত, ঘ) উপরের সবগুলো</v>
      </c>
      <c r="L42" s="4" t="str">
        <f>IFERROR(__xludf.DUMMYFUNCTION("GOOGLETRANSLATE(D42, ""en"", ""bn"")"),"ঘ) উপরের সবগুলো")</f>
        <v>ঘ) উপরের সবগুলো</v>
      </c>
      <c r="M42" s="4" t="str">
        <f>IFERROR(__xludf.DUMMYFUNCTION("GOOGLETRANSLATE(E42, ""en"", ""bn"")"),"মাথায় গুলি করা, লাঠি ছাড়া অন্য অস্ত্র ব্যবহার করা এবং পিছন থেকে আঘাত করা নিষিদ্ধ।")</f>
        <v>মাথায় গুলি করা, লাঠি ছাড়া অন্য অস্ত্র ব্যবহার করা এবং পিছন থেকে আঘাত করা নিষিদ্ধ।</v>
      </c>
    </row>
    <row r="43">
      <c r="A43" s="3">
        <v>42.0</v>
      </c>
      <c r="B43" s="3" t="s">
        <v>2035</v>
      </c>
      <c r="C43" s="3" t="s">
        <v>2036</v>
      </c>
      <c r="D43" s="3" t="s">
        <v>2037</v>
      </c>
      <c r="E43" s="3" t="s">
        <v>2038</v>
      </c>
      <c r="I43" s="4" t="str">
        <f>IFERROR(__xludf.DUMMYFUNCTION("GOOGLETRANSLATE(A43, ""en"", ""bn"")"),"৪২")</f>
        <v>৪২</v>
      </c>
      <c r="J43" s="4" t="str">
        <f>IFERROR(__xludf.DUMMYFUNCTION("GOOGLETRANSLATE(B43, ""en"", ""bn"")"),"লাঠিখেলায় অংশগ্রহণের জন্য সর্বনিম্ন বয়স কত?")</f>
        <v>লাঠিখেলায় অংশগ্রহণের জন্য সর্বনিম্ন বয়স কত?</v>
      </c>
      <c r="K43" s="4" t="str">
        <f>IFERROR(__xludf.DUMMYFUNCTION("GOOGLETRANSLATE(C43, ""en"", ""bn"")"),"ক) ১০, খ) ১২, গ) ১৪, ঘ) ১৬")</f>
        <v>ক) ১০, খ) ১২, গ) ১৪, ঘ) ১৬</v>
      </c>
      <c r="L43" s="4" t="str">
        <f>IFERROR(__xludf.DUMMYFUNCTION("GOOGLETRANSLATE(D43, ""en"", ""bn"")"),"গ) ১৪")</f>
        <v>গ) ১৪</v>
      </c>
      <c r="M43" s="4" t="str">
        <f>IFERROR(__xludf.DUMMYFUNCTION("GOOGLETRANSLATE(E43, ""en"", ""bn"")"),"লাঠি খেলায় অংশগ্রহণের জন্য খেলোয়াড়দের বয়স কমপক্ষে ১৪ বছর হতে হবে।")</f>
        <v>লাঠি খেলায় অংশগ্রহণের জন্য খেলোয়াড়দের বয়স কমপক্ষে ১৪ বছর হতে হবে।</v>
      </c>
    </row>
    <row r="44">
      <c r="A44" s="3">
        <v>43.0</v>
      </c>
      <c r="B44" s="3" t="s">
        <v>2039</v>
      </c>
      <c r="C44" s="3" t="s">
        <v>2040</v>
      </c>
      <c r="D44" s="3" t="s">
        <v>1119</v>
      </c>
      <c r="E44" s="3" t="s">
        <v>2041</v>
      </c>
      <c r="I44" s="4" t="str">
        <f>IFERROR(__xludf.DUMMYFUNCTION("GOOGLETRANSLATE(A44, ""en"", ""bn"")"),"৪৩")</f>
        <v>৪৩</v>
      </c>
      <c r="J44" s="4" t="str">
        <f>IFERROR(__xludf.DUMMYFUNCTION("GOOGLETRANSLATE(B44, ""en"", ""bn"")"),"লাঠি খেলা কি একটি পরিচিতি খেলা?")</f>
        <v>লাঠি খেলা কি একটি পরিচিতি খেলা?</v>
      </c>
      <c r="K44" s="4" t="str">
        <f>IFERROR(__xludf.DUMMYFUNCTION("GOOGLETRANSLATE(C44, ""en"", ""bn"")"),"ক) হ্যাঁ, খ) না, গ) কেবল প্রতিরক্ষার জন্য, ঘ) কেবল আক্রমণকারীদের জন্য")</f>
        <v>ক) হ্যাঁ, খ) না, গ) কেবল প্রতিরক্ষার জন্য, ঘ) কেবল আক্রমণকারীদের জন্য</v>
      </c>
      <c r="L44" s="4" t="str">
        <f>IFERROR(__xludf.DUMMYFUNCTION("GOOGLETRANSLATE(D44, ""en"", ""bn"")"),"ক) হ্যাঁ")</f>
        <v>ক) হ্যাঁ</v>
      </c>
      <c r="M44" s="4" t="str">
        <f>IFERROR(__xludf.DUMMYFUNCTION("GOOGLETRANSLATE(E44, ""en"", ""bn"")"),"লাঠি খেলা একটি পূর্ণ-সংযোগ খেলা যেখানে খেলোয়াড়রা শারীরিক লড়াইয়ে অংশগ্রহণ করে।")</f>
        <v>লাঠি খেলা একটি পূর্ণ-সংযোগ খেলা যেখানে খেলোয়াড়রা শারীরিক লড়াইয়ে অংশগ্রহণ করে।</v>
      </c>
    </row>
    <row r="45">
      <c r="A45" s="3">
        <v>44.0</v>
      </c>
      <c r="B45" s="3" t="s">
        <v>2042</v>
      </c>
      <c r="C45" s="3" t="s">
        <v>2043</v>
      </c>
      <c r="D45" s="3" t="s">
        <v>1610</v>
      </c>
      <c r="E45" s="3" t="s">
        <v>2044</v>
      </c>
      <c r="I45" s="4" t="str">
        <f>IFERROR(__xludf.DUMMYFUNCTION("GOOGLETRANSLATE(A45, ""en"", ""bn"")"),"৪৪")</f>
        <v>৪৪</v>
      </c>
      <c r="J45" s="4" t="str">
        <f>IFERROR(__xludf.DUMMYFUNCTION("GOOGLETRANSLATE(B45, ""en"", ""bn"")"),"লাঠি খেলা খেলার সর্বোচ্চ সময়কাল কত?")</f>
        <v>লাঠি খেলা খেলার সর্বোচ্চ সময়কাল কত?</v>
      </c>
      <c r="K45" s="4" t="str">
        <f>IFERROR(__xludf.DUMMYFUNCTION("GOOGLETRANSLATE(C45, ""en"", ""bn"")"),"ক) ১০ মিনিট, খ) ২০ মিনিট, গ) ৩০ মিনিট, ঘ) ৪৫ মিনিট")</f>
        <v>ক) ১০ মিনিট, খ) ২০ মিনিট, গ) ৩০ মিনিট, ঘ) ৪৫ মিনিট</v>
      </c>
      <c r="L45" s="4" t="str">
        <f>IFERROR(__xludf.DUMMYFUNCTION("GOOGLETRANSLATE(D45, ""en"", ""bn"")"),"গ) ৩০ মিনিট")</f>
        <v>গ) ৩০ মিনিট</v>
      </c>
      <c r="M45" s="4" t="str">
        <f>IFERROR(__xludf.DUMMYFUNCTION("GOOGLETRANSLATE(E45, ""en"", ""bn"")"),"একটি লাঠি খেলা সাধারণত ৩০ মিনিট পর্যন্ত খেলা হয়।")</f>
        <v>একটি লাঠি খেলা সাধারণত ৩০ মিনিট পর্যন্ত খেলা হয়।</v>
      </c>
    </row>
    <row r="46">
      <c r="A46" s="3">
        <v>45.0</v>
      </c>
      <c r="B46" s="3" t="s">
        <v>2045</v>
      </c>
      <c r="C46" s="3" t="s">
        <v>2046</v>
      </c>
      <c r="D46" s="3" t="s">
        <v>2047</v>
      </c>
      <c r="E46" s="3" t="s">
        <v>2048</v>
      </c>
      <c r="I46" s="4" t="str">
        <f>IFERROR(__xludf.DUMMYFUNCTION("GOOGLETRANSLATE(A46, ""en"", ""bn"")"),"৪৫")</f>
        <v>৪৫</v>
      </c>
      <c r="J46" s="4" t="str">
        <f>IFERROR(__xludf.DUMMYFUNCTION("GOOGLETRANSLATE(B46, ""en"", ""bn"")"),"যদি কোনও খেলোয়াড় নির্ধারিত খেলার ক্ষেত্র থেকে বেরিয়ে আসে তবে কী হবে?")</f>
        <v>যদি কোনও খেলোয়াড় নির্ধারিত খেলার ক্ষেত্র থেকে বেরিয়ে আসে তবে কী হবে?</v>
      </c>
      <c r="K46" s="4" t="str">
        <f>IFERROR(__xludf.DUMMYFUNCTION("GOOGLETRANSLATE(C46, ""en"", ""bn"")"),"ক) তারা পয়েন্ট হারায়, খ) তাদের অযোগ্য ঘোষণা করা হয়, গ) তাদের শাস্তি দেওয়া হয়, ঘ) তাদের পুনরায় প্রবেশের অনুমতি দেওয়া হয়")</f>
        <v>ক) তারা পয়েন্ট হারায়, খ) তাদের অযোগ্য ঘোষণা করা হয়, গ) তাদের শাস্তি দেওয়া হয়, ঘ) তাদের পুনরায় প্রবেশের অনুমতি দেওয়া হয়</v>
      </c>
      <c r="L46" s="4" t="str">
        <f>IFERROR(__xludf.DUMMYFUNCTION("GOOGLETRANSLATE(D46, ""en"", ""bn"")"),"গ) তাদের শাস্তি দেওয়া হয়েছে")</f>
        <v>গ) তাদের শাস্তি দেওয়া হয়েছে</v>
      </c>
      <c r="M46" s="4" t="str">
        <f>IFERROR(__xludf.DUMMYFUNCTION("GOOGLETRANSLATE(E46, ""en"", ""bn"")"),"নির্ধারিত এলাকার বাইরে পা রাখলে খেলোয়াড়কে জরিমানা করা হবে।")</f>
        <v>নির্ধারিত এলাকার বাইরে পা রাখলে খেলোয়াড়কে জরিমানা করা হবে।</v>
      </c>
    </row>
    <row r="47">
      <c r="A47" s="3">
        <v>46.0</v>
      </c>
      <c r="B47" s="3" t="s">
        <v>2049</v>
      </c>
      <c r="C47" s="3" t="s">
        <v>2050</v>
      </c>
      <c r="D47" s="3" t="s">
        <v>2051</v>
      </c>
      <c r="E47" s="3" t="s">
        <v>2052</v>
      </c>
      <c r="I47" s="4" t="str">
        <f>IFERROR(__xludf.DUMMYFUNCTION("GOOGLETRANSLATE(A47, ""en"", ""bn"")"),"৪৬")</f>
        <v>৪৬</v>
      </c>
      <c r="J47" s="4" t="str">
        <f>IFERROR(__xludf.DUMMYFUNCTION("GOOGLETRANSLATE(B47, ""en"", ""bn"")"),"লাঠিখেলা জয়ের পর একটি সাধারণ উদযাপন কী?")</f>
        <v>লাঠিখেলা জয়ের পর একটি সাধারণ উদযাপন কী?</v>
      </c>
      <c r="K47" s="4" t="str">
        <f>IFERROR(__xludf.DUMMYFUNCTION("GOOGLETRANSLATE(C47, ""en"", ""bn"")"),"ক) নাচ, খ) গান, গ) আতশবাজি, ঘ) ভোজ")</f>
        <v>ক) নাচ, খ) গান, গ) আতশবাজি, ঘ) ভোজ</v>
      </c>
      <c r="L47" s="4" t="str">
        <f>IFERROR(__xludf.DUMMYFUNCTION("GOOGLETRANSLATE(D47, ""en"", ""bn"")"),"ক) নাচ")</f>
        <v>ক) নাচ</v>
      </c>
      <c r="M47" s="4" t="str">
        <f>IFERROR(__xludf.DUMMYFUNCTION("GOOGLETRANSLATE(E47, ""en"", ""bn"")"),"দলগুলি সাধারণত ঐতিহ্যবাহী নৃত্যের মাধ্যমে বিজয় উদযাপন করে।")</f>
        <v>দলগুলি সাধারণত ঐতিহ্যবাহী নৃত্যের মাধ্যমে বিজয় উদযাপন করে।</v>
      </c>
    </row>
    <row r="48">
      <c r="A48" s="3">
        <v>47.0</v>
      </c>
      <c r="B48" s="3" t="s">
        <v>2053</v>
      </c>
      <c r="C48" s="3" t="s">
        <v>2054</v>
      </c>
      <c r="D48" s="3" t="s">
        <v>1119</v>
      </c>
      <c r="E48" s="3" t="s">
        <v>2055</v>
      </c>
      <c r="I48" s="4" t="str">
        <f>IFERROR(__xludf.DUMMYFUNCTION("GOOGLETRANSLATE(A48, ""en"", ""bn"")"),"৪৭")</f>
        <v>৪৭</v>
      </c>
      <c r="J48" s="4" t="str">
        <f>IFERROR(__xludf.DUMMYFUNCTION("GOOGLETRANSLATE(B48, ""en"", ""bn"")"),"একটি দল কি খেলার সময় খেলোয়াড়দের বদলি করতে পারে?")</f>
        <v>একটি দল কি খেলার সময় খেলোয়াড়দের বদলি করতে পারে?</v>
      </c>
      <c r="K48" s="4" t="str">
        <f>IFERROR(__xludf.DUMMYFUNCTION("GOOGLETRANSLATE(C48, ""en"", ""bn"")"),"ক) হ্যাঁ, খ) না, গ) শুধুমাত্র হাফটাইমে, ঘ) শুধুমাত্র আহত অবস্থায়")</f>
        <v>ক) হ্যাঁ, খ) না, গ) শুধুমাত্র হাফটাইমে, ঘ) শুধুমাত্র আহত অবস্থায়</v>
      </c>
      <c r="L48" s="4" t="str">
        <f>IFERROR(__xludf.DUMMYFUNCTION("GOOGLETRANSLATE(D48, ""en"", ""bn"")"),"ক) হ্যাঁ")</f>
        <v>ক) হ্যাঁ</v>
      </c>
      <c r="M48" s="4" t="str">
        <f>IFERROR(__xludf.DUMMYFUNCTION("GOOGLETRANSLATE(E48, ""en"", ""bn"")"),"নিয়ম অনুসারে, দলগুলি খেলার সময় খেলোয়াড়দের বদলি করতে পারে।")</f>
        <v>নিয়ম অনুসারে, দলগুলি খেলার সময় খেলোয়াড়দের বদলি করতে পারে।</v>
      </c>
    </row>
    <row r="49">
      <c r="A49" s="3">
        <v>48.0</v>
      </c>
      <c r="B49" s="3" t="s">
        <v>2056</v>
      </c>
      <c r="C49" s="3" t="s">
        <v>2057</v>
      </c>
      <c r="D49" s="3" t="s">
        <v>238</v>
      </c>
      <c r="E49" s="3" t="s">
        <v>2058</v>
      </c>
      <c r="I49" s="4" t="str">
        <f>IFERROR(__xludf.DUMMYFUNCTION("GOOGLETRANSLATE(A49, ""en"", ""bn"")"),"৪৮")</f>
        <v>৪৮</v>
      </c>
      <c r="J49" s="4" t="str">
        <f>IFERROR(__xludf.DUMMYFUNCTION("GOOGLETRANSLATE(B49, ""en"", ""bn"")"),"একজন সফল লাঠি খেলা খেলোয়াড়ের জন্য কোন দক্ষতা সবচেয়ে গুরুত্বপূর্ণ?")</f>
        <v>একজন সফল লাঠি খেলা খেলোয়াড়ের জন্য কোন দক্ষতা সবচেয়ে গুরুত্বপূর্ণ?</v>
      </c>
      <c r="K49" s="4" t="str">
        <f>IFERROR(__xludf.DUMMYFUNCTION("GOOGLETRANSLATE(C49, ""en"", ""bn"")"),"ক) তত্পরতা, খ) শক্তি, গ) গতি, ঘ) উপরের সবগুলো")</f>
        <v>ক) তত্পরতা, খ) শক্তি, গ) গতি, ঘ) উপরের সবগুলো</v>
      </c>
      <c r="L49" s="4" t="str">
        <f>IFERROR(__xludf.DUMMYFUNCTION("GOOGLETRANSLATE(D49, ""en"", ""bn"")"),"ঘ) উপরের সবগুলো")</f>
        <v>ঘ) উপরের সবগুলো</v>
      </c>
      <c r="M49" s="4" t="str">
        <f>IFERROR(__xludf.DUMMYFUNCTION("GOOGLETRANSLATE(E49, ""en"", ""bn"")"),"একজন সফল লাঠি খেলা খেলোয়াড়ের জন্য তত্পরতা, শক্তি এবং গতি প্রয়োজন।")</f>
        <v>একজন সফল লাঠি খেলা খেলোয়াড়ের জন্য তত্পরতা, শক্তি এবং গতি প্রয়োজন।</v>
      </c>
    </row>
    <row r="50">
      <c r="A50" s="3">
        <v>49.0</v>
      </c>
      <c r="B50" s="3" t="s">
        <v>2059</v>
      </c>
      <c r="C50" s="3" t="s">
        <v>2060</v>
      </c>
      <c r="D50" s="3" t="s">
        <v>2061</v>
      </c>
      <c r="E50" s="3" t="s">
        <v>2062</v>
      </c>
      <c r="I50" s="4" t="str">
        <f>IFERROR(__xludf.DUMMYFUNCTION("GOOGLETRANSLATE(A50, ""en"", ""bn"")"),"৪৯")</f>
        <v>৪৯</v>
      </c>
      <c r="J50" s="4" t="str">
        <f>IFERROR(__xludf.DUMMYFUNCTION("GOOGLETRANSLATE(B50, ""en"", ""bn"")"),"লাঠিখেলার খেলোয়াড়রা খেলার সময় কীভাবে যোগাযোগ করে?")</f>
        <v>লাঠিখেলার খেলোয়াড়রা খেলার সময় কীভাবে যোগাযোগ করে?</v>
      </c>
      <c r="K50" s="4" t="str">
        <f>IFERROR(__xludf.DUMMYFUNCTION("GOOGLETRANSLATE(C50, ""en"", ""bn"")"),"ক) হাতের ইশারা, খ) বাঁশি, গ) চিৎকার, ঘ) লিখিত নোট")</f>
        <v>ক) হাতের ইশারা, খ) বাঁশি, গ) চিৎকার, ঘ) লিখিত নোট</v>
      </c>
      <c r="L50" s="4" t="str">
        <f>IFERROR(__xludf.DUMMYFUNCTION("GOOGLETRANSLATE(D50, ""en"", ""bn"")"),"গ) চিৎকার")</f>
        <v>গ) চিৎকার</v>
      </c>
      <c r="M50" s="4" t="str">
        <f>IFERROR(__xludf.DUMMYFUNCTION("GOOGLETRANSLATE(E50, ""en"", ""bn"")"),"খেলা চলাকালীন খেলোয়াড়রা চিৎকার এবং মৌখিক সংকেতের মাধ্যমে একে অপরের সাথে যোগাযোগ করে।")</f>
        <v>খেলা চলাকালীন খেলোয়াড়রা চিৎকার এবং মৌখিক সংকেতের মাধ্যমে একে অপরের সাথে যোগাযোগ করে।</v>
      </c>
    </row>
    <row r="51">
      <c r="A51" s="3">
        <v>50.0</v>
      </c>
      <c r="B51" s="3" t="s">
        <v>2063</v>
      </c>
      <c r="C51" s="3" t="s">
        <v>2064</v>
      </c>
      <c r="D51" s="3" t="s">
        <v>2065</v>
      </c>
      <c r="E51" s="3" t="s">
        <v>2066</v>
      </c>
      <c r="I51" s="4" t="str">
        <f>IFERROR(__xludf.DUMMYFUNCTION("GOOGLETRANSLATE(A51, ""en"", ""bn"")"),"৫০")</f>
        <v>৫০</v>
      </c>
      <c r="J51" s="4" t="str">
        <f>IFERROR(__xludf.DUMMYFUNCTION("GOOGLETRANSLATE(B51, ""en"", ""bn"")"),"লাঠিখেলায় প্রতিপক্ষকে আঘাত করার জন্য শরীরের কোন অংশ ব্যবহার করা যেতে পারে?")</f>
        <v>লাঠিখেলায় প্রতিপক্ষকে আঘাত করার জন্য শরীরের কোন অংশ ব্যবহার করা যেতে পারে?</v>
      </c>
      <c r="K51" s="4" t="str">
        <f>IFERROR(__xludf.DUMMYFUNCTION("GOOGLETRANSLATE(C51, ""en"", ""bn"")"),"ক) পা, খ) বাহু, গ) লাঠি, ঘ) মাথা")</f>
        <v>ক) পা, খ) বাহু, গ) লাঠি, ঘ) মাথা</v>
      </c>
      <c r="L51" s="4" t="str">
        <f>IFERROR(__xludf.DUMMYFUNCTION("GOOGLETRANSLATE(D51, ""en"", ""bn"")"),"গ) লাঠি")</f>
        <v>গ) লাঠি</v>
      </c>
      <c r="M51" s="4" t="str">
        <f>IFERROR(__xludf.DUMMYFUNCTION("GOOGLETRANSLATE(E51, ""en"", ""bn"")"),"প্রতিপক্ষকে আঘাত করার জন্য লাঠিই একমাত্র অনুমোদিত অস্ত্র।")</f>
        <v>প্রতিপক্ষকে আঘাত করার জন্য লাঠিই একমাত্র অনুমোদিত অস্ত্র।</v>
      </c>
    </row>
    <row r="52">
      <c r="A52" s="3">
        <v>51.0</v>
      </c>
      <c r="B52" s="3" t="s">
        <v>2067</v>
      </c>
      <c r="C52" s="3" t="s">
        <v>2068</v>
      </c>
      <c r="D52" s="3" t="s">
        <v>2069</v>
      </c>
      <c r="E52" s="3" t="s">
        <v>2070</v>
      </c>
      <c r="I52" s="4" t="str">
        <f>IFERROR(__xludf.DUMMYFUNCTION("GOOGLETRANSLATE(A52, ""en"", ""bn"")"),"৫১")</f>
        <v>৫১</v>
      </c>
      <c r="J52" s="4" t="str">
        <f>IFERROR(__xludf.DUMMYFUNCTION("GOOGLETRANSLATE(B52, ""en"", ""bn"")"),"লাঠি খেলায় রেফারির ভূমিকা কী?")</f>
        <v>লাঠি খেলায় রেফারির ভূমিকা কী?</v>
      </c>
      <c r="K52" s="4" t="str">
        <f>IFERROR(__xludf.DUMMYFUNCTION("GOOGLETRANSLATE(C52, ""en"", ""bn"")"),"ক) পয়েন্ট অর্জন করা, খ) ম্যাচ তত্ত্বাবধান করা এবং সুষ্ঠু খেলা নিশ্চিত করা, গ) খেলোয়াড়দের প্রশিক্ষণ দেওয়া, ঘ) বিজয়ী ঘোষণা করা।")</f>
        <v>ক) পয়েন্ট অর্জন করা, খ) ম্যাচ তত্ত্বাবধান করা এবং সুষ্ঠু খেলা নিশ্চিত করা, গ) খেলোয়াড়দের প্রশিক্ষণ দেওয়া, ঘ) বিজয়ী ঘোষণা করা।</v>
      </c>
      <c r="L52" s="4" t="str">
        <f>IFERROR(__xludf.DUMMYFUNCTION("GOOGLETRANSLATE(D52, ""en"", ""bn"")"),"খ) ম্যাচ তত্ত্বাবধান করা এবং সুষ্ঠু খেলা নিশ্চিত করা।")</f>
        <v>খ) ম্যাচ তত্ত্বাবধান করা এবং সুষ্ঠু খেলা নিশ্চিত করা।</v>
      </c>
      <c r="M52" s="4" t="str">
        <f>IFERROR(__xludf.DUMMYFUNCTION("GOOGLETRANSLATE(E52, ""en"", ""bn"")"),"রেফারি খেলাটি তদারকি করেন, খেলাটি সুষ্ঠুভাবে অনুষ্ঠিত হচ্ছে কিনা তা নিশ্চিত করেন।")</f>
        <v>রেফারি খেলাটি তদারকি করেন, খেলাটি সুষ্ঠুভাবে অনুষ্ঠিত হচ্ছে কিনা তা নিশ্চিত করেন।</v>
      </c>
    </row>
    <row r="53">
      <c r="A53" s="3">
        <v>52.0</v>
      </c>
      <c r="B53" s="3" t="s">
        <v>2071</v>
      </c>
      <c r="C53" s="3" t="s">
        <v>2072</v>
      </c>
      <c r="D53" s="3" t="s">
        <v>2073</v>
      </c>
      <c r="E53" s="3" t="s">
        <v>2074</v>
      </c>
      <c r="I53" s="4" t="str">
        <f>IFERROR(__xludf.DUMMYFUNCTION("GOOGLETRANSLATE(A53, ""en"", ""bn"")"),"৫২")</f>
        <v>৫২</v>
      </c>
      <c r="J53" s="4" t="str">
        <f>IFERROR(__xludf.DUMMYFUNCTION("GOOGLETRANSLATE(B53, ""en"", ""bn"")"),"লাঠি খেলা চলাকালীন যদি কোনও খেলোয়াড় মাটিতে পড়ে যায় তবে কী হবে?")</f>
        <v>লাঠি খেলা চলাকালীন যদি কোনও খেলোয়াড় মাটিতে পড়ে যায় তবে কী হবে?</v>
      </c>
      <c r="K53" s="4" t="str">
        <f>IFERROR(__xludf.DUMMYFUNCTION("GOOGLETRANSLATE(C53, ""en"", ""bn"")"),"ক) তাদের ছিটকে দেওয়া হবে, খ) তাদের শাস্তি দেওয়া হবে, গ) তাদের আবার দাঁড়াতে হবে, ঘ) তারা খেলা চালিয়ে যাবে")</f>
        <v>ক) তাদের ছিটকে দেওয়া হবে, খ) তাদের শাস্তি দেওয়া হবে, গ) তাদের আবার দাঁড়াতে হবে, ঘ) তারা খেলা চালিয়ে যাবে</v>
      </c>
      <c r="L53" s="4" t="str">
        <f>IFERROR(__xludf.DUMMYFUNCTION("GOOGLETRANSLATE(D53, ""en"", ""bn"")"),"ক) তারা ছিটকে গেছে")</f>
        <v>ক) তারা ছিটকে গেছে</v>
      </c>
      <c r="M53" s="4" t="str">
        <f>IFERROR(__xludf.DUMMYFUNCTION("GOOGLETRANSLATE(E53, ""en"", ""bn"")"),"যদি কোন খেলোয়াড় মাটিতে পড়ে যায়, তাহলে তাকে খেলা থেকে ছিটকে যাওয়া বলে গণ্য করা হবে।")</f>
        <v>যদি কোন খেলোয়াড় মাটিতে পড়ে যায়, তাহলে তাকে খেলা থেকে ছিটকে যাওয়া বলে গণ্য করা হবে।</v>
      </c>
    </row>
    <row r="54">
      <c r="A54" s="3">
        <v>53.0</v>
      </c>
      <c r="B54" s="3" t="s">
        <v>2075</v>
      </c>
      <c r="C54" s="3" t="s">
        <v>2076</v>
      </c>
      <c r="D54" s="3" t="s">
        <v>2077</v>
      </c>
      <c r="E54" s="3" t="s">
        <v>2078</v>
      </c>
      <c r="I54" s="4" t="str">
        <f>IFERROR(__xludf.DUMMYFUNCTION("GOOGLETRANSLATE(A54, ""en"", ""bn"")"),"৫৩")</f>
        <v>৫৩</v>
      </c>
      <c r="J54" s="4" t="str">
        <f>IFERROR(__xludf.DUMMYFUNCTION("GOOGLETRANSLATE(B54, ""en"", ""bn"")"),"লাঠি খেলা কি পূর্ণ সময়ের আগে শেষ হতে পারে?")</f>
        <v>লাঠি খেলা কি পূর্ণ সময়ের আগে শেষ হতে পারে?</v>
      </c>
      <c r="K54" s="4" t="str">
        <f>IFERROR(__xludf.DUMMYFUNCTION("GOOGLETRANSLATE(C54, ""en"", ""bn"")"),"ক) হ্যাঁ, যদি একটি দল ছিটকে যায়, খ) না, গ) হ্যাঁ, যদি ড্র হয়, ঘ) হ্যাঁ, যদি উভয় দল একমত হয়")</f>
        <v>ক) হ্যাঁ, যদি একটি দল ছিটকে যায়, খ) না, গ) হ্যাঁ, যদি ড্র হয়, ঘ) হ্যাঁ, যদি উভয় দল একমত হয়</v>
      </c>
      <c r="L54" s="4" t="str">
        <f>IFERROR(__xludf.DUMMYFUNCTION("GOOGLETRANSLATE(D54, ""en"", ""bn"")"),"ক) হ্যাঁ, যদি একটি দল ছিটকে যায়")</f>
        <v>ক) হ্যাঁ, যদি একটি দল ছিটকে যায়</v>
      </c>
      <c r="M54" s="4" t="str">
        <f>IFERROR(__xludf.DUMMYFUNCTION("GOOGLETRANSLATE(E54, ""en"", ""bn"")"),"যদি কোন দলের সকল খেলোয়াড় ছিটকে পড়ে, তাহলে খেলাটি তাড়াতাড়ি শেষ হতে পারে।")</f>
        <v>যদি কোন দলের সকল খেলোয়াড় ছিটকে পড়ে, তাহলে খেলাটি তাড়াতাড়ি শেষ হতে পারে।</v>
      </c>
    </row>
    <row r="55">
      <c r="A55" s="3">
        <v>54.0</v>
      </c>
      <c r="B55" s="3" t="s">
        <v>2079</v>
      </c>
      <c r="C55" s="3" t="s">
        <v>2080</v>
      </c>
      <c r="D55" s="3" t="s">
        <v>2081</v>
      </c>
      <c r="E55" s="3" t="s">
        <v>2082</v>
      </c>
      <c r="I55" s="4" t="str">
        <f>IFERROR(__xludf.DUMMYFUNCTION("GOOGLETRANSLATE(A55, ""en"", ""bn"")"),"৫৪")</f>
        <v>৫৪</v>
      </c>
      <c r="J55" s="4" t="str">
        <f>IFERROR(__xludf.DUMMYFUNCTION("GOOGLETRANSLATE(B55, ""en"", ""bn"")"),"লাঠিখেলায় নিচের কোনটি একটি আইনি পদক্ষেপ?")</f>
        <v>লাঠিখেলায় নিচের কোনটি একটি আইনি পদক্ষেপ?</v>
      </c>
      <c r="K55" s="4" t="str">
        <f>IFERROR(__xludf.DUMMYFUNCTION("GOOGLETRANSLATE(C55, ""en"", ""bn"")"),"ক) নিচু আঘাত, খ) উঁচু আঘাত, গ) লাঠি ঘোরানো, ঘ) ওভারহেড আঘাত")</f>
        <v>ক) নিচু আঘাত, খ) উঁচু আঘাত, গ) লাঠি ঘোরানো, ঘ) ওভারহেড আঘাত</v>
      </c>
      <c r="L55" s="4" t="str">
        <f>IFERROR(__xludf.DUMMYFUNCTION("GOOGLETRANSLATE(D55, ""en"", ""bn"")"),"ক) নিম্ন স্ট্রাইক")</f>
        <v>ক) নিম্ন স্ট্রাইক</v>
      </c>
      <c r="M55" s="4" t="str">
        <f>IFERROR(__xludf.DUMMYFUNCTION("GOOGLETRANSLATE(E55, ""en"", ""bn"")"),"কম ধর্মঘট একটি আইনি পদক্ষেপ, অন্য পদক্ষেপগুলি সীমাবদ্ধ।")</f>
        <v>কম ধর্মঘট একটি আইনি পদক্ষেপ, অন্য পদক্ষেপগুলি সীমাবদ্ধ।</v>
      </c>
    </row>
    <row r="56">
      <c r="A56" s="3">
        <v>55.0</v>
      </c>
      <c r="B56" s="3" t="s">
        <v>2083</v>
      </c>
      <c r="C56" s="3" t="s">
        <v>2084</v>
      </c>
      <c r="D56" s="3" t="s">
        <v>2085</v>
      </c>
      <c r="E56" s="3" t="s">
        <v>2086</v>
      </c>
      <c r="I56" s="4" t="str">
        <f>IFERROR(__xludf.DUMMYFUNCTION("GOOGLETRANSLATE(A56, ""en"", ""bn"")"),"৫৫")</f>
        <v>৫৫</v>
      </c>
      <c r="J56" s="4" t="str">
        <f>IFERROR(__xludf.DUMMYFUNCTION("GOOGLETRANSLATE(B56, ""en"", ""bn"")"),"লাঠিখেলায় খেলোয়াড়দের ব্যবহৃত প্রাথমিক প্রতিরক্ষা কী?")</f>
        <v>লাঠিখেলায় খেলোয়াড়দের ব্যবহৃত প্রাথমিক প্রতিরক্ষা কী?</v>
      </c>
      <c r="K56" s="4" t="str">
        <f>IFERROR(__xludf.DUMMYFUNCTION("GOOGLETRANSLATE(C56, ""en"", ""bn"")"),"ক) ঢাল, খ) লাঠি ব্লকিং, গ) ফাঁকি দেওয়া, ঘ) প্রতিপক্ষকে ধরে ফেলা")</f>
        <v>ক) ঢাল, খ) লাঠি ব্লকিং, গ) ফাঁকি দেওয়া, ঘ) প্রতিপক্ষকে ধরে ফেলা</v>
      </c>
      <c r="L56" s="4" t="str">
        <f>IFERROR(__xludf.DUMMYFUNCTION("GOOGLETRANSLATE(D56, ""en"", ""bn"")"),"খ) লাঠি ব্লকিং")</f>
        <v>খ) লাঠি ব্লকিং</v>
      </c>
      <c r="M56" s="4" t="str">
        <f>IFERROR(__xludf.DUMMYFUNCTION("GOOGLETRANSLATE(E56, ""en"", ""bn"")"),"খেলোয়াড়রা সাধারণত তাদের লাঠি দিয়ে স্ট্রাইক ব্লক করে নিজেদের রক্ষা করে।")</f>
        <v>খেলোয়াড়রা সাধারণত তাদের লাঠি দিয়ে স্ট্রাইক ব্লক করে নিজেদের রক্ষা করে।</v>
      </c>
    </row>
    <row r="57">
      <c r="A57" s="3">
        <v>56.0</v>
      </c>
      <c r="B57" s="3" t="s">
        <v>2087</v>
      </c>
      <c r="C57" s="3" t="s">
        <v>2088</v>
      </c>
      <c r="D57" s="3" t="s">
        <v>2089</v>
      </c>
      <c r="E57" s="3" t="s">
        <v>2090</v>
      </c>
      <c r="I57" s="4" t="str">
        <f>IFERROR(__xludf.DUMMYFUNCTION("GOOGLETRANSLATE(A57, ""en"", ""bn"")"),"৫৬")</f>
        <v>৫৬</v>
      </c>
      <c r="J57" s="4" t="str">
        <f>IFERROR(__xludf.DUMMYFUNCTION("GOOGLETRANSLATE(B57, ""en"", ""bn"")"),"লাঠিখেলায় গতির গুরুত্ব কী?")</f>
        <v>লাঠিখেলায় গতির গুরুত্ব কী?</v>
      </c>
      <c r="K57" s="4" t="str">
        <f>IFERROR(__xludf.DUMMYFUNCTION("GOOGLETRANSLATE(C57, ""en"", ""bn"")"),"ক) প্রথমে আঘাত করতে সাহায্য করে, খ) আঘাত এড়াতে সাহায্য করে, গ) সহনশীলতা বৃদ্ধি করে, ঘ) ক এবং খ উভয়ই")</f>
        <v>ক) প্রথমে আঘাত করতে সাহায্য করে, খ) আঘাত এড়াতে সাহায্য করে, গ) সহনশীলতা বৃদ্ধি করে, ঘ) ক এবং খ উভয়ই</v>
      </c>
      <c r="L57" s="4" t="str">
        <f>IFERROR(__xludf.DUMMYFUNCTION("GOOGLETRANSLATE(D57, ""en"", ""bn"")"),"ঘ) ক এবং খ উভয়ই")</f>
        <v>ঘ) ক এবং খ উভয়ই</v>
      </c>
      <c r="M57" s="4" t="str">
        <f>IFERROR(__xludf.DUMMYFUNCTION("GOOGLETRANSLATE(E57, ""en"", ""bn"")"),"আক্রমণ এবং আঘাত এড়াতে উভয়ের জন্যই গতি অপরিহার্য।")</f>
        <v>আক্রমণ এবং আঘাত এড়াতে উভয়ের জন্যই গতি অপরিহার্য।</v>
      </c>
    </row>
    <row r="58">
      <c r="A58" s="3">
        <v>57.0</v>
      </c>
      <c r="B58" s="3" t="s">
        <v>2091</v>
      </c>
      <c r="C58" s="3" t="s">
        <v>2092</v>
      </c>
      <c r="D58" s="3" t="s">
        <v>2093</v>
      </c>
      <c r="E58" s="3" t="s">
        <v>2094</v>
      </c>
      <c r="I58" s="4" t="str">
        <f>IFERROR(__xludf.DUMMYFUNCTION("GOOGLETRANSLATE(A58, ""en"", ""bn"")"),"৫৭")</f>
        <v>৫৭</v>
      </c>
      <c r="J58" s="4" t="str">
        <f>IFERROR(__xludf.DUMMYFUNCTION("GOOGLETRANSLATE(B58, ""en"", ""bn"")"),"লাঠিখেলা ম্যাচে একটি দল কীভাবে জিততে পারে?")</f>
        <v>লাঠিখেলা ম্যাচে একটি দল কীভাবে জিততে পারে?</v>
      </c>
      <c r="K58" s="4" t="str">
        <f>IFERROR(__xludf.DUMMYFUNCTION("GOOGLETRANSLATE(C58, ""en"", ""bn"")"),"ক) সর্বাধিক পয়েন্ট অর্জন করে, খ) সর্বাধিক নকআউট অর্জন করে, গ) সমস্ত প্রতিপক্ষকে নকআউট করে, ঘ) আরও খেলোয়াড়কে দাঁড় করিয়ে")</f>
        <v>ক) সর্বাধিক পয়েন্ট অর্জন করে, খ) সর্বাধিক নকআউট অর্জন করে, গ) সমস্ত প্রতিপক্ষকে নকআউট করে, ঘ) আরও খেলোয়াড়কে দাঁড় করিয়ে</v>
      </c>
      <c r="L58" s="4" t="str">
        <f>IFERROR(__xludf.DUMMYFUNCTION("GOOGLETRANSLATE(D58, ""en"", ""bn"")"),"গ) সকল প্রতিপক্ষকে ছিটকে দিয়ে")</f>
        <v>গ) সকল প্রতিপক্ষকে ছিটকে দিয়ে</v>
      </c>
      <c r="M58" s="4" t="str">
        <f>IFERROR(__xludf.DUMMYFUNCTION("GOOGLETRANSLATE(E58, ""en"", ""bn"")"),"যখন একটি দল প্রতিপক্ষ দলের সকল খেলোয়াড়কে ছিটকে দেয়, তখন ম্যাচটি জিতে যায়।")</f>
        <v>যখন একটি দল প্রতিপক্ষ দলের সকল খেলোয়াড়কে ছিটকে দেয়, তখন ম্যাচটি জিতে যায়।</v>
      </c>
    </row>
    <row r="59">
      <c r="A59" s="3">
        <v>58.0</v>
      </c>
      <c r="B59" s="3" t="s">
        <v>2095</v>
      </c>
      <c r="C59" s="3" t="s">
        <v>2096</v>
      </c>
      <c r="D59" s="3" t="s">
        <v>1119</v>
      </c>
      <c r="E59" s="3" t="s">
        <v>2097</v>
      </c>
      <c r="I59" s="4" t="str">
        <f>IFERROR(__xludf.DUMMYFUNCTION("GOOGLETRANSLATE(A59, ""en"", ""bn"")"),"৫৮")</f>
        <v>৫৮</v>
      </c>
      <c r="J59" s="4" t="str">
        <f>IFERROR(__xludf.DUMMYFUNCTION("GOOGLETRANSLATE(B59, ""en"", ""bn"")"),"লাঠিখেলায় অ-খেলাধুলা আচরণের জন্য কি কোনও শাস্তি আছে?")</f>
        <v>লাঠিখেলায় অ-খেলাধুলা আচরণের জন্য কি কোনও শাস্তি আছে?</v>
      </c>
      <c r="K59" s="4" t="str">
        <f>IFERROR(__xludf.DUMMYFUNCTION("GOOGLETRANSLATE(C59, ""en"", ""bn"")"),"ক) হ্যাঁ, খ) না, গ) শুধুমাত্র বড় ধরনের লঙ্ঘনের জন্য, ঘ) শুধুমাত্র অশ্লীল ভাষার জন্য")</f>
        <v>ক) হ্যাঁ, খ) না, গ) শুধুমাত্র বড় ধরনের লঙ্ঘনের জন্য, ঘ) শুধুমাত্র অশ্লীল ভাষার জন্য</v>
      </c>
      <c r="L59" s="4" t="str">
        <f>IFERROR(__xludf.DUMMYFUNCTION("GOOGLETRANSLATE(D59, ""en"", ""bn"")"),"ক) হ্যাঁ")</f>
        <v>ক) হ্যাঁ</v>
      </c>
      <c r="M59" s="4" t="str">
        <f>IFERROR(__xludf.DUMMYFUNCTION("GOOGLETRANSLATE(E59, ""en"", ""bn"")"),"ফাউল বা প্রতারণা সহ অখেলোয়াড় আচরণের জন্য শাস্তি দেওয়া হবে।")</f>
        <v>ফাউল বা প্রতারণা সহ অখেলোয়াড় আচরণের জন্য শাস্তি দেওয়া হবে।</v>
      </c>
    </row>
    <row r="60">
      <c r="A60" s="3">
        <v>59.0</v>
      </c>
      <c r="B60" s="3" t="s">
        <v>2098</v>
      </c>
      <c r="C60" s="3" t="s">
        <v>2099</v>
      </c>
      <c r="D60" s="3" t="s">
        <v>2100</v>
      </c>
      <c r="E60" s="3" t="s">
        <v>2101</v>
      </c>
      <c r="I60" s="4" t="str">
        <f>IFERROR(__xludf.DUMMYFUNCTION("GOOGLETRANSLATE(A60, ""en"", ""bn"")"),"৫৯")</f>
        <v>৫৯</v>
      </c>
      <c r="J60" s="4" t="str">
        <f>IFERROR(__xludf.DUMMYFUNCTION("GOOGLETRANSLATE(B60, ""en"", ""bn"")"),"লাঠিখেলায় পয়েন্ট কীভাবে পাওয়া যায়?")</f>
        <v>লাঠিখেলায় পয়েন্ট কীভাবে পাওয়া যায়?</v>
      </c>
      <c r="K60" s="4" t="str">
        <f>IFERROR(__xludf.DUMMYFUNCTION("GOOGLETRANSLATE(C60, ""en"", ""bn"")"),"ক) প্রতিপক্ষকে আঘাত করে, খ) খেলায় টিকে থেকে, গ) সফলভাবে ব্লক করে, ঘ) লাঠি ভেঙে")</f>
        <v>ক) প্রতিপক্ষকে আঘাত করে, খ) খেলায় টিকে থেকে, গ) সফলভাবে ব্লক করে, ঘ) লাঠি ভেঙে</v>
      </c>
      <c r="L60" s="4" t="str">
        <f>IFERROR(__xludf.DUMMYFUNCTION("GOOGLETRANSLATE(D60, ""en"", ""bn"")"),"ক) প্রতিপক্ষকে আঘাত করে")</f>
        <v>ক) প্রতিপক্ষকে আঘাত করে</v>
      </c>
      <c r="M60" s="4" t="str">
        <f>IFERROR(__xludf.DUMMYFUNCTION("GOOGLETRANSLATE(E60, ""en"", ""bn"")"),"লাঠি দিয়ে প্রতিপক্ষকে সফলভাবে আঘাত করে পয়েন্ট অর্জন করা হয়।")</f>
        <v>লাঠি দিয়ে প্রতিপক্ষকে সফলভাবে আঘাত করে পয়েন্ট অর্জন করা হয়।</v>
      </c>
    </row>
    <row r="61">
      <c r="A61" s="3">
        <v>60.0</v>
      </c>
      <c r="B61" s="3" t="s">
        <v>2102</v>
      </c>
      <c r="C61" s="3" t="s">
        <v>2103</v>
      </c>
      <c r="D61" s="3" t="s">
        <v>2104</v>
      </c>
      <c r="E61" s="3" t="s">
        <v>2105</v>
      </c>
      <c r="I61" s="4" t="str">
        <f>IFERROR(__xludf.DUMMYFUNCTION("GOOGLETRANSLATE(A61, ""en"", ""bn"")"),"৬০")</f>
        <v>৬০</v>
      </c>
      <c r="J61" s="4" t="str">
        <f>IFERROR(__xludf.DUMMYFUNCTION("GOOGLETRANSLATE(B61, ""en"", ""bn"")"),"লাঠিখেলায় একটি সাধারণ আঘাত কী?")</f>
        <v>লাঠিখেলায় একটি সাধারণ আঘাত কী?</v>
      </c>
      <c r="K61" s="4" t="str">
        <f>IFERROR(__xludf.DUMMYFUNCTION("GOOGLETRANSLATE(C61, ""en"", ""bn"")"),"ক) ক্ষত, খ) কব্জিতে মচকে যাওয়া, গ) মাথায় আঘাত, ঘ) ভাঙা হাড়")</f>
        <v>ক) ক্ষত, খ) কব্জিতে মচকে যাওয়া, গ) মাথায় আঘাত, ঘ) ভাঙা হাড়</v>
      </c>
      <c r="L61" s="4" t="str">
        <f>IFERROR(__xludf.DUMMYFUNCTION("GOOGLETRANSLATE(D61, ""en"", ""bn"")"),"ক) ক্ষতচিহ্ন")</f>
        <v>ক) ক্ষতচিহ্ন</v>
      </c>
      <c r="M61" s="4" t="str">
        <f>IFERROR(__xludf.DUMMYFUNCTION("GOOGLETRANSLATE(E61, ""en"", ""bn"")"),"খেলার শারীরিক প্রকৃতির কারণে সবচেয়ে সাধারণ আঘাত হল ক্ষত।")</f>
        <v>খেলার শারীরিক প্রকৃতির কারণে সবচেয়ে সাধারণ আঘাত হল ক্ষত।</v>
      </c>
    </row>
    <row r="62">
      <c r="A62" s="3">
        <v>61.0</v>
      </c>
      <c r="B62" s="3" t="s">
        <v>2106</v>
      </c>
      <c r="C62" s="3" t="s">
        <v>2107</v>
      </c>
      <c r="D62" s="3" t="s">
        <v>2108</v>
      </c>
      <c r="E62" s="3" t="s">
        <v>2109</v>
      </c>
      <c r="I62" s="4" t="str">
        <f>IFERROR(__xludf.DUMMYFUNCTION("GOOGLETRANSLATE(A62, ""en"", ""bn"")"),"৬১")</f>
        <v>৬১</v>
      </c>
      <c r="J62" s="4" t="str">
        <f>IFERROR(__xludf.DUMMYFUNCTION("GOOGLETRANSLATE(B62, ""en"", ""bn"")"),"লাঠি খেলার জন্য আদর্শ খেলার মাঠ কী?")</f>
        <v>লাঠি খেলার জন্য আদর্শ খেলার মাঠ কী?</v>
      </c>
      <c r="K62" s="4" t="str">
        <f>IFERROR(__xludf.DUMMYFUNCTION("GOOGLETRANSLATE(C62, ""en"", ""bn"")"),"ক) মাটির মাটি, খ) কাঠের মেঝে, গ) কংক্রিটের আঙিনা, ঘ) কার্পেট")</f>
        <v>ক) মাটির মাটি, খ) কাঠের মেঝে, গ) কংক্রিটের আঙিনা, ঘ) কার্পেট</v>
      </c>
      <c r="L62" s="4" t="str">
        <f>IFERROR(__xludf.DUMMYFUNCTION("GOOGLETRANSLATE(D62, ""en"", ""bn"")"),"ক) কাদা মাটি")</f>
        <v>ক) কাদা মাটি</v>
      </c>
      <c r="M62" s="4" t="str">
        <f>IFERROR(__xludf.DUMMYFUNCTION("GOOGLETRANSLATE(E62, ""en"", ""bn"")"),"ঐতিহ্যগতভাবে, নিরাপত্তা এবং চলাচলের জন্য কাদা বা খোলা মাঠে লাঠি খেলা খেলা হয়।")</f>
        <v>ঐতিহ্যগতভাবে, নিরাপত্তা এবং চলাচলের জন্য কাদা বা খোলা মাঠে লাঠি খেলা খেলা হয়।</v>
      </c>
    </row>
    <row r="63">
      <c r="A63" s="3">
        <v>62.0</v>
      </c>
      <c r="B63" s="3" t="s">
        <v>2110</v>
      </c>
      <c r="C63" s="3" t="s">
        <v>1977</v>
      </c>
      <c r="D63" s="3" t="s">
        <v>1077</v>
      </c>
      <c r="E63" s="3" t="s">
        <v>2111</v>
      </c>
      <c r="I63" s="4" t="str">
        <f>IFERROR(__xludf.DUMMYFUNCTION("GOOGLETRANSLATE(A63, ""en"", ""bn"")"),"৬২")</f>
        <v>৬২</v>
      </c>
      <c r="J63" s="4" t="str">
        <f>IFERROR(__xludf.DUMMYFUNCTION("GOOGLETRANSLATE(B63, ""en"", ""bn"")"),"লাঠিখেলায় কি খেলোয়াড়রা পিছন থেকে প্রতিপক্ষকে আঘাত করতে পারে?")</f>
        <v>লাঠিখেলায় কি খেলোয়াড়রা পিছন থেকে প্রতিপক্ষকে আঘাত করতে পারে?</v>
      </c>
      <c r="K63" s="4" t="str">
        <f>IFERROR(__xludf.DUMMYFUNCTION("GOOGLETRANSLATE(C63, ""en"", ""bn"")"),"ক) হ্যাঁ, খ) না")</f>
        <v>ক) হ্যাঁ, খ) না</v>
      </c>
      <c r="L63" s="4" t="str">
        <f>IFERROR(__xludf.DUMMYFUNCTION("GOOGLETRANSLATE(D63, ""en"", ""bn"")"),"খ) না")</f>
        <v>খ) না</v>
      </c>
      <c r="M63" s="4" t="str">
        <f>IFERROR(__xludf.DUMMYFUNCTION("GOOGLETRANSLATE(E63, ""en"", ""bn"")"),"পিছন থেকে আঘাত করা অন্যায্য বলে বিবেচিত হয় এবং এটি অনুমোদিত নয়।")</f>
        <v>পিছন থেকে আঘাত করা অন্যায্য বলে বিবেচিত হয় এবং এটি অনুমোদিত নয়।</v>
      </c>
    </row>
    <row r="64">
      <c r="A64" s="3">
        <v>63.0</v>
      </c>
      <c r="B64" s="3" t="s">
        <v>2112</v>
      </c>
      <c r="C64" s="3" t="s">
        <v>2113</v>
      </c>
      <c r="D64" s="3" t="s">
        <v>2114</v>
      </c>
      <c r="E64" s="3" t="s">
        <v>2115</v>
      </c>
      <c r="I64" s="4" t="str">
        <f>IFERROR(__xludf.DUMMYFUNCTION("GOOGLETRANSLATE(A64, ""en"", ""bn"")"),"৬৩")</f>
        <v>৬৩</v>
      </c>
      <c r="J64" s="4" t="str">
        <f>IFERROR(__xludf.DUMMYFUNCTION("GOOGLETRANSLATE(B64, ""en"", ""bn"")"),"লাঠি খেলা খেলার শুরুর সংকেত কীভাবে দেওয়া হয়?")</f>
        <v>লাঠি খেলা খেলার শুরুর সংকেত কীভাবে দেওয়া হয়?</v>
      </c>
      <c r="K64" s="4" t="str">
        <f>IFERROR(__xludf.DUMMYFUNCTION("GOOGLETRANSLATE(C64, ""en"", ""bn"")"),"ক) ঢোলের তাল, খ) রেফারির বাঁশি, গ) হাততালি, ঘ) পতাকা নাড়ানো")</f>
        <v>ক) ঢোলের তাল, খ) রেফারির বাঁশি, গ) হাততালি, ঘ) পতাকা নাড়ানো</v>
      </c>
      <c r="L64" s="4" t="str">
        <f>IFERROR(__xludf.DUMMYFUNCTION("GOOGLETRANSLATE(D64, ""en"", ""bn"")"),"খ) রেফারির বাঁশি")</f>
        <v>খ) রেফারির বাঁশি</v>
      </c>
      <c r="M64" s="4" t="str">
        <f>IFERROR(__xludf.DUMMYFUNCTION("GOOGLETRANSLATE(E64, ""en"", ""bn"")"),"রেফারি সাধারণত খেলা শুরু করার জন্য বাঁশি ব্যবহার করেন।")</f>
        <v>রেফারি সাধারণত খেলা শুরু করার জন্য বাঁশি ব্যবহার করেন।</v>
      </c>
    </row>
    <row r="65">
      <c r="A65" s="3">
        <v>64.0</v>
      </c>
      <c r="B65" s="3" t="s">
        <v>2116</v>
      </c>
      <c r="C65" s="3" t="s">
        <v>2117</v>
      </c>
      <c r="D65" s="3" t="s">
        <v>96</v>
      </c>
      <c r="E65" s="3" t="s">
        <v>2118</v>
      </c>
      <c r="I65" s="4" t="str">
        <f>IFERROR(__xludf.DUMMYFUNCTION("GOOGLETRANSLATE(A65, ""en"", ""bn"")"),"৬৪")</f>
        <v>৬৪</v>
      </c>
      <c r="J65" s="4" t="str">
        <f>IFERROR(__xludf.DUMMYFUNCTION("GOOGLETRANSLATE(B65, ""en"", ""bn"")"),"খেলার সময় ভাঙা লাঠি ব্যবহারের শাস্তি কী?")</f>
        <v>খেলার সময় ভাঙা লাঠি ব্যবহারের শাস্তি কী?</v>
      </c>
      <c r="K65" s="4" t="str">
        <f>IFERROR(__xludf.DUMMYFUNCTION("GOOGLETRANSLATE(C65, ""en"", ""bn"")"),"ক) অযোগ্যতা, খ) সতর্কীকরণ, গ) প্রতিস্থাপন, ঘ) প্রতিপক্ষকে বিনামূল্যে আঘাত")</f>
        <v>ক) অযোগ্যতা, খ) সতর্কীকরণ, গ) প্রতিস্থাপন, ঘ) প্রতিপক্ষকে বিনামূল্যে আঘাত</v>
      </c>
      <c r="L65" s="4" t="str">
        <f>IFERROR(__xludf.DUMMYFUNCTION("GOOGLETRANSLATE(D65, ""en"", ""bn"")"),"ক) অযোগ্যতা")</f>
        <v>ক) অযোগ্যতা</v>
      </c>
      <c r="M65" s="4" t="str">
        <f>IFERROR(__xludf.DUMMYFUNCTION("GOOGLETRANSLATE(E65, ""en"", ""bn"")"),"ভাঙা লাঠি নিরাপদ নয়, এবং এটি ব্যবহারকারী খেলোয়াড়কে অযোগ্য ঘোষণা করা হতে পারে।")</f>
        <v>ভাঙা লাঠি নিরাপদ নয়, এবং এটি ব্যবহারকারী খেলোয়াড়কে অযোগ্য ঘোষণা করা হতে পারে।</v>
      </c>
    </row>
    <row r="66">
      <c r="A66" s="3">
        <v>65.0</v>
      </c>
      <c r="B66" s="3" t="s">
        <v>2119</v>
      </c>
      <c r="C66" s="3" t="s">
        <v>1977</v>
      </c>
      <c r="D66" s="3" t="s">
        <v>1077</v>
      </c>
      <c r="E66" s="3" t="s">
        <v>2120</v>
      </c>
      <c r="I66" s="4" t="str">
        <f>IFERROR(__xludf.DUMMYFUNCTION("GOOGLETRANSLATE(A66, ""en"", ""bn"")"),"৬৫")</f>
        <v>৬৫</v>
      </c>
      <c r="J66" s="4" t="str">
        <f>IFERROR(__xludf.DUMMYFUNCTION("GOOGLETRANSLATE(B66, ""en"", ""bn"")"),"লাঠিখেলায় খেলোয়াড়রা কি একসাথে দুটি লাঠি ব্যবহার করতে পারে?")</f>
        <v>লাঠিখেলায় খেলোয়াড়রা কি একসাথে দুটি লাঠি ব্যবহার করতে পারে?</v>
      </c>
      <c r="K66" s="4" t="str">
        <f>IFERROR(__xludf.DUMMYFUNCTION("GOOGLETRANSLATE(C66, ""en"", ""bn"")"),"ক) হ্যাঁ, খ) না")</f>
        <v>ক) হ্যাঁ, খ) না</v>
      </c>
      <c r="L66" s="4" t="str">
        <f>IFERROR(__xludf.DUMMYFUNCTION("GOOGLETRANSLATE(D66, ""en"", ""bn"")"),"খ) না")</f>
        <v>খ) না</v>
      </c>
      <c r="M66" s="4" t="str">
        <f>IFERROR(__xludf.DUMMYFUNCTION("GOOGLETRANSLATE(E66, ""en"", ""bn"")"),"খেলা চলাকালীন প্রতি খেলোয়াড়ের জন্য কেবল একটি লাঠি ব্যবহারের অনুমতি রয়েছে।")</f>
        <v>খেলা চলাকালীন প্রতি খেলোয়াড়ের জন্য কেবল একটি লাঠি ব্যবহারের অনুমতি রয়েছে।</v>
      </c>
    </row>
    <row r="67">
      <c r="A67" s="3">
        <v>66.0</v>
      </c>
      <c r="B67" s="3" t="s">
        <v>2121</v>
      </c>
      <c r="C67" s="3" t="s">
        <v>2122</v>
      </c>
      <c r="D67" s="3" t="s">
        <v>2123</v>
      </c>
      <c r="E67" s="3" t="s">
        <v>2124</v>
      </c>
      <c r="I67" s="4" t="str">
        <f>IFERROR(__xludf.DUMMYFUNCTION("GOOGLETRANSLATE(A67, ""en"", ""bn"")"),"৬৬")</f>
        <v>৬৬</v>
      </c>
      <c r="J67" s="4" t="str">
        <f>IFERROR(__xludf.DUMMYFUNCTION("GOOGLETRANSLATE(B67, ""en"", ""bn"")"),"একজন খেলোয়াড়ের হাত থেকে লাঠি পড়ে গেলে তার কী করা উচিত?")</f>
        <v>একজন খেলোয়াড়ের হাত থেকে লাঠি পড়ে গেলে তার কী করা উচিত?</v>
      </c>
      <c r="K67" s="4" t="str">
        <f>IFERROR(__xludf.DUMMYFUNCTION("GOOGLETRANSLATE(C67, ""en"", ""bn"")"),"ক) তাৎক্ষণিকভাবে তুলে নাও, খ) খালি হাতে চালিয়ে যাও, গ) রেফারির সংকেতের জন্য অপেক্ষা করো, ঘ) মাঠ ত্যাগ করো")</f>
        <v>ক) তাৎক্ষণিকভাবে তুলে নাও, খ) খালি হাতে চালিয়ে যাও, গ) রেফারির সংকেতের জন্য অপেক্ষা করো, ঘ) মাঠ ত্যাগ করো</v>
      </c>
      <c r="L67" s="4" t="str">
        <f>IFERROR(__xludf.DUMMYFUNCTION("GOOGLETRANSLATE(D67, ""en"", ""bn"")"),"ক) তাৎক্ষণিকভাবে তুলে নাও")</f>
        <v>ক) তাৎক্ষণিকভাবে তুলে নাও</v>
      </c>
      <c r="M67" s="4" t="str">
        <f>IFERROR(__xludf.DUMMYFUNCTION("GOOGLETRANSLATE(E67, ""en"", ""bn"")"),"খেলা চালিয়ে যাওয়ার জন্য খেলোয়াড়দের দ্রুত তাদের লাঠিটি তুলে নিতে হবে।")</f>
        <v>খেলা চালিয়ে যাওয়ার জন্য খেলোয়াড়দের দ্রুত তাদের লাঠিটি তুলে নিতে হবে।</v>
      </c>
    </row>
    <row r="68">
      <c r="A68" s="3">
        <v>67.0</v>
      </c>
      <c r="B68" s="3" t="s">
        <v>2125</v>
      </c>
      <c r="C68" s="3" t="s">
        <v>2126</v>
      </c>
      <c r="D68" s="3" t="s">
        <v>2127</v>
      </c>
      <c r="E68" s="3" t="s">
        <v>2128</v>
      </c>
      <c r="I68" s="4" t="str">
        <f>IFERROR(__xludf.DUMMYFUNCTION("GOOGLETRANSLATE(A68, ""en"", ""bn"")"),"৬৭")</f>
        <v>৬৭</v>
      </c>
      <c r="J68" s="4" t="str">
        <f>IFERROR(__xludf.DUMMYFUNCTION("GOOGLETRANSLATE(B68, ""en"", ""bn"")"),"লাঠিখেলায় কোন দল খেলা শুরু করবে?")</f>
        <v>লাঠিখেলায় কোন দল খেলা শুরু করবে?</v>
      </c>
      <c r="K68" s="4" t="str">
        <f>IFERROR(__xludf.DUMMYFUNCTION("GOOGLETRANSLATE(C68, ""en"", ""bn"")"),"ক) টসের মাধ্যমে সিদ্ধান্ত নেওয়া হয়, খ) সর্বদা স্বাগতিক দল, গ) রেফারি সিদ্ধান্ত নেন, ঘ) এলোমেলো নির্বাচন")</f>
        <v>ক) টসের মাধ্যমে সিদ্ধান্ত নেওয়া হয়, খ) সর্বদা স্বাগতিক দল, গ) রেফারি সিদ্ধান্ত নেন, ঘ) এলোমেলো নির্বাচন</v>
      </c>
      <c r="L68" s="4" t="str">
        <f>IFERROR(__xludf.DUMMYFUNCTION("GOOGLETRANSLATE(D68, ""en"", ""bn"")"),"ক) টস দ্বারা সিদ্ধান্ত নেওয়া হয়েছে")</f>
        <v>ক) টস দ্বারা সিদ্ধান্ত নেওয়া হয়েছে</v>
      </c>
      <c r="M68" s="4" t="str">
        <f>IFERROR(__xludf.DUMMYFUNCTION("GOOGLETRANSLATE(E68, ""en"", ""bn"")"),"সাধারণত মুদ্রা টসের মাধ্যমে শুরুর দল নির্বাচন করা হয়।")</f>
        <v>সাধারণত মুদ্রা টসের মাধ্যমে শুরুর দল নির্বাচন করা হয়।</v>
      </c>
    </row>
    <row r="69">
      <c r="A69" s="3">
        <v>68.0</v>
      </c>
      <c r="B69" s="3" t="s">
        <v>2129</v>
      </c>
      <c r="C69" s="3" t="s">
        <v>2130</v>
      </c>
      <c r="D69" s="3" t="s">
        <v>2131</v>
      </c>
      <c r="E69" s="3" t="s">
        <v>2132</v>
      </c>
      <c r="I69" s="4" t="str">
        <f>IFERROR(__xludf.DUMMYFUNCTION("GOOGLETRANSLATE(A69, ""en"", ""bn"")"),"৬৮")</f>
        <v>৬৮</v>
      </c>
      <c r="J69" s="4" t="str">
        <f>IFERROR(__xludf.DUMMYFUNCTION("GOOGLETRANSLATE(B69, ""en"", ""bn"")"),"লাঠিখেলায় প্রতিরক্ষার সময় কী নিষিদ্ধ?")</f>
        <v>লাঠিখেলায় প্রতিরক্ষার সময় কী নিষিদ্ধ?</v>
      </c>
      <c r="K69" s="4" t="str">
        <f>IFERROR(__xludf.DUMMYFUNCTION("GOOGLETRANSLATE(C69, ""en"", ""bn"")"),"ক) লাঠি দিয়ে ব্লক করা, খ) এড়িয়ে যাওয়া, গ) বডি পুশ ব্যবহার করা, ঘ) পাল্টা আঘাত করা")</f>
        <v>ক) লাঠি দিয়ে ব্লক করা, খ) এড়িয়ে যাওয়া, গ) বডি পুশ ব্যবহার করা, ঘ) পাল্টা আঘাত করা</v>
      </c>
      <c r="L69" s="4" t="str">
        <f>IFERROR(__xludf.DUMMYFUNCTION("GOOGLETRANSLATE(D69, ""en"", ""bn"")"),"গ) বডি পুশ ব্যবহার করে")</f>
        <v>গ) বডি পুশ ব্যবহার করে</v>
      </c>
      <c r="M69" s="4" t="str">
        <f>IFERROR(__xludf.DUMMYFUNCTION("GOOGLETRANSLATE(E69, ""en"", ""bn"")"),"শরীরের সাথে শারীরিক ধাক্কাধাক্কি করা অনুমোদিত নয়।")</f>
        <v>শরীরের সাথে শারীরিক ধাক্কাধাক্কি করা অনুমোদিত নয়।</v>
      </c>
    </row>
    <row r="70">
      <c r="A70" s="3">
        <v>69.0</v>
      </c>
      <c r="B70" s="3" t="s">
        <v>2133</v>
      </c>
      <c r="C70" s="3" t="s">
        <v>2134</v>
      </c>
      <c r="D70" s="3" t="s">
        <v>401</v>
      </c>
      <c r="E70" s="3" t="s">
        <v>2135</v>
      </c>
      <c r="I70" s="4" t="str">
        <f>IFERROR(__xludf.DUMMYFUNCTION("GOOGLETRANSLATE(A70, ""en"", ""bn"")"),"৬৯")</f>
        <v>৬৯</v>
      </c>
      <c r="J70" s="4" t="str">
        <f>IFERROR(__xludf.DUMMYFUNCTION("GOOGLETRANSLATE(B70, ""en"", ""bn"")"),"যদি কোন খেলোয়াড় ইচ্ছাকৃতভাবে প্রতিপক্ষকে আহত করে, তাহলে কী হবে?")</f>
        <v>যদি কোন খেলোয়াড় ইচ্ছাকৃতভাবে প্রতিপক্ষকে আহত করে, তাহলে কী হবে?</v>
      </c>
      <c r="K70" s="4" t="str">
        <f>IFERROR(__xludf.DUMMYFUNCTION("GOOGLETRANSLATE(C70, ""en"", ""bn"")"),"ক) সতর্কীকরণ, খ) প্রতিস্থাপন, গ) অযোগ্যতা, ঘ) রিপ্লে")</f>
        <v>ক) সতর্কীকরণ, খ) প্রতিস্থাপন, গ) অযোগ্যতা, ঘ) রিপ্লে</v>
      </c>
      <c r="L70" s="4" t="str">
        <f>IFERROR(__xludf.DUMMYFUNCTION("GOOGLETRANSLATE(D70, ""en"", ""bn"")"),"গ) অযোগ্যতা")</f>
        <v>গ) অযোগ্যতা</v>
      </c>
      <c r="M70" s="4" t="str">
        <f>IFERROR(__xludf.DUMMYFUNCTION("GOOGLETRANSLATE(E70, ""en"", ""bn"")"),"ইচ্ছাকৃত আঘাত তাৎক্ষণিকভাবে অযোগ্য ঘোষণার দিকে পরিচালিত করে।")</f>
        <v>ইচ্ছাকৃত আঘাত তাৎক্ষণিকভাবে অযোগ্য ঘোষণার দিকে পরিচালিত করে।</v>
      </c>
    </row>
    <row r="71">
      <c r="A71" s="3">
        <v>70.0</v>
      </c>
      <c r="B71" s="3" t="s">
        <v>2136</v>
      </c>
      <c r="C71" s="3" t="s">
        <v>1977</v>
      </c>
      <c r="D71" s="3" t="s">
        <v>1077</v>
      </c>
      <c r="E71" s="3" t="s">
        <v>2137</v>
      </c>
      <c r="I71" s="4" t="str">
        <f>IFERROR(__xludf.DUMMYFUNCTION("GOOGLETRANSLATE(A71, ""en"", ""bn"")"),"৭০")</f>
        <v>৭০</v>
      </c>
      <c r="J71" s="4" t="str">
        <f>IFERROR(__xludf.DUMMYFUNCTION("GOOGLETRANSLATE(B71, ""en"", ""bn"")"),"লাঠিখেলায় কি কুস্তি করা যাবে?")</f>
        <v>লাঠিখেলায় কি কুস্তি করা যাবে?</v>
      </c>
      <c r="K71" s="4" t="str">
        <f>IFERROR(__xludf.DUMMYFUNCTION("GOOGLETRANSLATE(C71, ""en"", ""bn"")"),"ক) হ্যাঁ, খ) না")</f>
        <v>ক) হ্যাঁ, খ) না</v>
      </c>
      <c r="L71" s="4" t="str">
        <f>IFERROR(__xludf.DUMMYFUNCTION("GOOGLETRANSLATE(D71, ""en"", ""bn"")"),"খ) না")</f>
        <v>খ) না</v>
      </c>
      <c r="M71" s="4" t="str">
        <f>IFERROR(__xludf.DUMMYFUNCTION("GOOGLETRANSLATE(E71, ""en"", ""bn"")"),"দৌড়ঝাঁপ বা কুস্তির চালগুলি কঠোরভাবে নিষিদ্ধ।")</f>
        <v>দৌড়ঝাঁপ বা কুস্তির চালগুলি কঠোরভাবে নিষিদ্ধ।</v>
      </c>
    </row>
    <row r="72">
      <c r="A72" s="3">
        <v>71.0</v>
      </c>
      <c r="B72" s="3" t="s">
        <v>2138</v>
      </c>
      <c r="C72" s="3" t="s">
        <v>2139</v>
      </c>
      <c r="D72" s="3" t="s">
        <v>2140</v>
      </c>
      <c r="E72" s="3" t="s">
        <v>2141</v>
      </c>
      <c r="I72" s="4" t="str">
        <f>IFERROR(__xludf.DUMMYFUNCTION("GOOGLETRANSLATE(A72, ""en"", ""bn"")"),"৭১")</f>
        <v>৭১</v>
      </c>
      <c r="J72" s="4" t="str">
        <f>IFERROR(__xludf.DUMMYFUNCTION("GOOGLETRANSLATE(B72, ""en"", ""bn"")"),"ধর্মঘটের সময় লাঠি ভেঙে গেলে কী হবে?")</f>
        <v>ধর্মঘটের সময় লাঠি ভেঙে গেলে কী হবে?</v>
      </c>
      <c r="K72" s="4" t="str">
        <f>IFERROR(__xludf.DUMMYFUNCTION("GOOGLETRANSLATE(C72, ""en"", ""bn"")"),"ক) খেলা বন্ধ, খ) খেলোয়াড় অযোগ্য ঘোষণা, গ) প্রতিপক্ষের জয়, ঘ) রাউন্ডটি পুনরায় খেলা")</f>
        <v>ক) খেলা বন্ধ, খ) খেলোয়াড় অযোগ্য ঘোষণা, গ) প্রতিপক্ষের জয়, ঘ) রাউন্ডটি পুনরায় খেলা</v>
      </c>
      <c r="L72" s="4" t="str">
        <f>IFERROR(__xludf.DUMMYFUNCTION("GOOGLETRANSLATE(D72, ""en"", ""bn"")"),"ক) খেলা বন্ধ হয়ে যায়")</f>
        <v>ক) খেলা বন্ধ হয়ে যায়</v>
      </c>
      <c r="M72" s="4" t="str">
        <f>IFERROR(__xludf.DUMMYFUNCTION("GOOGLETRANSLATE(E72, ""en"", ""bn"")"),"ভাঙা লাঠিটি প্রতিস্থাপনের জন্য রেফারি খেলা বন্ধ করে দেন।")</f>
        <v>ভাঙা লাঠিটি প্রতিস্থাপনের জন্য রেফারি খেলা বন্ধ করে দেন।</v>
      </c>
    </row>
    <row r="73">
      <c r="A73" s="3">
        <v>72.0</v>
      </c>
      <c r="B73" s="3" t="s">
        <v>2142</v>
      </c>
      <c r="C73" s="3" t="s">
        <v>1977</v>
      </c>
      <c r="D73" s="3" t="s">
        <v>1077</v>
      </c>
      <c r="E73" s="3" t="s">
        <v>2143</v>
      </c>
      <c r="I73" s="4" t="str">
        <f>IFERROR(__xludf.DUMMYFUNCTION("GOOGLETRANSLATE(A73, ""en"", ""bn"")"),"৭২")</f>
        <v>৭২</v>
      </c>
      <c r="J73" s="4" t="str">
        <f>IFERROR(__xludf.DUMMYFUNCTION("GOOGLETRANSLATE(B73, ""en"", ""bn"")"),"লাঠিখেলায় খেলোয়াড়রা কি গ্লাভস পরতে পারবে?")</f>
        <v>লাঠিখেলায় খেলোয়াড়রা কি গ্লাভস পরতে পারবে?</v>
      </c>
      <c r="K73" s="4" t="str">
        <f>IFERROR(__xludf.DUMMYFUNCTION("GOOGLETRANSLATE(C73, ""en"", ""bn"")"),"ক) হ্যাঁ, খ) না")</f>
        <v>ক) হ্যাঁ, খ) না</v>
      </c>
      <c r="L73" s="4" t="str">
        <f>IFERROR(__xludf.DUMMYFUNCTION("GOOGLETRANSLATE(D73, ""en"", ""bn"")"),"খ) না")</f>
        <v>খ) না</v>
      </c>
      <c r="M73" s="4" t="str">
        <f>IFERROR(__xludf.DUMMYFUNCTION("GOOGLETRANSLATE(E73, ""en"", ""bn"")"),"ঐতিহ্যবাহী নিয়মে গ্লাভস পরার অনুমতি নেই; খালি হাতে গ্রিপ ব্যবহার করা হয়।")</f>
        <v>ঐতিহ্যবাহী নিয়মে গ্লাভস পরার অনুমতি নেই; খালি হাতে গ্রিপ ব্যবহার করা হয়।</v>
      </c>
    </row>
    <row r="74">
      <c r="A74" s="3">
        <v>73.0</v>
      </c>
      <c r="B74" s="3" t="s">
        <v>2144</v>
      </c>
      <c r="C74" s="3" t="s">
        <v>2145</v>
      </c>
      <c r="D74" s="3" t="s">
        <v>2146</v>
      </c>
      <c r="E74" s="3" t="s">
        <v>2147</v>
      </c>
      <c r="I74" s="4" t="str">
        <f>IFERROR(__xludf.DUMMYFUNCTION("GOOGLETRANSLATE(A74, ""en"", ""bn"")"),"৭৩")</f>
        <v>৭৩</v>
      </c>
      <c r="J74" s="4" t="str">
        <f>IFERROR(__xludf.DUMMYFUNCTION("GOOGLETRANSLATE(B74, ""en"", ""bn"")"),"খেলোয়াড়রা যখন স্ট্রাইকের বিরোধিতা করে তখন রেফারির ভূমিকা কী?")</f>
        <v>খেলোয়াড়রা যখন স্ট্রাইকের বিরোধিতা করে তখন রেফারির ভূমিকা কী?</v>
      </c>
      <c r="K74" s="4" t="str">
        <f>IFERROR(__xludf.DUMMYFUNCTION("GOOGLETRANSLATE(C74, ""en"", ""bn"")"),"ক) চালটি পুনরায় চালান, খ) ফলাফল নির্ধারণ করুন, গ) খেলা বাতিল করুন, ঘ) উপেক্ষা করুন")</f>
        <v>ক) চালটি পুনরায় চালান, খ) ফলাফল নির্ধারণ করুন, গ) খেলা বাতিল করুন, ঘ) উপেক্ষা করুন</v>
      </c>
      <c r="L74" s="4" t="str">
        <f>IFERROR(__xludf.DUMMYFUNCTION("GOOGLETRANSLATE(D74, ""en"", ""bn"")"),"খ) ফলাফল নির্ধারণ করুন")</f>
        <v>খ) ফলাফল নির্ধারণ করুন</v>
      </c>
      <c r="M74" s="4" t="str">
        <f>IFERROR(__xludf.DUMMYFUNCTION("GOOGLETRANSLATE(E74, ""en"", ""bn"")"),"স্ট্রাইক বিরোধের ক্ষেত্রে রেফারিরই চূড়ান্ত সিদ্ধান্ত।")</f>
        <v>স্ট্রাইক বিরোধের ক্ষেত্রে রেফারিরই চূড়ান্ত সিদ্ধান্ত।</v>
      </c>
    </row>
    <row r="75">
      <c r="A75" s="3">
        <v>74.0</v>
      </c>
      <c r="B75" s="3" t="s">
        <v>2148</v>
      </c>
      <c r="C75" s="3" t="s">
        <v>2149</v>
      </c>
      <c r="D75" s="3" t="s">
        <v>2150</v>
      </c>
      <c r="E75" s="3" t="s">
        <v>2151</v>
      </c>
      <c r="I75" s="4" t="str">
        <f>IFERROR(__xludf.DUMMYFUNCTION("GOOGLETRANSLATE(A75, ""en"", ""bn"")"),"৭৪")</f>
        <v>৭৪</v>
      </c>
      <c r="J75" s="4" t="str">
        <f>IFERROR(__xludf.DUMMYFUNCTION("GOOGLETRANSLATE(B75, ""en"", ""bn"")"),"লাঠি খেলায় কিভাবে ফাউল রেকর্ড করা হয়?")</f>
        <v>লাঠি খেলায় কিভাবে ফাউল রেকর্ড করা হয়?</v>
      </c>
      <c r="K75" s="4" t="str">
        <f>IFERROR(__xludf.DUMMYFUNCTION("GOOGLETRANSLATE(C75, ""en"", ""bn"")"),"ক) রেফারির নোট অনুসারে, খ) স্কোরবোর্ড অনুসারে, গ) দর্শকদের দ্বারা, ঘ) রেকর্ড করা হয়নি")</f>
        <v>ক) রেফারির নোট অনুসারে, খ) স্কোরবোর্ড অনুসারে, গ) দর্শকদের দ্বারা, ঘ) রেকর্ড করা হয়নি</v>
      </c>
      <c r="L75" s="4" t="str">
        <f>IFERROR(__xludf.DUMMYFUNCTION("GOOGLETRANSLATE(D75, ""en"", ""bn"")"),"ক) রেফারির নোট অনুসারে")</f>
        <v>ক) রেফারির নোট অনুসারে</v>
      </c>
      <c r="M75" s="4" t="str">
        <f>IFERROR(__xludf.DUMMYFUNCTION("GOOGLETRANSLATE(E75, ""en"", ""bn"")"),"ফাউলগুলি আনুষ্ঠানিকভাবে রেফারি দ্বারা ট্র্যাক করা হয়।")</f>
        <v>ফাউলগুলি আনুষ্ঠানিকভাবে রেফারি দ্বারা ট্র্যাক করা হয়।</v>
      </c>
    </row>
    <row r="76">
      <c r="A76" s="3">
        <v>75.0</v>
      </c>
      <c r="B76" s="3" t="s">
        <v>2152</v>
      </c>
      <c r="C76" s="3" t="s">
        <v>1977</v>
      </c>
      <c r="D76" s="3" t="s">
        <v>1077</v>
      </c>
      <c r="E76" s="3" t="s">
        <v>2153</v>
      </c>
      <c r="I76" s="4" t="str">
        <f>IFERROR(__xludf.DUMMYFUNCTION("GOOGLETRANSLATE(A76, ""en"", ""bn"")"),"৭৫")</f>
        <v>৭৫</v>
      </c>
      <c r="J76" s="4" t="str">
        <f>IFERROR(__xludf.DUMMYFUNCTION("GOOGLETRANSLATE(B76, ""en"", ""bn"")"),"লাঠি খেলা কি ঘরের ভিতরে খেলা যায়?")</f>
        <v>লাঠি খেলা কি ঘরের ভিতরে খেলা যায়?</v>
      </c>
      <c r="K76" s="4" t="str">
        <f>IFERROR(__xludf.DUMMYFUNCTION("GOOGLETRANSLATE(C76, ""en"", ""bn"")"),"ক) হ্যাঁ, খ) না")</f>
        <v>ক) হ্যাঁ, খ) না</v>
      </c>
      <c r="L76" s="4" t="str">
        <f>IFERROR(__xludf.DUMMYFUNCTION("GOOGLETRANSLATE(D76, ""en"", ""bn"")"),"খ) না")</f>
        <v>খ) না</v>
      </c>
      <c r="M76" s="4" t="str">
        <f>IFERROR(__xludf.DUMMYFUNCTION("GOOGLETRANSLATE(E76, ""en"", ""bn"")"),"নিরাপত্তার জন্য এই খেলার জন্য খোলা মাঠের প্রয়োজন।")</f>
        <v>নিরাপত্তার জন্য এই খেলার জন্য খোলা মাঠের প্রয়োজন।</v>
      </c>
    </row>
    <row r="77">
      <c r="A77" s="3">
        <v>76.0</v>
      </c>
      <c r="B77" s="3" t="s">
        <v>2154</v>
      </c>
      <c r="C77" s="3" t="s">
        <v>2155</v>
      </c>
      <c r="D77" s="3" t="s">
        <v>389</v>
      </c>
      <c r="E77" s="3" t="s">
        <v>2156</v>
      </c>
      <c r="I77" s="4" t="str">
        <f>IFERROR(__xludf.DUMMYFUNCTION("GOOGLETRANSLATE(A77, ""en"", ""bn"")"),"৭৬")</f>
        <v>৭৬</v>
      </c>
      <c r="J77" s="4" t="str">
        <f>IFERROR(__xludf.DUMMYFUNCTION("GOOGLETRANSLATE(B77, ""en"", ""bn"")"),"যদি উভয় খেলোয়াড় একই সাথে আঘাত করে তাহলে কী হবে?")</f>
        <v>যদি উভয় খেলোয়াড় একই সাথে আঘাত করে তাহলে কী হবে?</v>
      </c>
      <c r="K77" s="4" t="str">
        <f>IFERROR(__xludf.DUMMYFUNCTION("GOOGLETRANSLATE(C77, ""en"", ""bn"")"),"ক) উভয়ই বাদ পড়ে, খ) রেফারির সিদ্ধান্ত, গ) রিপ্লে স্ট্রাইক, ঘ) খেলা শেষ")</f>
        <v>ক) উভয়ই বাদ পড়ে, খ) রেফারির সিদ্ধান্ত, গ) রিপ্লে স্ট্রাইক, ঘ) খেলা শেষ</v>
      </c>
      <c r="L77" s="4" t="str">
        <f>IFERROR(__xludf.DUMMYFUNCTION("GOOGLETRANSLATE(D77, ""en"", ""bn"")"),"খ) রেফারি সিদ্ধান্ত নেন")</f>
        <v>খ) রেফারি সিদ্ধান্ত নেন</v>
      </c>
      <c r="M77" s="4" t="str">
        <f>IFERROR(__xludf.DUMMYFUNCTION("GOOGLETRANSLATE(E77, ""en"", ""bn"")"),"রেফারি একযোগে আঘাতের ক্ষেত্রে বৈধ স্ট্রাইক নির্ধারণ করেন।")</f>
        <v>রেফারি একযোগে আঘাতের ক্ষেত্রে বৈধ স্ট্রাইক নির্ধারণ করেন।</v>
      </c>
    </row>
    <row r="78">
      <c r="A78" s="3">
        <v>77.0</v>
      </c>
      <c r="B78" s="3" t="s">
        <v>2157</v>
      </c>
      <c r="C78" s="3" t="s">
        <v>2158</v>
      </c>
      <c r="D78" s="3" t="s">
        <v>2159</v>
      </c>
      <c r="E78" s="3" t="s">
        <v>2160</v>
      </c>
      <c r="I78" s="4" t="str">
        <f>IFERROR(__xludf.DUMMYFUNCTION("GOOGLETRANSLATE(A78, ""en"", ""bn"")"),"৭৭")</f>
        <v>৭৭</v>
      </c>
      <c r="J78" s="4" t="str">
        <f>IFERROR(__xludf.DUMMYFUNCTION("GOOGLETRANSLATE(B78, ""en"", ""bn"")"),"লাঠিখেলায় কোন ধর্মঘট অবৈধ?")</f>
        <v>লাঠিখেলায় কোন ধর্মঘট অবৈধ?</v>
      </c>
      <c r="K78" s="4" t="str">
        <f>IFERROR(__xludf.DUMMYFUNCTION("GOOGLETRANSLATE(C78, ""en"", ""bn"")"),"ক) মাথায় আঘাত, খ) সাইড স্ট্রাইক, গ) ব্যাক স্ট্রাইক, ঘ) বুকে স্ট্রাইক")</f>
        <v>ক) মাথায় আঘাত, খ) সাইড স্ট্রাইক, গ) ব্যাক স্ট্রাইক, ঘ) বুকে স্ট্রাইক</v>
      </c>
      <c r="L78" s="4" t="str">
        <f>IFERROR(__xludf.DUMMYFUNCTION("GOOGLETRANSLATE(D78, ""en"", ""bn"")"),"গ) ব্যাক স্ট্রাইক")</f>
        <v>গ) ব্যাক স্ট্রাইক</v>
      </c>
      <c r="M78" s="4" t="str">
        <f>IFERROR(__xludf.DUMMYFUNCTION("GOOGLETRANSLATE(E78, ""en"", ""bn"")"),"প্রতিপক্ষের পিঠে আঘাত করা নিয়মের বিরুদ্ধে।")</f>
        <v>প্রতিপক্ষের পিঠে আঘাত করা নিয়মের বিরুদ্ধে।</v>
      </c>
    </row>
    <row r="79">
      <c r="A79" s="3">
        <v>78.0</v>
      </c>
      <c r="B79" s="3" t="s">
        <v>2161</v>
      </c>
      <c r="C79" s="3" t="s">
        <v>1977</v>
      </c>
      <c r="D79" s="3" t="s">
        <v>1077</v>
      </c>
      <c r="E79" s="3" t="s">
        <v>2162</v>
      </c>
      <c r="I79" s="4" t="str">
        <f>IFERROR(__xludf.DUMMYFUNCTION("GOOGLETRANSLATE(A79, ""en"", ""bn"")"),"৭৮")</f>
        <v>৭৮</v>
      </c>
      <c r="J79" s="4" t="str">
        <f>IFERROR(__xludf.DUMMYFUNCTION("GOOGLETRANSLATE(B79, ""en"", ""bn"")"),"প্রতিপক্ষকে ধাক্কা দেওয়া কি অনুমোদিত?")</f>
        <v>প্রতিপক্ষকে ধাক্কা দেওয়া কি অনুমোদিত?</v>
      </c>
      <c r="K79" s="4" t="str">
        <f>IFERROR(__xludf.DUMMYFUNCTION("GOOGLETRANSLATE(C79, ""en"", ""bn"")"),"ক) হ্যাঁ, খ) না")</f>
        <v>ক) হ্যাঁ, খ) না</v>
      </c>
      <c r="L79" s="4" t="str">
        <f>IFERROR(__xludf.DUMMYFUNCTION("GOOGLETRANSLATE(D79, ""en"", ""bn"")"),"খ) না")</f>
        <v>খ) না</v>
      </c>
      <c r="M79" s="4" t="str">
        <f>IFERROR(__xludf.DUMMYFUNCTION("GOOGLETRANSLATE(E79, ""en"", ""bn"")"),"লাঠিখেলায় প্রতিপক্ষকে ধাক্কা দেওয়া নিষিদ্ধ।")</f>
        <v>লাঠিখেলায় প্রতিপক্ষকে ধাক্কা দেওয়া নিষিদ্ধ।</v>
      </c>
    </row>
    <row r="80">
      <c r="A80" s="3">
        <v>79.0</v>
      </c>
      <c r="B80" s="3" t="s">
        <v>2163</v>
      </c>
      <c r="C80" s="3" t="s">
        <v>2164</v>
      </c>
      <c r="D80" s="3" t="s">
        <v>1570</v>
      </c>
      <c r="E80" s="3" t="s">
        <v>2165</v>
      </c>
      <c r="I80" s="4" t="str">
        <f>IFERROR(__xludf.DUMMYFUNCTION("GOOGLETRANSLATE(A80, ""en"", ""bn"")"),"৭৯")</f>
        <v>৭৯</v>
      </c>
      <c r="J80" s="4" t="str">
        <f>IFERROR(__xludf.DUMMYFUNCTION("GOOGLETRANSLATE(B80, ""en"", ""bn"")"),"যদি কোন খেলোয়াড় লড়াই করতে অস্বীকৃতি জানায় তাহলে কী হবে?")</f>
        <v>যদি কোন খেলোয়াড় লড়াই করতে অস্বীকৃতি জানায় তাহলে কী হবে?</v>
      </c>
      <c r="K80" s="4" t="str">
        <f>IFERROR(__xludf.DUMMYFUNCTION("GOOGLETRANSLATE(C80, ""en"", ""bn"")"),"ক) তাদের শাস্তি দেওয়া হয়, খ) তাদের বদলি করা হয়, গ) দল পয়েন্ট হারে, ঘ) খেলা শেষ হয়")</f>
        <v>ক) তাদের শাস্তি দেওয়া হয়, খ) তাদের বদলি করা হয়, গ) দল পয়েন্ট হারে, ঘ) খেলা শেষ হয়</v>
      </c>
      <c r="L80" s="4" t="str">
        <f>IFERROR(__xludf.DUMMYFUNCTION("GOOGLETRANSLATE(D80, ""en"", ""bn"")"),"ক) তাদের শাস্তি দেওয়া হয়েছে")</f>
        <v>ক) তাদের শাস্তি দেওয়া হয়েছে</v>
      </c>
      <c r="M80" s="4" t="str">
        <f>IFERROR(__xludf.DUMMYFUNCTION("GOOGLETRANSLATE(E80, ""en"", ""bn"")"),"খেলায় অংশগ্রহণ করতে অস্বীকৃতি জানালে শাস্তি পেতে হয়।")</f>
        <v>খেলায় অংশগ্রহণ করতে অস্বীকৃতি জানালে শাস্তি পেতে হয়।</v>
      </c>
    </row>
    <row r="81">
      <c r="A81" s="3">
        <v>80.0</v>
      </c>
      <c r="B81" s="3" t="s">
        <v>2166</v>
      </c>
      <c r="C81" s="3" t="s">
        <v>23</v>
      </c>
      <c r="D81" s="3" t="s">
        <v>566</v>
      </c>
      <c r="E81" s="3" t="s">
        <v>2167</v>
      </c>
      <c r="I81" s="4" t="str">
        <f>IFERROR(__xludf.DUMMYFUNCTION("GOOGLETRANSLATE(A81, ""en"", ""bn"")"),"৮০")</f>
        <v>৮০</v>
      </c>
      <c r="J81" s="4" t="str">
        <f>IFERROR(__xludf.DUMMYFUNCTION("GOOGLETRANSLATE(B81, ""en"", ""bn"")"),"লাঠি খেলায় সাধারণত কতজন রেফারি তত্ত্বাবধান করেন?")</f>
        <v>লাঠি খেলায় সাধারণত কতজন রেফারি তত্ত্বাবধান করেন?</v>
      </c>
      <c r="K81" s="4" t="str">
        <f>IFERROR(__xludf.DUMMYFUNCTION("GOOGLETRANSLATE(C81, ""en"", ""bn"")"),"ক) ১, খ) ২, গ) ৩, ঘ) ৪")</f>
        <v>ক) ১, খ) ২, গ) ৩, ঘ) ৪</v>
      </c>
      <c r="L81" s="4" t="str">
        <f>IFERROR(__xludf.DUMMYFUNCTION("GOOGLETRANSLATE(D81, ""en"", ""bn"")"),"ক) ১")</f>
        <v>ক) ১</v>
      </c>
      <c r="M81" s="4" t="str">
        <f>IFERROR(__xludf.DUMMYFUNCTION("GOOGLETRANSLATE(E81, ""en"", ""bn"")"),"সাধারণত, একজন একক রেফারি ম্যাচটি তদারকি করেন।")</f>
        <v>সাধারণত, একজন একক রেফারি ম্যাচটি তদারকি করেন।</v>
      </c>
    </row>
    <row r="82">
      <c r="A82" s="3">
        <v>81.0</v>
      </c>
      <c r="B82" s="3" t="s">
        <v>2168</v>
      </c>
      <c r="C82" s="3" t="s">
        <v>2169</v>
      </c>
      <c r="D82" s="3" t="s">
        <v>2170</v>
      </c>
      <c r="E82" s="3" t="s">
        <v>2171</v>
      </c>
      <c r="I82" s="4" t="str">
        <f>IFERROR(__xludf.DUMMYFUNCTION("GOOGLETRANSLATE(A82, ""en"", ""bn"")"),"৮১")</f>
        <v>৮১</v>
      </c>
      <c r="J82" s="4" t="str">
        <f>IFERROR(__xludf.DUMMYFUNCTION("GOOGLETRANSLATE(B82, ""en"", ""bn"")"),"রেফারি যখন বাঁশি বাজান তখন খেলোয়াড়দের কী করা উচিত?")</f>
        <v>রেফারি যখন বাঁশি বাজান তখন খেলোয়াড়দের কী করা উচিত?</v>
      </c>
      <c r="K82" s="4" t="str">
        <f>IFERROR(__xludf.DUMMYFUNCTION("GOOGLETRANSLATE(C82, ""en"", ""bn"")"),"ক) অবিলম্বে থামো, খ) জোরে আঘাত করো, গ) রান আউট করো, ঘ) রক্ষা করো")</f>
        <v>ক) অবিলম্বে থামো, খ) জোরে আঘাত করো, গ) রান আউট করো, ঘ) রক্ষা করো</v>
      </c>
      <c r="L82" s="4" t="str">
        <f>IFERROR(__xludf.DUMMYFUNCTION("GOOGLETRANSLATE(D82, ""en"", ""bn"")"),"ক) অবিলম্বে থামুন")</f>
        <v>ক) অবিলম্বে থামুন</v>
      </c>
      <c r="M82" s="4" t="str">
        <f>IFERROR(__xludf.DUMMYFUNCTION("GOOGLETRANSLATE(E82, ""en"", ""bn"")"),"রেফারি যখন সংকেত দেবেন তখন খেলোয়াড়দের লড়াই বন্ধ করতে হবে।")</f>
        <v>রেফারি যখন সংকেত দেবেন তখন খেলোয়াড়দের লড়াই বন্ধ করতে হবে।</v>
      </c>
    </row>
    <row r="83">
      <c r="A83" s="3">
        <v>82.0</v>
      </c>
      <c r="B83" s="3" t="s">
        <v>2172</v>
      </c>
      <c r="C83" s="3" t="s">
        <v>1977</v>
      </c>
      <c r="D83" s="3" t="s">
        <v>1077</v>
      </c>
      <c r="E83" s="3" t="s">
        <v>2173</v>
      </c>
      <c r="I83" s="4" t="str">
        <f>IFERROR(__xludf.DUMMYFUNCTION("GOOGLETRANSLATE(A83, ""en"", ""bn"")"),"৮২")</f>
        <v>৮২</v>
      </c>
      <c r="J83" s="4" t="str">
        <f>IFERROR(__xludf.DUMMYFUNCTION("GOOGLETRANSLATE(B83, ""en"", ""bn"")"),"লাঠি খেলায় কি দর্শকরা হস্তক্ষেপ করতে পারে?")</f>
        <v>লাঠি খেলায় কি দর্শকরা হস্তক্ষেপ করতে পারে?</v>
      </c>
      <c r="K83" s="4" t="str">
        <f>IFERROR(__xludf.DUMMYFUNCTION("GOOGLETRANSLATE(C83, ""en"", ""bn"")"),"ক) হ্যাঁ, খ) না")</f>
        <v>ক) হ্যাঁ, খ) না</v>
      </c>
      <c r="L83" s="4" t="str">
        <f>IFERROR(__xludf.DUMMYFUNCTION("GOOGLETRANSLATE(D83, ""en"", ""bn"")"),"খ) না")</f>
        <v>খ) না</v>
      </c>
      <c r="M83" s="4" t="str">
        <f>IFERROR(__xludf.DUMMYFUNCTION("GOOGLETRANSLATE(E83, ""en"", ""bn"")"),"খেলা চলাকালীন দর্শকদের হস্তক্ষেপ করার অনুমতি নেই।")</f>
        <v>খেলা চলাকালীন দর্শকদের হস্তক্ষেপ করার অনুমতি নেই।</v>
      </c>
    </row>
    <row r="84">
      <c r="A84" s="3">
        <v>83.0</v>
      </c>
      <c r="B84" s="3" t="s">
        <v>2174</v>
      </c>
      <c r="C84" s="3" t="s">
        <v>2175</v>
      </c>
      <c r="D84" s="3" t="s">
        <v>2176</v>
      </c>
      <c r="E84" s="3" t="s">
        <v>2177</v>
      </c>
      <c r="I84" s="4" t="str">
        <f>IFERROR(__xludf.DUMMYFUNCTION("GOOGLETRANSLATE(A84, ""en"", ""bn"")"),"৮৩")</f>
        <v>৮৩</v>
      </c>
      <c r="J84" s="4" t="str">
        <f>IFERROR(__xludf.DUMMYFUNCTION("GOOGLETRANSLATE(B84, ""en"", ""bn"")"),"প্রতিপক্ষকে মৌখিকভাবে গালিগালাজের শাস্তি কী?")</f>
        <v>প্রতিপক্ষকে মৌখিকভাবে গালিগালাজের শাস্তি কী?</v>
      </c>
      <c r="K84" s="4" t="str">
        <f>IFERROR(__xludf.DUMMYFUNCTION("GOOGLETRANSLATE(C84, ""en"", ""bn"")"),"ক) সতর্কীকরণ, খ) অযোগ্যতা, গ) পয়েন্ট কর্তন, ঘ) রিপ্লে")</f>
        <v>ক) সতর্কীকরণ, খ) অযোগ্যতা, গ) পয়েন্ট কর্তন, ঘ) রিপ্লে</v>
      </c>
      <c r="L84" s="4" t="str">
        <f>IFERROR(__xludf.DUMMYFUNCTION("GOOGLETRANSLATE(D84, ""en"", ""bn"")"),"খ) অযোগ্যতা")</f>
        <v>খ) অযোগ্যতা</v>
      </c>
      <c r="M84" s="4" t="str">
        <f>IFERROR(__xludf.DUMMYFUNCTION("GOOGLETRANSLATE(E84, ""en"", ""bn"")"),"মৌখিক গালিগালাজের ফলে তাৎক্ষণিকভাবে অযোগ্য ঘোষণা করা হয়।")</f>
        <v>মৌখিক গালিগালাজের ফলে তাৎক্ষণিকভাবে অযোগ্য ঘোষণা করা হয়।</v>
      </c>
    </row>
    <row r="85">
      <c r="A85" s="3">
        <v>84.0</v>
      </c>
      <c r="B85" s="3" t="s">
        <v>2178</v>
      </c>
      <c r="C85" s="3" t="s">
        <v>1977</v>
      </c>
      <c r="D85" s="3" t="s">
        <v>1077</v>
      </c>
      <c r="E85" s="3" t="s">
        <v>2179</v>
      </c>
      <c r="I85" s="4" t="str">
        <f>IFERROR(__xludf.DUMMYFUNCTION("GOOGLETRANSLATE(A85, ""en"", ""bn"")"),"৮৪")</f>
        <v>৮৪</v>
      </c>
      <c r="J85" s="4" t="str">
        <f>IFERROR(__xludf.DUMMYFUNCTION("GOOGLETRANSLATE(B85, ""en"", ""bn"")"),"ছিটকে যাওয়ার পর কি একজন খেলোয়াড় আবার খেলায় প্রবেশ করতে পারে?")</f>
        <v>ছিটকে যাওয়ার পর কি একজন খেলোয়াড় আবার খেলায় প্রবেশ করতে পারে?</v>
      </c>
      <c r="K85" s="4" t="str">
        <f>IFERROR(__xludf.DUMMYFUNCTION("GOOGLETRANSLATE(C85, ""en"", ""bn"")"),"ক) হ্যাঁ, খ) না")</f>
        <v>ক) হ্যাঁ, খ) না</v>
      </c>
      <c r="L85" s="4" t="str">
        <f>IFERROR(__xludf.DUMMYFUNCTION("GOOGLETRANSLATE(D85, ""en"", ""bn"")"),"খ) না")</f>
        <v>খ) না</v>
      </c>
      <c r="M85" s="4" t="str">
        <f>IFERROR(__xludf.DUMMYFUNCTION("GOOGLETRANSLATE(E85, ""en"", ""bn"")"),"নকআউট হওয়া খেলোয়াড়রা স্থায়ীভাবে খেলার বাইরে চলে যায়।")</f>
        <v>নকআউট হওয়া খেলোয়াড়রা স্থায়ীভাবে খেলার বাইরে চলে যায়।</v>
      </c>
    </row>
    <row r="86">
      <c r="A86" s="3">
        <v>85.0</v>
      </c>
      <c r="B86" s="3" t="s">
        <v>2180</v>
      </c>
      <c r="C86" s="3" t="s">
        <v>1860</v>
      </c>
      <c r="D86" s="3" t="s">
        <v>551</v>
      </c>
      <c r="E86" s="3" t="s">
        <v>2181</v>
      </c>
      <c r="I86" s="4" t="str">
        <f>IFERROR(__xludf.DUMMYFUNCTION("GOOGLETRANSLATE(A86, ""en"", ""bn"")"),"৮৫")</f>
        <v>৮৫</v>
      </c>
      <c r="J86" s="4" t="str">
        <f>IFERROR(__xludf.DUMMYFUNCTION("GOOGLETRANSLATE(B86, ""en"", ""bn"")"),"সর্বাধিক কত সংখ্যক প্রতিস্থাপন অনুমোদিত?")</f>
        <v>সর্বাধিক কত সংখ্যক প্রতিস্থাপন অনুমোদিত?</v>
      </c>
      <c r="K86" s="4" t="str">
        <f>IFERROR(__xludf.DUMMYFUNCTION("GOOGLETRANSLATE(C86, ""en"", ""bn"")"),"ক) ১, খ) ২, গ) ৩, ঘ) কোনটিই নয়")</f>
        <v>ক) ১, খ) ২, গ) ৩, ঘ) কোনটিই নয়</v>
      </c>
      <c r="L86" s="4" t="str">
        <f>IFERROR(__xludf.DUMMYFUNCTION("GOOGLETRANSLATE(D86, ""en"", ""bn"")"),"গ) ৩")</f>
        <v>গ) ৩</v>
      </c>
      <c r="M86" s="4" t="str">
        <f>IFERROR(__xludf.DUMMYFUNCTION("GOOGLETRANSLATE(E86, ""en"", ""bn"")"),"দলগুলিকে সাধারণত সর্বোচ্চ ৩ জন খেলোয়াড় বদলির অনুমতি দেওয়া হয়।")</f>
        <v>দলগুলিকে সাধারণত সর্বোচ্চ ৩ জন খেলোয়াড় বদলির অনুমতি দেওয়া হয়।</v>
      </c>
    </row>
    <row r="87">
      <c r="A87" s="3">
        <v>86.0</v>
      </c>
      <c r="B87" s="3" t="s">
        <v>2182</v>
      </c>
      <c r="C87" s="3" t="s">
        <v>2183</v>
      </c>
      <c r="D87" s="3" t="s">
        <v>2184</v>
      </c>
      <c r="E87" s="3" t="s">
        <v>2185</v>
      </c>
      <c r="I87" s="4" t="str">
        <f>IFERROR(__xludf.DUMMYFUNCTION("GOOGLETRANSLATE(A87, ""en"", ""bn"")"),"৮৬")</f>
        <v>৮৬</v>
      </c>
      <c r="J87" s="4" t="str">
        <f>IFERROR(__xludf.DUMMYFUNCTION("GOOGLETRANSLATE(B87, ""en"", ""bn"")"),"খেলার সময় আহত হলে একজন খেলোয়াড়ের কী করা উচিত?")</f>
        <v>খেলার সময় আহত হলে একজন খেলোয়াড়ের কী করা উচিত?</v>
      </c>
      <c r="K87" s="4" t="str">
        <f>IFERROR(__xludf.DUMMYFUNCTION("GOOGLETRANSLATE(C87, ""en"", ""bn"")"),"ক) খেলা চালিয়ে যাও, খ) রেফারিকে ডাকো, গ) বসো, ঘ) চুপচাপ চলে যাও")</f>
        <v>ক) খেলা চালিয়ে যাও, খ) রেফারিকে ডাকো, গ) বসো, ঘ) চুপচাপ চলে যাও</v>
      </c>
      <c r="L87" s="4" t="str">
        <f>IFERROR(__xludf.DUMMYFUNCTION("GOOGLETRANSLATE(D87, ""en"", ""bn"")"),"খ) রেফারির ডাক")</f>
        <v>খ) রেফারির ডাক</v>
      </c>
      <c r="M87" s="4" t="str">
        <f>IFERROR(__xludf.DUMMYFUNCTION("GOOGLETRANSLATE(E87, ""en"", ""bn"")"),"আহত হলে খেলোয়াড়দের রেফারিকে জানাতে হবে।")</f>
        <v>আহত হলে খেলোয়াড়দের রেফারিকে জানাতে হবে।</v>
      </c>
    </row>
    <row r="88">
      <c r="A88" s="3">
        <v>87.0</v>
      </c>
      <c r="B88" s="3" t="s">
        <v>2186</v>
      </c>
      <c r="C88" s="3" t="s">
        <v>1977</v>
      </c>
      <c r="D88" s="3" t="s">
        <v>1077</v>
      </c>
      <c r="E88" s="3" t="s">
        <v>2187</v>
      </c>
      <c r="I88" s="4" t="str">
        <f>IFERROR(__xludf.DUMMYFUNCTION("GOOGLETRANSLATE(A88, ""en"", ""bn"")"),"৮৭")</f>
        <v>৮৭</v>
      </c>
      <c r="J88" s="4" t="str">
        <f>IFERROR(__xludf.DUMMYFUNCTION("GOOGLETRANSLATE(B88, ""en"", ""bn"")"),"লাঠিখেলায় খেলোয়াড়রা কি পা দিয়ে ব্লক করতে পারে?")</f>
        <v>লাঠিখেলায় খেলোয়াড়রা কি পা দিয়ে ব্লক করতে পারে?</v>
      </c>
      <c r="K88" s="4" t="str">
        <f>IFERROR(__xludf.DUMMYFUNCTION("GOOGLETRANSLATE(C88, ""en"", ""bn"")"),"ক) হ্যাঁ, খ) না")</f>
        <v>ক) হ্যাঁ, খ) না</v>
      </c>
      <c r="L88" s="4" t="str">
        <f>IFERROR(__xludf.DUMMYFUNCTION("GOOGLETRANSLATE(D88, ""en"", ""bn"")"),"খ) না")</f>
        <v>খ) না</v>
      </c>
      <c r="M88" s="4" t="str">
        <f>IFERROR(__xludf.DUMMYFUNCTION("GOOGLETRANSLATE(E88, ""en"", ""bn"")"),"ব্লকিং কেবল লাঠি দিয়ে করতে হবে, পা দিয়ে নয়।")</f>
        <v>ব্লকিং কেবল লাঠি দিয়ে করতে হবে, পা দিয়ে নয়।</v>
      </c>
    </row>
    <row r="89">
      <c r="A89" s="3">
        <v>88.0</v>
      </c>
      <c r="B89" s="3" t="s">
        <v>2188</v>
      </c>
      <c r="C89" s="3" t="s">
        <v>2189</v>
      </c>
      <c r="D89" s="3" t="s">
        <v>2190</v>
      </c>
      <c r="E89" s="3" t="s">
        <v>2191</v>
      </c>
      <c r="I89" s="4" t="str">
        <f>IFERROR(__xludf.DUMMYFUNCTION("GOOGLETRANSLATE(A89, ""en"", ""bn"")"),"৮৮")</f>
        <v>৮৮</v>
      </c>
      <c r="J89" s="4" t="str">
        <f>IFERROR(__xludf.DUMMYFUNCTION("GOOGLETRANSLATE(B89, ""en"", ""bn"")"),"ফাউলের ​​জন্য রেফারির সংকেত কী?")</f>
        <v>ফাউলের ​​জন্য রেফারির সংকেত কী?</v>
      </c>
      <c r="K89" s="4" t="str">
        <f>IFERROR(__xludf.DUMMYFUNCTION("GOOGLETRANSLATE(C89, ""en"", ""bn"")"),"ক) হাত উঁচু করা, খ) দুটি বাঁশি, গ) লাল পতাকা, ঘ) চিৎকার")</f>
        <v>ক) হাত উঁচু করা, খ) দুটি বাঁশি, গ) লাল পতাকা, ঘ) চিৎকার</v>
      </c>
      <c r="L89" s="4" t="str">
        <f>IFERROR(__xludf.DUMMYFUNCTION("GOOGLETRANSLATE(D89, ""en"", ""bn"")"),"খ) দুটি বাঁশি")</f>
        <v>খ) দুটি বাঁশি</v>
      </c>
      <c r="M89" s="4" t="str">
        <f>IFERROR(__xludf.DUMMYFUNCTION("GOOGLETRANSLATE(E89, ""en"", ""bn"")"),"দুটি ছোট বাঁশির আঘাতের মাধ্যমে ফাউল নির্দেশিত হয়।")</f>
        <v>দুটি ছোট বাঁশির আঘাতের মাধ্যমে ফাউল নির্দেশিত হয়।</v>
      </c>
    </row>
    <row r="90">
      <c r="A90" s="3">
        <v>89.0</v>
      </c>
      <c r="B90" s="3" t="s">
        <v>2192</v>
      </c>
      <c r="C90" s="3" t="s">
        <v>1977</v>
      </c>
      <c r="D90" s="3" t="s">
        <v>1119</v>
      </c>
      <c r="E90" s="3" t="s">
        <v>2193</v>
      </c>
      <c r="I90" s="4" t="str">
        <f>IFERROR(__xludf.DUMMYFUNCTION("GOOGLETRANSLATE(A90, ""en"", ""bn"")"),"৮৯")</f>
        <v>৮৯</v>
      </c>
      <c r="J90" s="4" t="str">
        <f>IFERROR(__xludf.DUMMYFUNCTION("GOOGLETRANSLATE(B90, ""en"", ""bn"")"),"মহিলারা কি লাঠি খেলায় অংশগ্রহণ করতে পারবে?")</f>
        <v>মহিলারা কি লাঠি খেলায় অংশগ্রহণ করতে পারবে?</v>
      </c>
      <c r="K90" s="4" t="str">
        <f>IFERROR(__xludf.DUMMYFUNCTION("GOOGLETRANSLATE(C90, ""en"", ""bn"")"),"ক) হ্যাঁ, খ) না")</f>
        <v>ক) হ্যাঁ, খ) না</v>
      </c>
      <c r="L90" s="4" t="str">
        <f>IFERROR(__xludf.DUMMYFUNCTION("GOOGLETRANSLATE(D90, ""en"", ""bn"")"),"ক) হ্যাঁ")</f>
        <v>ক) হ্যাঁ</v>
      </c>
      <c r="M90" s="4" t="str">
        <f>IFERROR(__xludf.DUMMYFUNCTION("GOOGLETRANSLATE(E90, ""en"", ""bn"")"),"পুরুষ এবং মহিলা উভয়ই অংশগ্রহণ করতে পারেন, যদিও ঐতিহ্যগতভাবে এটি পুরুষ-প্রধান ছিল।")</f>
        <v>পুরুষ এবং মহিলা উভয়ই অংশগ্রহণ করতে পারেন, যদিও ঐতিহ্যগতভাবে এটি পুরুষ-প্রধান ছিল।</v>
      </c>
    </row>
    <row r="91">
      <c r="A91" s="3">
        <v>90.0</v>
      </c>
      <c r="B91" s="3" t="s">
        <v>2194</v>
      </c>
      <c r="C91" s="3" t="s">
        <v>2195</v>
      </c>
      <c r="D91" s="3" t="s">
        <v>2196</v>
      </c>
      <c r="E91" s="3" t="s">
        <v>2197</v>
      </c>
      <c r="I91" s="4" t="str">
        <f>IFERROR(__xludf.DUMMYFUNCTION("GOOGLETRANSLATE(A91, ""en"", ""bn"")"),"৯০")</f>
        <v>৯০</v>
      </c>
      <c r="J91" s="4" t="str">
        <f>IFERROR(__xludf.DUMMYFUNCTION("GOOGLETRANSLATE(B91, ""en"", ""bn"")"),"প্রতি দলে কতটি লাঠি ব্যবহারের অনুমতি আছে?")</f>
        <v>প্রতি দলে কতটি লাঠি ব্যবহারের অনুমতি আছে?</v>
      </c>
      <c r="K91" s="4" t="str">
        <f>IFERROR(__xludf.DUMMYFUNCTION("GOOGLETRANSLATE(C91, ""en"", ""bn"")"),"ক) দলের সদস্যদের সমান, খ) সীমাহীন, গ) খেলোয়াড়দের অর্ধেক, ঘ) ৫ নম্বরে স্থির")</f>
        <v>ক) দলের সদস্যদের সমান, খ) সীমাহীন, গ) খেলোয়াড়দের অর্ধেক, ঘ) ৫ নম্বরে স্থির</v>
      </c>
      <c r="L91" s="4" t="str">
        <f>IFERROR(__xludf.DUMMYFUNCTION("GOOGLETRANSLATE(D91, ""en"", ""bn"")"),"ক) দলের সদস্যদের সমান")</f>
        <v>ক) দলের সদস্যদের সমান</v>
      </c>
      <c r="M91" s="4" t="str">
        <f>IFERROR(__xludf.DUMMYFUNCTION("GOOGLETRANSLATE(E91, ""en"", ""bn"")"),"প্রতিটি খেলোয়াড়ের কাছে ঠিক একটি করে লাঠি থাকে।")</f>
        <v>প্রতিটি খেলোয়াড়ের কাছে ঠিক একটি করে লাঠি থাকে।</v>
      </c>
    </row>
    <row r="92">
      <c r="A92" s="3">
        <v>91.0</v>
      </c>
      <c r="B92" s="3" t="s">
        <v>2198</v>
      </c>
      <c r="C92" s="3" t="s">
        <v>2199</v>
      </c>
      <c r="D92" s="3" t="s">
        <v>2176</v>
      </c>
      <c r="E92" s="3" t="s">
        <v>2200</v>
      </c>
      <c r="I92" s="4" t="str">
        <f>IFERROR(__xludf.DUMMYFUNCTION("GOOGLETRANSLATE(A92, ""en"", ""bn"")"),"৯১")</f>
        <v>৯১</v>
      </c>
      <c r="J92" s="4" t="str">
        <f>IFERROR(__xludf.DUMMYFUNCTION("GOOGLETRANSLATE(B92, ""en"", ""bn"")"),"যদি কোনও দল অননুমোদিত সরঞ্জাম ব্যবহার করে তবে কী হবে?")</f>
        <v>যদি কোনও দল অননুমোদিত সরঞ্জাম ব্যবহার করে তবে কী হবে?</v>
      </c>
      <c r="K92" s="4" t="str">
        <f>IFERROR(__xludf.DUMMYFUNCTION("GOOGLETRANSLATE(C92, ""en"", ""bn"")"),"ক) সতর্কীকরণ, খ) অযোগ্যতা, গ) রিপ্লে, ঘ) বিকল্প")</f>
        <v>ক) সতর্কীকরণ, খ) অযোগ্যতা, গ) রিপ্লে, ঘ) বিকল্প</v>
      </c>
      <c r="L92" s="4" t="str">
        <f>IFERROR(__xludf.DUMMYFUNCTION("GOOGLETRANSLATE(D92, ""en"", ""bn"")"),"খ) অযোগ্যতা")</f>
        <v>খ) অযোগ্যতা</v>
      </c>
      <c r="M92" s="4" t="str">
        <f>IFERROR(__xludf.DUMMYFUNCTION("GOOGLETRANSLATE(E92, ""en"", ""bn"")"),"অননুমোদিত অস্ত্র বা সরঞ্জাম অযোগ্যতার দিকে পরিচালিত করে।")</f>
        <v>অননুমোদিত অস্ত্র বা সরঞ্জাম অযোগ্যতার দিকে পরিচালিত করে।</v>
      </c>
    </row>
    <row r="93">
      <c r="A93" s="3">
        <v>92.0</v>
      </c>
      <c r="B93" s="3" t="s">
        <v>2201</v>
      </c>
      <c r="C93" s="3" t="s">
        <v>1977</v>
      </c>
      <c r="D93" s="3" t="s">
        <v>1119</v>
      </c>
      <c r="E93" s="3" t="s">
        <v>2202</v>
      </c>
      <c r="I93" s="4" t="str">
        <f>IFERROR(__xludf.DUMMYFUNCTION("GOOGLETRANSLATE(A93, ""en"", ""bn"")"),"৯২")</f>
        <v>৯২</v>
      </c>
      <c r="J93" s="4" t="str">
        <f>IFERROR(__xludf.DUMMYFUNCTION("GOOGLETRANSLATE(B93, ""en"", ""bn"")"),"একটি ম্যাচ কি বিজয়ী ছাড়া শেষ হতে পারে?")</f>
        <v>একটি ম্যাচ কি বিজয়ী ছাড়া শেষ হতে পারে?</v>
      </c>
      <c r="K93" s="4" t="str">
        <f>IFERROR(__xludf.DUMMYFUNCTION("GOOGLETRANSLATE(C93, ""en"", ""bn"")"),"ক) হ্যাঁ, খ) না")</f>
        <v>ক) হ্যাঁ, খ) না</v>
      </c>
      <c r="L93" s="4" t="str">
        <f>IFERROR(__xludf.DUMMYFUNCTION("GOOGLETRANSLATE(D93, ""en"", ""bn"")"),"ক) হ্যাঁ")</f>
        <v>ক) হ্যাঁ</v>
      </c>
      <c r="M93" s="4" t="str">
        <f>IFERROR(__xludf.DUMMYFUNCTION("GOOGLETRANSLATE(E93, ""en"", ""bn"")"),"উভয় দলের ফলাফল সমান হলে ম্যাচগুলি ড্রতে শেষ হতে পারে।")</f>
        <v>উভয় দলের ফলাফল সমান হলে ম্যাচগুলি ড্রতে শেষ হতে পারে।</v>
      </c>
    </row>
    <row r="94">
      <c r="A94" s="3">
        <v>93.0</v>
      </c>
      <c r="B94" s="3" t="s">
        <v>2203</v>
      </c>
      <c r="C94" s="3" t="s">
        <v>2204</v>
      </c>
      <c r="D94" s="3" t="s">
        <v>2205</v>
      </c>
      <c r="E94" s="3" t="s">
        <v>2206</v>
      </c>
      <c r="I94" s="4" t="str">
        <f>IFERROR(__xludf.DUMMYFUNCTION("GOOGLETRANSLATE(A94, ""en"", ""bn"")"),"৯৩")</f>
        <v>৯৩</v>
      </c>
      <c r="J94" s="4" t="str">
        <f>IFERROR(__xludf.DUMMYFUNCTION("GOOGLETRANSLATE(B94, ""en"", ""bn"")"),"কোন কাজটিকে অখেলোয়াড়দের মতো মনে করা হয়?")</f>
        <v>কোন কাজটিকে অখেলোয়াড়দের মতো মনে করা হয়?</v>
      </c>
      <c r="K94" s="4" t="str">
        <f>IFERROR(__xludf.DUMMYFUNCTION("GOOGLETRANSLATE(C94, ""en"", ""bn"")"),"ক) সতীর্থকে সাহায্য করা, খ) জনতাকে উৎসাহিত করা, গ) ধর্মঘট বিলম্বিত করা, ঘ) অতিরিক্ত উপহাস করা")</f>
        <v>ক) সতীর্থকে সাহায্য করা, খ) জনতাকে উৎসাহিত করা, গ) ধর্মঘট বিলম্বিত করা, ঘ) অতিরিক্ত উপহাস করা</v>
      </c>
      <c r="L94" s="4" t="str">
        <f>IFERROR(__xludf.DUMMYFUNCTION("GOOGLETRANSLATE(D94, ""en"", ""bn"")"),"ঘ) অতিরিক্ত উপহাস")</f>
        <v>ঘ) অতিরিক্ত উপহাস</v>
      </c>
      <c r="M94" s="4" t="str">
        <f>IFERROR(__xludf.DUMMYFUNCTION("GOOGLETRANSLATE(E94, ""en"", ""bn"")"),"প্রতিপক্ষকে কটূক্তি করা অখেলোয়াড়দের মতো নয় এবং শাস্তিযোগ্য।")</f>
        <v>প্রতিপক্ষকে কটূক্তি করা অখেলোয়াড়দের মতো নয় এবং শাস্তিযোগ্য।</v>
      </c>
    </row>
    <row r="95">
      <c r="A95" s="3">
        <v>94.0</v>
      </c>
      <c r="B95" s="3" t="s">
        <v>2207</v>
      </c>
      <c r="C95" s="3" t="s">
        <v>1977</v>
      </c>
      <c r="D95" s="3" t="s">
        <v>1077</v>
      </c>
      <c r="E95" s="3" t="s">
        <v>2208</v>
      </c>
      <c r="I95" s="4" t="str">
        <f>IFERROR(__xludf.DUMMYFUNCTION("GOOGLETRANSLATE(A95, ""en"", ""bn"")"),"৯৪")</f>
        <v>৯৪</v>
      </c>
      <c r="J95" s="4" t="str">
        <f>IFERROR(__xludf.DUMMYFUNCTION("GOOGLETRANSLATE(B95, ""en"", ""bn"")"),"খেলোয়াড়রা কি খেলার মাঝখানে লাঠি বদল করতে পারে?")</f>
        <v>খেলোয়াড়রা কি খেলার মাঝখানে লাঠি বদল করতে পারে?</v>
      </c>
      <c r="K95" s="4" t="str">
        <f>IFERROR(__xludf.DUMMYFUNCTION("GOOGLETRANSLATE(C95, ""en"", ""bn"")"),"ক) হ্যাঁ, খ) না")</f>
        <v>ক) হ্যাঁ, খ) না</v>
      </c>
      <c r="L95" s="4" t="str">
        <f>IFERROR(__xludf.DUMMYFUNCTION("GOOGLETRANSLATE(D95, ""en"", ""bn"")"),"খ) না")</f>
        <v>খ) না</v>
      </c>
      <c r="M95" s="4" t="str">
        <f>IFERROR(__xludf.DUMMYFUNCTION("GOOGLETRANSLATE(E95, ""en"", ""bn"")"),"খেলার সময় লাঠি বদলানো অনুমোদিত নয়।")</f>
        <v>খেলার সময় লাঠি বদলানো অনুমোদিত নয়।</v>
      </c>
    </row>
    <row r="96">
      <c r="A96" s="3">
        <v>95.0</v>
      </c>
      <c r="B96" s="3" t="s">
        <v>2209</v>
      </c>
      <c r="C96" s="3" t="s">
        <v>2210</v>
      </c>
      <c r="D96" s="3" t="s">
        <v>858</v>
      </c>
      <c r="E96" s="3" t="s">
        <v>2211</v>
      </c>
      <c r="I96" s="4" t="str">
        <f>IFERROR(__xludf.DUMMYFUNCTION("GOOGLETRANSLATE(A96, ""en"", ""bn"")"),"৯৫")</f>
        <v>৯৫</v>
      </c>
      <c r="J96" s="4" t="str">
        <f>IFERROR(__xludf.DUMMYFUNCTION("GOOGLETRANSLATE(B96, ""en"", ""bn"")"),"দুই রাউন্ডের মধ্যে আনুষ্ঠানিক বিশ্রামের সময় কত?")</f>
        <v>দুই রাউন্ডের মধ্যে আনুষ্ঠানিক বিশ্রামের সময় কত?</v>
      </c>
      <c r="K96" s="4" t="str">
        <f>IFERROR(__xludf.DUMMYFUNCTION("GOOGLETRANSLATE(C96, ""en"", ""bn"")"),"A) 1 মিনিট, B) 2 মিনিট, C) 3 মিনিট, D) 5 মিনিট")</f>
        <v>A) 1 মিনিট, B) 2 মিনিট, C) 3 মিনিট, D) 5 মিনিট</v>
      </c>
      <c r="L96" s="4" t="str">
        <f>IFERROR(__xludf.DUMMYFUNCTION("GOOGLETRANSLATE(D96, ""en"", ""bn"")"),"খ) ২ মিনিট")</f>
        <v>খ) ২ মিনিট</v>
      </c>
      <c r="M96" s="4" t="str">
        <f>IFERROR(__xludf.DUMMYFUNCTION("GOOGLETRANSLATE(E96, ""en"", ""bn"")"),"খেলোয়াড়রা সাধারণত রাউন্ডের মধ্যে ২ মিনিট বিশ্রাম পান।")</f>
        <v>খেলোয়াড়রা সাধারণত রাউন্ডের মধ্যে ২ মিনিট বিশ্রাম পান।</v>
      </c>
    </row>
    <row r="97">
      <c r="A97" s="3">
        <v>96.0</v>
      </c>
      <c r="B97" s="3" t="s">
        <v>2212</v>
      </c>
      <c r="C97" s="3" t="s">
        <v>1977</v>
      </c>
      <c r="D97" s="3" t="s">
        <v>1119</v>
      </c>
      <c r="E97" s="3" t="s">
        <v>2213</v>
      </c>
      <c r="I97" s="4" t="str">
        <f>IFERROR(__xludf.DUMMYFUNCTION("GOOGLETRANSLATE(A97, ""en"", ""bn"")"),"৯৬")</f>
        <v>৯৬</v>
      </c>
      <c r="J97" s="4" t="str">
        <f>IFERROR(__xludf.DUMMYFUNCTION("GOOGLETRANSLATE(B97, ""en"", ""bn"")"),"টুর্নামেন্টে কি টাই-ব্রেকার রাউন্ড খেলার অনুমতি আছে?")</f>
        <v>টুর্নামেন্টে কি টাই-ব্রেকার রাউন্ড খেলার অনুমতি আছে?</v>
      </c>
      <c r="K97" s="4" t="str">
        <f>IFERROR(__xludf.DUMMYFUNCTION("GOOGLETRANSLATE(C97, ""en"", ""bn"")"),"ক) হ্যাঁ, খ) না")</f>
        <v>ক) হ্যাঁ, খ) না</v>
      </c>
      <c r="L97" s="4" t="str">
        <f>IFERROR(__xludf.DUMMYFUNCTION("GOOGLETRANSLATE(D97, ""en"", ""bn"")"),"ক) হ্যাঁ")</f>
        <v>ক) হ্যাঁ</v>
      </c>
      <c r="M97" s="4" t="str">
        <f>IFERROR(__xludf.DUMMYFUNCTION("GOOGLETRANSLATE(E97, ""en"", ""bn"")"),"প্রতিযোগিতামূলক টুর্নামেন্টে, টাই-ব্রেকার ব্যবহার করা যেতে পারে।")</f>
        <v>প্রতিযোগিতামূলক টুর্নামেন্টে, টাই-ব্রেকার ব্যবহার করা যেতে পারে।</v>
      </c>
    </row>
    <row r="98">
      <c r="A98" s="3">
        <v>97.0</v>
      </c>
      <c r="B98" s="3" t="s">
        <v>2214</v>
      </c>
      <c r="C98" s="3" t="s">
        <v>2215</v>
      </c>
      <c r="D98" s="3" t="s">
        <v>2216</v>
      </c>
      <c r="E98" s="3" t="s">
        <v>2217</v>
      </c>
      <c r="I98" s="4" t="str">
        <f>IFERROR(__xludf.DUMMYFUNCTION("GOOGLETRANSLATE(A98, ""en"", ""bn"")"),"৯৭")</f>
        <v>৯৭</v>
      </c>
      <c r="J98" s="4" t="str">
        <f>IFERROR(__xludf.DUMMYFUNCTION("GOOGLETRANSLATE(B98, ""en"", ""bn"")"),"কোন ধর্মঘট নিয়ম দ্বারা সবচেয়ে বেশি সীমাবদ্ধ?")</f>
        <v>কোন ধর্মঘট নিয়ম দ্বারা সবচেয়ে বেশি সীমাবদ্ধ?</v>
      </c>
      <c r="K98" s="4" t="str">
        <f>IFERROR(__xludf.DUMMYFUNCTION("GOOGLETRANSLATE(C98, ""en"", ""bn"")"),"ক) ঘাড়ে আঘাত, খ) কাঁধে আঘাত, গ) হাঁটুতে আঘাত, ঘ) বাহুতে আঘাত")</f>
        <v>ক) ঘাড়ে আঘাত, খ) কাঁধে আঘাত, গ) হাঁটুতে আঘাত, ঘ) বাহুতে আঘাত</v>
      </c>
      <c r="L98" s="4" t="str">
        <f>IFERROR(__xludf.DUMMYFUNCTION("GOOGLETRANSLATE(D98, ""en"", ""bn"")"),"ক) ঘাড়ের আঘাত")</f>
        <v>ক) ঘাড়ের আঘাত</v>
      </c>
      <c r="M98" s="4" t="str">
        <f>IFERROR(__xludf.DUMMYFUNCTION("GOOGLETRANSLATE(E98, ""en"", ""bn"")"),"ঘাড়ে আঘাত করা অত্যন্ত বিপজ্জনক এবং সীমাবদ্ধ বলে বিবেচিত হয়।")</f>
        <v>ঘাড়ে আঘাত করা অত্যন্ত বিপজ্জনক এবং সীমাবদ্ধ বলে বিবেচিত হয়।</v>
      </c>
    </row>
    <row r="99">
      <c r="A99" s="3">
        <v>98.0</v>
      </c>
      <c r="B99" s="3" t="s">
        <v>2218</v>
      </c>
      <c r="C99" s="3" t="s">
        <v>1977</v>
      </c>
      <c r="D99" s="3" t="s">
        <v>1119</v>
      </c>
      <c r="E99" s="3" t="s">
        <v>2219</v>
      </c>
      <c r="I99" s="4" t="str">
        <f>IFERROR(__xludf.DUMMYFUNCTION("GOOGLETRANSLATE(A99, ""en"", ""bn"")"),"৯৮")</f>
        <v>৯৮</v>
      </c>
      <c r="J99" s="4" t="str">
        <f>IFERROR(__xludf.DUMMYFUNCTION("GOOGLETRANSLATE(B99, ""en"", ""bn"")"),"দলগুলি কি সময়সীমার জন্য অনুরোধ করতে পারে?")</f>
        <v>দলগুলি কি সময়সীমার জন্য অনুরোধ করতে পারে?</v>
      </c>
      <c r="K99" s="4" t="str">
        <f>IFERROR(__xludf.DUMMYFUNCTION("GOOGLETRANSLATE(C99, ""en"", ""bn"")"),"ক) হ্যাঁ, খ) না")</f>
        <v>ক) হ্যাঁ, খ) না</v>
      </c>
      <c r="L99" s="4" t="str">
        <f>IFERROR(__xludf.DUMMYFUNCTION("GOOGLETRANSLATE(D99, ""en"", ""bn"")"),"ক) হ্যাঁ")</f>
        <v>ক) হ্যাঁ</v>
      </c>
      <c r="M99" s="4" t="str">
        <f>IFERROR(__xludf.DUMMYFUNCTION("GOOGLETRANSLATE(E99, ""en"", ""bn"")"),"দলগুলি আঘাত বা বিরোধের জন্য সময়সীমার অনুরোধ করতে পারে।")</f>
        <v>দলগুলি আঘাত বা বিরোধের জন্য সময়সীমার অনুরোধ করতে পারে।</v>
      </c>
    </row>
    <row r="100">
      <c r="A100" s="3">
        <v>99.0</v>
      </c>
      <c r="B100" s="3" t="s">
        <v>2220</v>
      </c>
      <c r="C100" s="3" t="s">
        <v>2221</v>
      </c>
      <c r="D100" s="3" t="s">
        <v>2222</v>
      </c>
      <c r="E100" s="3" t="s">
        <v>2223</v>
      </c>
      <c r="I100" s="4" t="str">
        <f>IFERROR(__xludf.DUMMYFUNCTION("GOOGLETRANSLATE(A100, ""en"", ""bn"")"),"৯৯")</f>
        <v>৯৯</v>
      </c>
      <c r="J100" s="4" t="str">
        <f>IFERROR(__xludf.DUMMYFUNCTION("GOOGLETRANSLATE(B100, ""en"", ""bn"")"),"রেফারির সিদ্ধান্ত কী বিবেচনা করা হয়?")</f>
        <v>রেফারির সিদ্ধান্ত কী বিবেচনা করা হয়?</v>
      </c>
      <c r="K100" s="4" t="str">
        <f>IFERROR(__xludf.DUMMYFUNCTION("GOOGLETRANSLATE(C100, ""en"", ""bn"")"),"ক) চূড়ান্ত, খ) আলোচনা সাপেক্ষে, গ) অধিনায়ক কর্তৃক বাতিল, ঘ) জনতার দ্বারা সিদ্ধান্ত নেওয়া")</f>
        <v>ক) চূড়ান্ত, খ) আলোচনা সাপেক্ষে, গ) অধিনায়ক কর্তৃক বাতিল, ঘ) জনতার দ্বারা সিদ্ধান্ত নেওয়া</v>
      </c>
      <c r="L100" s="4" t="str">
        <f>IFERROR(__xludf.DUMMYFUNCTION("GOOGLETRANSLATE(D100, ""en"", ""bn"")"),"ক) চূড়ান্ত")</f>
        <v>ক) চূড়ান্ত</v>
      </c>
      <c r="M100" s="4" t="str">
        <f>IFERROR(__xludf.DUMMYFUNCTION("GOOGLETRANSLATE(E100, ""en"", ""bn"")"),"রেফারির রায় চূড়ান্ত এবং বাধ্যতামূলক।")</f>
        <v>রেফারির রায় চূড়ান্ত এবং বাধ্যতামূলক।</v>
      </c>
    </row>
    <row r="101">
      <c r="A101" s="3">
        <v>100.0</v>
      </c>
      <c r="B101" s="3" t="s">
        <v>2224</v>
      </c>
      <c r="C101" s="3" t="s">
        <v>1977</v>
      </c>
      <c r="D101" s="3" t="s">
        <v>1119</v>
      </c>
      <c r="E101" s="3" t="s">
        <v>2225</v>
      </c>
      <c r="I101" s="4" t="str">
        <f>IFERROR(__xludf.DUMMYFUNCTION("GOOGLETRANSLATE(A101, ""en"", ""bn"")"),"১০০")</f>
        <v>১০০</v>
      </c>
      <c r="J101" s="4" t="str">
        <f>IFERROR(__xludf.DUMMYFUNCTION("GOOGLETRANSLATE(B101, ""en"", ""bn"")"),"খেলোয়াড়রা কি লাঠি খেলায় ফেইন্ট ব্যবহার করতে পারে?")</f>
        <v>খেলোয়াড়রা কি লাঠি খেলায় ফেইন্ট ব্যবহার করতে পারে?</v>
      </c>
      <c r="K101" s="4" t="str">
        <f>IFERROR(__xludf.DUMMYFUNCTION("GOOGLETRANSLATE(C101, ""en"", ""bn"")"),"ক) হ্যাঁ, খ) না")</f>
        <v>ক) হ্যাঁ, খ) না</v>
      </c>
      <c r="L101" s="4" t="str">
        <f>IFERROR(__xludf.DUMMYFUNCTION("GOOGLETRANSLATE(D101, ""en"", ""bn"")"),"ক) হ্যাঁ")</f>
        <v>ক) হ্যাঁ</v>
      </c>
      <c r="M101" s="4" t="str">
        <f>IFERROR(__xludf.DUMMYFUNCTION("GOOGLETRANSLATE(E101, ""en"", ""bn"")"),"প্রতিপক্ষকে বিভ্রান্ত করার কৌশল হিসেবে মূর্ছা জাগানো অনুমোদিত।")</f>
        <v>প্রতিপক্ষকে বিভ্রান্ত করার কৌশল হিসেবে মূর্ছা জাগানো অনুমোদিত।</v>
      </c>
    </row>
    <row r="102">
      <c r="A102" s="3">
        <v>101.0</v>
      </c>
      <c r="B102" s="3" t="s">
        <v>2226</v>
      </c>
      <c r="C102" s="3" t="s">
        <v>2227</v>
      </c>
      <c r="D102" s="3" t="s">
        <v>2228</v>
      </c>
      <c r="E102" s="3" t="s">
        <v>2229</v>
      </c>
      <c r="I102" s="4" t="str">
        <f>IFERROR(__xludf.DUMMYFUNCTION("GOOGLETRANSLATE(A102, ""en"", ""bn"")"),"১০১")</f>
        <v>১০১</v>
      </c>
      <c r="J102" s="4" t="str">
        <f>IFERROR(__xludf.DUMMYFUNCTION("GOOGLETRANSLATE(B102, ""en"", ""bn"")"),"যদি উভয় দল বারবার নিয়ম লঙ্ঘন করে তাহলে কী হবে?")</f>
        <v>যদি উভয় দল বারবার নিয়ম লঙ্ঘন করে তাহলে কী হবে?</v>
      </c>
      <c r="K102" s="4" t="str">
        <f>IFERROR(__xludf.DUMMYFUNCTION("GOOGLETRANSLATE(C102, ""en"", ""bn"")"),"ক) ম্যাচ বাতিল, খ) রিপ্লে, গ) উভয়কেই অযোগ্য ঘোষণা, ঘ) সতর্কীকরণ")</f>
        <v>ক) ম্যাচ বাতিল, খ) রিপ্লে, গ) উভয়কেই অযোগ্য ঘোষণা, ঘ) সতর্কীকরণ</v>
      </c>
      <c r="L102" s="4" t="str">
        <f>IFERROR(__xludf.DUMMYFUNCTION("GOOGLETRANSLATE(D102, ""en"", ""bn"")"),"গ) উভয়ই অযোগ্য ঘোষণা করা হয়েছে")</f>
        <v>গ) উভয়ই অযোগ্য ঘোষণা করা হয়েছে</v>
      </c>
      <c r="M102" s="4" t="str">
        <f>IFERROR(__xludf.DUMMYFUNCTION("GOOGLETRANSLATE(E102, ""en"", ""bn"")"),"বারবার লঙ্ঘনের ফলে উভয় দলই অযোগ্য ঘোষণা হতে পারে।")</f>
        <v>বারবার লঙ্ঘনের ফলে উভয় দলই অযোগ্য ঘোষণা হতে পারে।</v>
      </c>
    </row>
    <row r="103">
      <c r="A103" s="3">
        <v>102.0</v>
      </c>
      <c r="B103" s="3" t="s">
        <v>2230</v>
      </c>
      <c r="C103" s="3" t="s">
        <v>2231</v>
      </c>
      <c r="D103" s="3" t="s">
        <v>825</v>
      </c>
      <c r="E103" s="3" t="s">
        <v>2232</v>
      </c>
      <c r="I103" s="4" t="str">
        <f>IFERROR(__xludf.DUMMYFUNCTION("GOOGLETRANSLATE(A103, ""en"", ""bn"")"),"১০২")</f>
        <v>১০২</v>
      </c>
      <c r="J103" s="4" t="str">
        <f>IFERROR(__xludf.DUMMYFUNCTION("GOOGLETRANSLATE(B103, ""en"", ""bn"")"),"যদি ইচ্ছাকৃতভাবে লাঠি মাটিতে লাগে তাহলে কী হবে?")</f>
        <v>যদি ইচ্ছাকৃতভাবে লাঠি মাটিতে লাগে তাহলে কী হবে?</v>
      </c>
      <c r="K103" s="4" t="str">
        <f>IFERROR(__xludf.DUMMYFUNCTION("GOOGLETRANSLATE(C103, ""en"", ""bn"")"),"ক) কোন জরিমানা নেই, খ) সতর্কীকরণ, গ) খেলোয়াড়কে অযোগ্য ঘোষণা করা হয়েছে, ঘ) প্রতিপক্ষকে বিনামূল্যে স্ট্রাইক করা হয়েছে")</f>
        <v>ক) কোন জরিমানা নেই, খ) সতর্কীকরণ, গ) খেলোয়াড়কে অযোগ্য ঘোষণা করা হয়েছে, ঘ) প্রতিপক্ষকে বিনামূল্যে স্ট্রাইক করা হয়েছে</v>
      </c>
      <c r="L103" s="4" t="str">
        <f>IFERROR(__xludf.DUMMYFUNCTION("GOOGLETRANSLATE(D103, ""en"", ""bn"")"),"খ) সতর্কতা")</f>
        <v>খ) সতর্কতা</v>
      </c>
      <c r="M103" s="4" t="str">
        <f>IFERROR(__xludf.DUMMYFUNCTION("GOOGLETRANSLATE(E103, ""en"", ""bn"")"),"ইচ্ছাকৃতভাবে লাঠি মাটিতে ফেলা নিরুৎসাহিত করা হয় এবং সতর্কতার মাধ্যমে শাস্তি দেওয়া হয়।")</f>
        <v>ইচ্ছাকৃতভাবে লাঠি মাটিতে ফেলা নিরুৎসাহিত করা হয় এবং সতর্কতার মাধ্যমে শাস্তি দেওয়া হয়।</v>
      </c>
    </row>
    <row r="104">
      <c r="A104" s="3">
        <v>103.0</v>
      </c>
      <c r="B104" s="3" t="s">
        <v>2233</v>
      </c>
      <c r="C104" s="3" t="s">
        <v>2234</v>
      </c>
      <c r="D104" s="3" t="s">
        <v>761</v>
      </c>
      <c r="E104" s="3" t="s">
        <v>2235</v>
      </c>
      <c r="I104" s="4" t="str">
        <f>IFERROR(__xludf.DUMMYFUNCTION("GOOGLETRANSLATE(A104, ""en"", ""bn"")"),"১০৩")</f>
        <v>১০৩</v>
      </c>
      <c r="J104" s="4" t="str">
        <f>IFERROR(__xludf.DUMMYFUNCTION("GOOGLETRANSLATE(B104, ""en"", ""bn"")"),"খেলা পরিচালনার জন্য রেফারির হাতিয়ার কী?")</f>
        <v>খেলা পরিচালনার জন্য রেফারির হাতিয়ার কী?</v>
      </c>
      <c r="K104" s="4" t="str">
        <f>IFERROR(__xludf.DUMMYFUNCTION("GOOGLETRANSLATE(C104, ""en"", ""bn"")"),"ক) লাঠি, খ) বাঁশি, গ) ঢোল, ঘ) দড়ি")</f>
        <v>ক) লাঠি, খ) বাঁশি, গ) ঢোল, ঘ) দড়ি</v>
      </c>
      <c r="L104" s="4" t="str">
        <f>IFERROR(__xludf.DUMMYFUNCTION("GOOGLETRANSLATE(D104, ""en"", ""bn"")"),"খ) বাঁশি")</f>
        <v>খ) বাঁশি</v>
      </c>
      <c r="M104" s="4" t="str">
        <f>IFERROR(__xludf.DUMMYFUNCTION("GOOGLETRANSLATE(E104, ""en"", ""bn"")"),"রেফারি বাঁশি বাজিয়ে খেলা নিয়ন্ত্রণ করেন।")</f>
        <v>রেফারি বাঁশি বাজিয়ে খেলা নিয়ন্ত্রণ করেন।</v>
      </c>
    </row>
    <row r="105">
      <c r="A105" s="3">
        <v>104.0</v>
      </c>
      <c r="B105" s="3" t="s">
        <v>2236</v>
      </c>
      <c r="C105" s="3" t="s">
        <v>1977</v>
      </c>
      <c r="D105" s="3" t="s">
        <v>1077</v>
      </c>
      <c r="E105" s="3" t="s">
        <v>2237</v>
      </c>
      <c r="I105" s="4" t="str">
        <f>IFERROR(__xludf.DUMMYFUNCTION("GOOGLETRANSLATE(A105, ""en"", ""bn"")"),"১০৪")</f>
        <v>১০৪</v>
      </c>
      <c r="J105" s="4" t="str">
        <f>IFERROR(__xludf.DUMMYFUNCTION("GOOGLETRANSLATE(B105, ""en"", ""bn"")"),"একজন অধিনায়ক কি রেফারির সাথে তর্ক করতে পারেন?")</f>
        <v>একজন অধিনায়ক কি রেফারির সাথে তর্ক করতে পারেন?</v>
      </c>
      <c r="K105" s="4" t="str">
        <f>IFERROR(__xludf.DUMMYFUNCTION("GOOGLETRANSLATE(C105, ""en"", ""bn"")"),"ক) হ্যাঁ, খ) না")</f>
        <v>ক) হ্যাঁ, খ) না</v>
      </c>
      <c r="L105" s="4" t="str">
        <f>IFERROR(__xludf.DUMMYFUNCTION("GOOGLETRANSLATE(D105, ""en"", ""bn"")"),"খ) না")</f>
        <v>খ) না</v>
      </c>
      <c r="M105" s="4" t="str">
        <f>IFERROR(__xludf.DUMMYFUNCTION("GOOGLETRANSLATE(E105, ""en"", ""bn"")"),"রেফারির সাথে তর্ক করা অনুমোদিত নয়।")</f>
        <v>রেফারির সাথে তর্ক করা অনুমোদিত নয়।</v>
      </c>
    </row>
    <row r="106">
      <c r="A106" s="3">
        <v>105.0</v>
      </c>
      <c r="B106" s="3" t="s">
        <v>2238</v>
      </c>
      <c r="C106" s="3" t="s">
        <v>2239</v>
      </c>
      <c r="D106" s="3" t="s">
        <v>2240</v>
      </c>
      <c r="E106" s="3" t="s">
        <v>2241</v>
      </c>
      <c r="I106" s="4" t="str">
        <f>IFERROR(__xludf.DUMMYFUNCTION("GOOGLETRANSLATE(A106, ""en"", ""bn"")"),"১০৫")</f>
        <v>১০৫</v>
      </c>
      <c r="J106" s="4" t="str">
        <f>IFERROR(__xludf.DUMMYFUNCTION("GOOGLETRANSLATE(B106, ""en"", ""bn"")"),"লাঠির কোন দিকে আঘাত করা যাবে?")</f>
        <v>লাঠির কোন দিকে আঘাত করা যাবে?</v>
      </c>
      <c r="K106" s="4" t="str">
        <f>IFERROR(__xludf.DUMMYFUNCTION("GOOGLETRANSLATE(C106, ""en"", ""bn"")"),"ক) শুধুমাত্র এক প্রান্ত, খ) উভয় প্রান্ত, গ) শুধুমাত্র মাঝখানে, ঘ) কোনটিই নয়")</f>
        <v>ক) শুধুমাত্র এক প্রান্ত, খ) উভয় প্রান্ত, গ) শুধুমাত্র মাঝখানে, ঘ) কোনটিই নয়</v>
      </c>
      <c r="L106" s="4" t="str">
        <f>IFERROR(__xludf.DUMMYFUNCTION("GOOGLETRANSLATE(D106, ""en"", ""bn"")"),"খ) উভয় প্রান্ত")</f>
        <v>খ) উভয় প্রান্ত</v>
      </c>
      <c r="M106" s="4" t="str">
        <f>IFERROR(__xludf.DUMMYFUNCTION("GOOGLETRANSLATE(E106, ""en"", ""bn"")"),"লাঠির উভয় প্রান্তই আঘাতের জন্য ব্যবহার করা যেতে পারে।")</f>
        <v>লাঠির উভয় প্রান্তই আঘাতের জন্য ব্যবহার করা যেতে পারে।</v>
      </c>
    </row>
    <row r="107">
      <c r="A107" s="3">
        <v>106.0</v>
      </c>
      <c r="B107" s="3" t="s">
        <v>2242</v>
      </c>
      <c r="C107" s="3" t="s">
        <v>1977</v>
      </c>
      <c r="D107" s="3" t="s">
        <v>1077</v>
      </c>
      <c r="E107" s="3" t="s">
        <v>2243</v>
      </c>
      <c r="I107" s="4" t="str">
        <f>IFERROR(__xludf.DUMMYFUNCTION("GOOGLETRANSLATE(A107, ""en"", ""bn"")"),"১০৬")</f>
        <v>১০৬</v>
      </c>
      <c r="J107" s="4" t="str">
        <f>IFERROR(__xludf.DUMMYFUNCTION("GOOGLETRANSLATE(B107, ""en"", ""bn"")"),"আহত খেলোয়াড়রা কি মেডিকেল পরীক্ষার পর ফিরতে পারবেন?")</f>
        <v>আহত খেলোয়াড়রা কি মেডিকেল পরীক্ষার পর ফিরতে পারবেন?</v>
      </c>
      <c r="K107" s="4" t="str">
        <f>IFERROR(__xludf.DUMMYFUNCTION("GOOGLETRANSLATE(C107, ""en"", ""bn"")"),"ক) হ্যাঁ, খ) না")</f>
        <v>ক) হ্যাঁ, খ) না</v>
      </c>
      <c r="L107" s="4" t="str">
        <f>IFERROR(__xludf.DUMMYFUNCTION("GOOGLETRANSLATE(D107, ""en"", ""bn"")"),"খ) না")</f>
        <v>খ) না</v>
      </c>
      <c r="M107" s="4" t="str">
        <f>IFERROR(__xludf.DUMMYFUNCTION("GOOGLETRANSLATE(E107, ""en"", ""bn"")"),"আঘাতের কারণে একবার সরানো হলে, খেলোয়াড়রা পুনরায় প্রবেশ করতে পারবে না।")</f>
        <v>আঘাতের কারণে একবার সরানো হলে, খেলোয়াড়রা পুনরায় প্রবেশ করতে পারবে না।</v>
      </c>
    </row>
    <row r="108">
      <c r="A108" s="3">
        <v>107.0</v>
      </c>
      <c r="B108" s="3" t="s">
        <v>2244</v>
      </c>
      <c r="C108" s="3" t="s">
        <v>2245</v>
      </c>
      <c r="D108" s="3" t="s">
        <v>2246</v>
      </c>
      <c r="E108" s="3" t="s">
        <v>2247</v>
      </c>
      <c r="I108" s="4" t="str">
        <f>IFERROR(__xludf.DUMMYFUNCTION("GOOGLETRANSLATE(A108, ""en"", ""bn"")"),"১০৭")</f>
        <v>১০৭</v>
      </c>
      <c r="J108" s="4" t="str">
        <f>IFERROR(__xludf.DUMMYFUNCTION("GOOGLETRANSLATE(B108, ""en"", ""bn"")"),"আইনি ধর্মঘটের জন্য সর্বোচ্চ কত উচ্চতা অনুমোদিত?")</f>
        <v>আইনি ধর্মঘটের জন্য সর্বোচ্চ কত উচ্চতা অনুমোদিত?</v>
      </c>
      <c r="K108" s="4" t="str">
        <f>IFERROR(__xludf.DUMMYFUNCTION("GOOGLETRANSLATE(C108, ""en"", ""bn"")"),"ক) কোমর, খ) বুক, গ) কাঁধ, ঘ) মাথা")</f>
        <v>ক) কোমর, খ) বুক, গ) কাঁধ, ঘ) মাথা</v>
      </c>
      <c r="L108" s="4" t="str">
        <f>IFERROR(__xludf.DUMMYFUNCTION("GOOGLETRANSLATE(D108, ""en"", ""bn"")"),"ঘ) মাথা")</f>
        <v>ঘ) মাথা</v>
      </c>
      <c r="M108" s="4" t="str">
        <f>IFERROR(__xludf.DUMMYFUNCTION("GOOGLETRANSLATE(E108, ""en"", ""bn"")"),"মাথার স্তর পর্যন্ত আঘাত করা অনুমোদিত, এর বাইরে অনিরাপদ।")</f>
        <v>মাথার স্তর পর্যন্ত আঘাত করা অনুমোদিত, এর বাইরে অনিরাপদ।</v>
      </c>
    </row>
    <row r="109">
      <c r="A109" s="3">
        <v>108.0</v>
      </c>
      <c r="B109" s="3" t="s">
        <v>2248</v>
      </c>
      <c r="C109" s="3" t="s">
        <v>2249</v>
      </c>
      <c r="D109" s="3" t="s">
        <v>2250</v>
      </c>
      <c r="E109" s="3" t="s">
        <v>2251</v>
      </c>
      <c r="I109" s="4" t="str">
        <f>IFERROR(__xludf.DUMMYFUNCTION("GOOGLETRANSLATE(A109, ""en"", ""bn"")"),"১০৮")</f>
        <v>১০৮</v>
      </c>
      <c r="J109" s="4" t="str">
        <f>IFERROR(__xludf.DUMMYFUNCTION("GOOGLETRANSLATE(B109, ""en"", ""bn"")"),"যদি একজন খেলোয়াড় তিনবার লাঠি ফেলে দেয় তাহলে কী হবে?")</f>
        <v>যদি একজন খেলোয়াড় তিনবার লাঠি ফেলে দেয় তাহলে কী হবে?</v>
      </c>
      <c r="K109" s="4" t="str">
        <f>IFERROR(__xludf.DUMMYFUNCTION("GOOGLETRANSLATE(C109, ""en"", ""bn"")"),"ক) সতর্কীকরণ, খ) অযোগ্য ঘোষণা, গ) প্রতিস্থাপন, ঘ) প্রতিপক্ষকে অতিরিক্ত আঘাত")</f>
        <v>ক) সতর্কীকরণ, খ) অযোগ্য ঘোষণা, গ) প্রতিস্থাপন, ঘ) প্রতিপক্ষকে অতিরিক্ত আঘাত</v>
      </c>
      <c r="L109" s="4" t="str">
        <f>IFERROR(__xludf.DUMMYFUNCTION("GOOGLETRANSLATE(D109, ""en"", ""bn"")"),"খ) অযোগ্য ঘোষণা")</f>
        <v>খ) অযোগ্য ঘোষণা</v>
      </c>
      <c r="M109" s="4" t="str">
        <f>IFERROR(__xludf.DUMMYFUNCTION("GOOGLETRANSLATE(E109, ""en"", ""bn"")"),"বারবার লাঠি ফেলে দিলে অযোগ্যতা ঘোষণা করা হয়।")</f>
        <v>বারবার লাঠি ফেলে দিলে অযোগ্যতা ঘোষণা করা হয়।</v>
      </c>
    </row>
    <row r="110">
      <c r="A110" s="3">
        <v>109.0</v>
      </c>
      <c r="B110" s="3" t="s">
        <v>2252</v>
      </c>
      <c r="C110" s="3" t="s">
        <v>1977</v>
      </c>
      <c r="D110" s="3" t="s">
        <v>1119</v>
      </c>
      <c r="E110" s="3" t="s">
        <v>2253</v>
      </c>
      <c r="I110" s="4" t="str">
        <f>IFERROR(__xludf.DUMMYFUNCTION("GOOGLETRANSLATE(A110, ""en"", ""bn"")"),"১০৯")</f>
        <v>১০৯</v>
      </c>
      <c r="J110" s="4" t="str">
        <f>IFERROR(__xludf.DUMMYFUNCTION("GOOGLETRANSLATE(B110, ""en"", ""bn"")"),"ব্লক না করে কি ডিফেন্সিভ ডজিং ব্যবহার করা যেতে পারে?")</f>
        <v>ব্লক না করে কি ডিফেন্সিভ ডজিং ব্যবহার করা যেতে পারে?</v>
      </c>
      <c r="K110" s="4" t="str">
        <f>IFERROR(__xludf.DUMMYFUNCTION("GOOGLETRANSLATE(C110, ""en"", ""bn"")"),"ক) হ্যাঁ, খ) না")</f>
        <v>ক) হ্যাঁ, খ) না</v>
      </c>
      <c r="L110" s="4" t="str">
        <f>IFERROR(__xludf.DUMMYFUNCTION("GOOGLETRANSLATE(D110, ""en"", ""bn"")"),"ক) হ্যাঁ")</f>
        <v>ক) হ্যাঁ</v>
      </c>
      <c r="M110" s="4" t="str">
        <f>IFERROR(__xludf.DUMMYFUNCTION("GOOGLETRANSLATE(E110, ""en"", ""bn"")"),"এড়িয়ে যাওয়া একটি আইনি প্রতিরক্ষামূলক কৌশল।")</f>
        <v>এড়িয়ে যাওয়া একটি আইনি প্রতিরক্ষামূলক কৌশল।</v>
      </c>
    </row>
    <row r="111">
      <c r="A111" s="3">
        <v>110.0</v>
      </c>
      <c r="B111" s="3" t="s">
        <v>2254</v>
      </c>
      <c r="C111" s="3" t="s">
        <v>2255</v>
      </c>
      <c r="D111" s="3" t="s">
        <v>2256</v>
      </c>
      <c r="E111" s="3" t="s">
        <v>2257</v>
      </c>
      <c r="I111" s="4" t="str">
        <f>IFERROR(__xludf.DUMMYFUNCTION("GOOGLETRANSLATE(A111, ""en"", ""bn"")"),"১১০")</f>
        <v>১১০</v>
      </c>
      <c r="J111" s="4" t="str">
        <f>IFERROR(__xludf.DUMMYFUNCTION("GOOGLETRANSLATE(B111, ""en"", ""bn"")"),"নকআউট কিভাবে যাচাই করা হয়?")</f>
        <v>নকআউট কিভাবে যাচাই করা হয়?</v>
      </c>
      <c r="K111" s="4" t="str">
        <f>IFERROR(__xludf.DUMMYFUNCTION("GOOGLETRANSLATE(C111, ""en"", ""bn"")"),"ক) খেলোয়াড়ের ভর্তি, খ) রেফারির সিদ্ধান্ত, গ) দলের অধিনায়ক, ঘ) দর্শকদের ভোট")</f>
        <v>ক) খেলোয়াড়ের ভর্তি, খ) রেফারির সিদ্ধান্ত, গ) দলের অধিনায়ক, ঘ) দর্শকদের ভোট</v>
      </c>
      <c r="L111" s="4" t="str">
        <f>IFERROR(__xludf.DUMMYFUNCTION("GOOGLETRANSLATE(D111, ""en"", ""bn"")"),"খ) রেফারির সিদ্ধান্ত")</f>
        <v>খ) রেফারির সিদ্ধান্ত</v>
      </c>
      <c r="M111" s="4" t="str">
        <f>IFERROR(__xludf.DUMMYFUNCTION("GOOGLETRANSLATE(E111, ""en"", ""bn"")"),"রেফারি আনুষ্ঠানিকভাবে নকআউট নিশ্চিত করেন।")</f>
        <v>রেফারি আনুষ্ঠানিকভাবে নকআউট নিশ্চিত করেন।</v>
      </c>
    </row>
    <row r="112">
      <c r="A112" s="3">
        <v>111.0</v>
      </c>
      <c r="B112" s="3" t="s">
        <v>2258</v>
      </c>
      <c r="C112" s="3" t="s">
        <v>1977</v>
      </c>
      <c r="D112" s="3" t="s">
        <v>1077</v>
      </c>
      <c r="E112" s="3" t="s">
        <v>2259</v>
      </c>
      <c r="I112" s="4" t="str">
        <f>IFERROR(__xludf.DUMMYFUNCTION("GOOGLETRANSLATE(A112, ""en"", ""bn"")"),"১১১")</f>
        <v>১১১</v>
      </c>
      <c r="J112" s="4" t="str">
        <f>IFERROR(__xludf.DUMMYFUNCTION("GOOGLETRANSLATE(B112, ""en"", ""bn"")"),"খেলোয়াড়রা কি জুতা পরতে পারবে?")</f>
        <v>খেলোয়াড়রা কি জুতা পরতে পারবে?</v>
      </c>
      <c r="K112" s="4" t="str">
        <f>IFERROR(__xludf.DUMMYFUNCTION("GOOGLETRANSLATE(C112, ""en"", ""bn"")"),"ক) হ্যাঁ, খ) না")</f>
        <v>ক) হ্যাঁ, খ) না</v>
      </c>
      <c r="L112" s="4" t="str">
        <f>IFERROR(__xludf.DUMMYFUNCTION("GOOGLETRANSLATE(D112, ""en"", ""bn"")"),"খ) না")</f>
        <v>খ) না</v>
      </c>
      <c r="M112" s="4" t="str">
        <f>IFERROR(__xludf.DUMMYFUNCTION("GOOGLETRANSLATE(E112, ""en"", ""bn"")"),"ঐতিহ্যবাহী নিয়ম অনুসারে, খালি পায়ে খেলা ধরার জন্য প্রয়োজন।")</f>
        <v>ঐতিহ্যবাহী নিয়ম অনুসারে, খালি পায়ে খেলা ধরার জন্য প্রয়োজন।</v>
      </c>
    </row>
    <row r="113">
      <c r="A113" s="3">
        <v>112.0</v>
      </c>
      <c r="B113" s="3" t="s">
        <v>2260</v>
      </c>
      <c r="C113" s="3" t="s">
        <v>2261</v>
      </c>
      <c r="D113" s="3" t="s">
        <v>2262</v>
      </c>
      <c r="E113" s="3" t="s">
        <v>2263</v>
      </c>
      <c r="I113" s="4" t="str">
        <f>IFERROR(__xludf.DUMMYFUNCTION("GOOGLETRANSLATE(A113, ""en"", ""bn"")"),"১১২")</f>
        <v>১১২</v>
      </c>
      <c r="J113" s="4" t="str">
        <f>IFERROR(__xludf.DUMMYFUNCTION("GOOGLETRANSLATE(B113, ""en"", ""bn"")"),"যদি কোন দল চালিয়ে যেতে অস্বীকৃতি জানায় তাহলে কী হবে?")</f>
        <v>যদি কোন দল চালিয়ে যেতে অস্বীকৃতি জানায় তাহলে কী হবে?</v>
      </c>
      <c r="K113" s="4" t="str">
        <f>IFERROR(__xludf.DUMMYFUNCTION("GOOGLETRANSLATE(C113, ""en"", ""bn"")"),"ক) ম্যাচ বাতিল, খ) দলকে শাস্তি, গ) প্রতিপক্ষের জয়, ঘ) রিপ্লে")</f>
        <v>ক) ম্যাচ বাতিল, খ) দলকে শাস্তি, গ) প্রতিপক্ষের জয়, ঘ) রিপ্লে</v>
      </c>
      <c r="L113" s="4" t="str">
        <f>IFERROR(__xludf.DUMMYFUNCTION("GOOGLETRANSLATE(D113, ""en"", ""bn"")"),"গ) প্রতিপক্ষের জয়")</f>
        <v>গ) প্রতিপক্ষের জয়</v>
      </c>
      <c r="M113" s="4" t="str">
        <f>IFERROR(__xludf.DUMMYFUNCTION("GOOGLETRANSLATE(E113, ""en"", ""bn"")"),"ম্যাচটি হারিয়ে ফেলা প্রতিপক্ষকে জয় দেয়।")</f>
        <v>ম্যাচটি হারিয়ে ফেলা প্রতিপক্ষকে জয় দেয়।</v>
      </c>
    </row>
    <row r="114">
      <c r="A114" s="3">
        <v>113.0</v>
      </c>
      <c r="B114" s="3" t="s">
        <v>2264</v>
      </c>
      <c r="C114" s="3" t="s">
        <v>1977</v>
      </c>
      <c r="D114" s="3" t="s">
        <v>1119</v>
      </c>
      <c r="E114" s="3" t="s">
        <v>2265</v>
      </c>
      <c r="I114" s="4" t="str">
        <f>IFERROR(__xludf.DUMMYFUNCTION("GOOGLETRANSLATE(A114, ""en"", ""bn"")"),"১১৩")</f>
        <v>১১৩</v>
      </c>
      <c r="J114" s="4" t="str">
        <f>IFERROR(__xludf.DUMMYFUNCTION("GOOGLETRANSLATE(B114, ""en"", ""bn"")"),"খেলোয়াড়রা কি লাঠি মারার আগে লাঠি ঘোরাতে পারে?")</f>
        <v>খেলোয়াড়রা কি লাঠি মারার আগে লাঠি ঘোরাতে পারে?</v>
      </c>
      <c r="K114" s="4" t="str">
        <f>IFERROR(__xludf.DUMMYFUNCTION("GOOGLETRANSLATE(C114, ""en"", ""bn"")"),"ক) হ্যাঁ, খ) না")</f>
        <v>ক) হ্যাঁ, খ) না</v>
      </c>
      <c r="L114" s="4" t="str">
        <f>IFERROR(__xludf.DUMMYFUNCTION("GOOGLETRANSLATE(D114, ""en"", ""bn"")"),"ক) হ্যাঁ")</f>
        <v>ক) হ্যাঁ</v>
      </c>
      <c r="M114" s="4" t="str">
        <f>IFERROR(__xludf.DUMMYFUNCTION("GOOGLETRANSLATE(E114, ""en"", ""bn"")"),"স্পিনিং অনুমোদিত, যতক্ষণ না এটি ম্যাচ শুরু হতে বিলম্ব করে।")</f>
        <v>স্পিনিং অনুমোদিত, যতক্ষণ না এটি ম্যাচ শুরু হতে বিলম্ব করে।</v>
      </c>
    </row>
    <row r="115">
      <c r="A115" s="3">
        <v>114.0</v>
      </c>
      <c r="B115" s="3" t="s">
        <v>2266</v>
      </c>
      <c r="C115" s="3" t="s">
        <v>2267</v>
      </c>
      <c r="D115" s="3" t="s">
        <v>2268</v>
      </c>
      <c r="E115" s="3" t="s">
        <v>2269</v>
      </c>
      <c r="I115" s="4" t="str">
        <f>IFERROR(__xludf.DUMMYFUNCTION("GOOGLETRANSLATE(A115, ""en"", ""bn"")"),"১১৪")</f>
        <v>১১৪</v>
      </c>
      <c r="J115" s="4" t="str">
        <f>IFERROR(__xludf.DUMMYFUNCTION("GOOGLETRANSLATE(B115, ""en"", ""bn"")"),"যখন দুই অধিনায়কই প্রতিবাদ করেন, তখন রেফারির কী সিদ্ধান্ত?")</f>
        <v>যখন দুই অধিনায়কই প্রতিবাদ করেন, তখন রেফারির কী সিদ্ধান্ত?</v>
      </c>
      <c r="K115" s="4" t="str">
        <f>IFERROR(__xludf.DUMMYFUNCTION("GOOGLETRANSLATE(C115, ""en"", ""bn"")"),"ক) রিপ্লে, খ) টস, গ) রেফারির সিদ্ধান্ত, ঘ) খেলা শেষ")</f>
        <v>ক) রিপ্লে, খ) টস, গ) রেফারির সিদ্ধান্ত, ঘ) খেলা শেষ</v>
      </c>
      <c r="L115" s="4" t="str">
        <f>IFERROR(__xludf.DUMMYFUNCTION("GOOGLETRANSLATE(D115, ""en"", ""bn"")"),"গ) রেফারির সিদ্ধান্ত")</f>
        <v>গ) রেফারির সিদ্ধান্ত</v>
      </c>
      <c r="M115" s="4" t="str">
        <f>IFERROR(__xludf.DUMMYFUNCTION("GOOGLETRANSLATE(E115, ""en"", ""bn"")"),"উভয় অধিনায়ক প্রতিবাদ করলেও রেফারির সিদ্ধান্তই বহাল থাকে।")</f>
        <v>উভয় অধিনায়ক প্রতিবাদ করলেও রেফারির সিদ্ধান্তই বহাল থাকে।</v>
      </c>
    </row>
    <row r="116">
      <c r="A116" s="3">
        <v>115.0</v>
      </c>
      <c r="B116" s="3" t="s">
        <v>2270</v>
      </c>
      <c r="C116" s="3" t="s">
        <v>1977</v>
      </c>
      <c r="D116" s="3" t="s">
        <v>1119</v>
      </c>
      <c r="E116" s="3" t="s">
        <v>2271</v>
      </c>
      <c r="I116" s="4" t="str">
        <f>IFERROR(__xludf.DUMMYFUNCTION("GOOGLETRANSLATE(A116, ""en"", ""bn"")"),"১১৫")</f>
        <v>১১৫</v>
      </c>
      <c r="J116" s="4" t="str">
        <f>IFERROR(__xludf.DUMMYFUNCTION("GOOGLETRANSLATE(B116, ""en"", ""bn"")"),"খেলোয়াড়রা কি ম্যাচের মাঝখানে অবস্থান পরিবর্তন করতে পারে?")</f>
        <v>খেলোয়াড়রা কি ম্যাচের মাঝখানে অবস্থান পরিবর্তন করতে পারে?</v>
      </c>
      <c r="K116" s="4" t="str">
        <f>IFERROR(__xludf.DUMMYFUNCTION("GOOGLETRANSLATE(C116, ""en"", ""bn"")"),"ক) হ্যাঁ, খ) না")</f>
        <v>ক) হ্যাঁ, খ) না</v>
      </c>
      <c r="L116" s="4" t="str">
        <f>IFERROR(__xludf.DUMMYFUNCTION("GOOGLETRANSLATE(D116, ""en"", ""bn"")"),"ক) হ্যাঁ")</f>
        <v>ক) হ্যাঁ</v>
      </c>
      <c r="M116" s="4" t="str">
        <f>IFERROR(__xludf.DUMMYFUNCTION("GOOGLETRANSLATE(E116, ""en"", ""bn"")"),"খেলোয়াড়রা খেলার সময় কৌশলের জন্য অবস্থান পরিবর্তন করতে পারে।")</f>
        <v>খেলোয়াড়রা খেলার সময় কৌশলের জন্য অবস্থান পরিবর্তন করতে পারে।</v>
      </c>
    </row>
    <row r="117">
      <c r="A117" s="3">
        <v>116.0</v>
      </c>
      <c r="B117" s="3" t="s">
        <v>2272</v>
      </c>
      <c r="C117" s="3" t="s">
        <v>2273</v>
      </c>
      <c r="D117" s="3" t="s">
        <v>2274</v>
      </c>
      <c r="E117" s="3" t="s">
        <v>2275</v>
      </c>
      <c r="I117" s="4" t="str">
        <f>IFERROR(__xludf.DUMMYFUNCTION("GOOGLETRANSLATE(A117, ""en"", ""bn"")"),"১১৬")</f>
        <v>১১৬</v>
      </c>
      <c r="J117" s="4" t="str">
        <f>IFERROR(__xludf.DUMMYFUNCTION("GOOGLETRANSLATE(B117, ""en"", ""bn"")"),"যদি কোন দর্শক মাঠে প্রবেশ করে তাহলে কী হবে?")</f>
        <v>যদি কোন দর্শক মাঠে প্রবেশ করে তাহলে কী হবে?</v>
      </c>
      <c r="K117" s="4" t="str">
        <f>IFERROR(__xludf.DUMMYFUNCTION("GOOGLETRANSLATE(C117, ""en"", ""bn"")"),"ক) খেলা স্থগিত, খ) খেলোয়াড় অযোগ্য ঘোষণা, গ) উপেক্ষা, ঘ) প্রতিপক্ষের জয়")</f>
        <v>ক) খেলা স্থগিত, খ) খেলোয়াড় অযোগ্য ঘোষণা, গ) উপেক্ষা, ঘ) প্রতিপক্ষের জয়</v>
      </c>
      <c r="L117" s="4" t="str">
        <f>IFERROR(__xludf.DUMMYFUNCTION("GOOGLETRANSLATE(D117, ""en"", ""bn"")"),"ক) ম্যাচ স্থগিত")</f>
        <v>ক) ম্যাচ স্থগিত</v>
      </c>
      <c r="M117" s="4" t="str">
        <f>IFERROR(__xludf.DUMMYFUNCTION("GOOGLETRANSLATE(E117, ""en"", ""bn"")"),"মাঠ খালি না হওয়া পর্যন্ত রেফারি খেলা বন্ধ রাখেন।")</f>
        <v>মাঠ খালি না হওয়া পর্যন্ত রেফারি খেলা বন্ধ রাখেন।</v>
      </c>
    </row>
    <row r="118">
      <c r="A118" s="3">
        <v>117.0</v>
      </c>
      <c r="B118" s="3" t="s">
        <v>2276</v>
      </c>
      <c r="C118" s="3" t="s">
        <v>2277</v>
      </c>
      <c r="D118" s="3" t="s">
        <v>401</v>
      </c>
      <c r="E118" s="3" t="s">
        <v>2278</v>
      </c>
      <c r="I118" s="4" t="str">
        <f>IFERROR(__xludf.DUMMYFUNCTION("GOOGLETRANSLATE(A118, ""en"", ""bn"")"),"১১৭")</f>
        <v>১১৭</v>
      </c>
      <c r="J118" s="4" t="str">
        <f>IFERROR(__xludf.DUMMYFUNCTION("GOOGLETRANSLATE(B118, ""en"", ""bn"")"),"বারবার ছোটখাটো ফাউলের ​​শাস্তি কী?")</f>
        <v>বারবার ছোটখাটো ফাউলের ​​শাস্তি কী?</v>
      </c>
      <c r="K118" s="4" t="str">
        <f>IFERROR(__xludf.DUMMYFUNCTION("GOOGLETRANSLATE(C118, ""en"", ""bn"")"),"ক) সতর্কতা, খ) পয়েন্ট কর্তন, গ) অযোগ্যতা, ঘ) সময়সীমা")</f>
        <v>ক) সতর্কতা, খ) পয়েন্ট কর্তন, গ) অযোগ্যতা, ঘ) সময়সীমা</v>
      </c>
      <c r="L118" s="4" t="str">
        <f>IFERROR(__xludf.DUMMYFUNCTION("GOOGLETRANSLATE(D118, ""en"", ""bn"")"),"গ) অযোগ্যতা")</f>
        <v>গ) অযোগ্যতা</v>
      </c>
      <c r="M118" s="4" t="str">
        <f>IFERROR(__xludf.DUMMYFUNCTION("GOOGLETRANSLATE(E118, ""en"", ""bn"")"),"ক্রমাগত ফাউলের ​​ফলে অবশেষে অযোগ্যতা ঘোষণা করা হয়।")</f>
        <v>ক্রমাগত ফাউলের ​​ফলে অবশেষে অযোগ্যতা ঘোষণা করা হয়।</v>
      </c>
    </row>
    <row r="119">
      <c r="A119" s="3">
        <v>118.0</v>
      </c>
      <c r="B119" s="3" t="s">
        <v>2279</v>
      </c>
      <c r="C119" s="3" t="s">
        <v>1977</v>
      </c>
      <c r="D119" s="3" t="s">
        <v>1077</v>
      </c>
      <c r="E119" s="3" t="s">
        <v>2280</v>
      </c>
      <c r="I119" s="4" t="str">
        <f>IFERROR(__xludf.DUMMYFUNCTION("GOOGLETRANSLATE(A119, ""en"", ""bn"")"),"১১৮")</f>
        <v>১১৮</v>
      </c>
      <c r="J119" s="4" t="str">
        <f>IFERROR(__xludf.DUMMYFUNCTION("GOOGLETRANSLATE(B119, ""en"", ""bn"")"),"ম্যাচের জন্য কি লাঠি সাজানো যাবে?")</f>
        <v>ম্যাচের জন্য কি লাঠি সাজানো যাবে?</v>
      </c>
      <c r="K119" s="4" t="str">
        <f>IFERROR(__xludf.DUMMYFUNCTION("GOOGLETRANSLATE(C119, ""en"", ""bn"")"),"ক) হ্যাঁ, খ) না")</f>
        <v>ক) হ্যাঁ, খ) না</v>
      </c>
      <c r="L119" s="4" t="str">
        <f>IFERROR(__xludf.DUMMYFUNCTION("GOOGLETRANSLATE(D119, ""en"", ""bn"")"),"খ) না")</f>
        <v>খ) না</v>
      </c>
      <c r="M119" s="4" t="str">
        <f>IFERROR(__xludf.DUMMYFUNCTION("GOOGLETRANSLATE(E119, ""en"", ""bn"")"),"সাজসজ্জা বা পরিবর্তিত লাঠি অনুমোদিত নয়।")</f>
        <v>সাজসজ্জা বা পরিবর্তিত লাঠি অনুমোদিত নয়।</v>
      </c>
    </row>
    <row r="120">
      <c r="A120" s="3">
        <v>119.0</v>
      </c>
      <c r="B120" s="3" t="s">
        <v>2281</v>
      </c>
      <c r="C120" s="3" t="s">
        <v>1977</v>
      </c>
      <c r="D120" s="3" t="s">
        <v>1119</v>
      </c>
      <c r="E120" s="3" t="s">
        <v>2282</v>
      </c>
      <c r="I120" s="4" t="str">
        <f>IFERROR(__xludf.DUMMYFUNCTION("GOOGLETRANSLATE(A120, ""en"", ""bn"")"),"১১৯")</f>
        <v>১১৯</v>
      </c>
      <c r="J120" s="4" t="str">
        <f>IFERROR(__xludf.DUMMYFUNCTION("GOOGLETRANSLATE(B120, ""en"", ""bn"")"),"ম্যাচের আগে কি ওয়ার্ম-আপ বাধ্যতামূলক?")</f>
        <v>ম্যাচের আগে কি ওয়ার্ম-আপ বাধ্যতামূলক?</v>
      </c>
      <c r="K120" s="4" t="str">
        <f>IFERROR(__xludf.DUMMYFUNCTION("GOOGLETRANSLATE(C120, ""en"", ""bn"")"),"ক) হ্যাঁ, খ) না")</f>
        <v>ক) হ্যাঁ, খ) না</v>
      </c>
      <c r="L120" s="4" t="str">
        <f>IFERROR(__xludf.DUMMYFUNCTION("GOOGLETRANSLATE(D120, ""en"", ""bn"")"),"ক) হ্যাঁ")</f>
        <v>ক) হ্যাঁ</v>
      </c>
      <c r="M120" s="4" t="str">
        <f>IFERROR(__xludf.DUMMYFUNCTION("GOOGLETRANSLATE(E120, ""en"", ""bn"")"),"নিরাপত্তার জন্য খেলোয়াড়দের অবশ্যই ওয়ার্ম-আপ করতে হবে।")</f>
        <v>নিরাপত্তার জন্য খেলোয়াড়দের অবশ্যই ওয়ার্ম-আপ করতে হবে।</v>
      </c>
    </row>
    <row r="121">
      <c r="A121" s="3">
        <v>120.0</v>
      </c>
      <c r="B121" s="3" t="s">
        <v>2283</v>
      </c>
      <c r="C121" s="3" t="s">
        <v>1977</v>
      </c>
      <c r="D121" s="3" t="s">
        <v>1119</v>
      </c>
      <c r="E121" s="3" t="s">
        <v>2284</v>
      </c>
      <c r="I121" s="4" t="str">
        <f>IFERROR(__xludf.DUMMYFUNCTION("GOOGLETRANSLATE(A121, ""en"", ""bn"")"),"১২০")</f>
        <v>১২০</v>
      </c>
      <c r="J121" s="4" t="str">
        <f>IFERROR(__xludf.DUMMYFUNCTION("GOOGLETRANSLATE(B121, ""en"", ""bn"")"),"ইনজুরি বন্ধ হওয়ার পর কি খেলা আবার শুরু করা যেতে পারে?")</f>
        <v>ইনজুরি বন্ধ হওয়ার পর কি খেলা আবার শুরু করা যেতে পারে?</v>
      </c>
      <c r="K121" s="4" t="str">
        <f>IFERROR(__xludf.DUMMYFUNCTION("GOOGLETRANSLATE(C121, ""en"", ""bn"")"),"ক) হ্যাঁ, খ) না")</f>
        <v>ক) হ্যাঁ, খ) না</v>
      </c>
      <c r="L121" s="4" t="str">
        <f>IFERROR(__xludf.DUMMYFUNCTION("GOOGLETRANSLATE(D121, ""en"", ""bn"")"),"ক) হ্যাঁ")</f>
        <v>ক) হ্যাঁ</v>
      </c>
      <c r="M121" s="4" t="str">
        <f>IFERROR(__xludf.DUMMYFUNCTION("GOOGLETRANSLATE(E121, ""en"", ""bn"")"),"রেফারির নিয়ন্ত্রণে ইনজুরির কারণে খেলা বন্ধ থাকার পর খেলা আবার শুরু হয়।")</f>
        <v>রেফারির নিয়ন্ত্রণে ইনজুরির কারণে খেলা বন্ধ থাকার পর খেলা আবার শুরু হয়।</v>
      </c>
    </row>
    <row r="122">
      <c r="A122" s="3">
        <v>121.0</v>
      </c>
      <c r="B122" s="3" t="s">
        <v>2285</v>
      </c>
      <c r="C122" s="3" t="s">
        <v>2286</v>
      </c>
      <c r="D122" s="3" t="s">
        <v>2287</v>
      </c>
      <c r="E122" s="3" t="s">
        <v>2288</v>
      </c>
      <c r="I122" s="4" t="str">
        <f>IFERROR(__xludf.DUMMYFUNCTION("GOOGLETRANSLATE(A122, ""en"", ""bn"")"),"১২১")</f>
        <v>১২১</v>
      </c>
      <c r="J122" s="4" t="str">
        <f>IFERROR(__xludf.DUMMYFUNCTION("GOOGLETRANSLATE(B122, ""en"", ""bn"")"),"লাঠির কোন অংশ ব্লক করার জন্য সবচেয়ে নিরাপদ?")</f>
        <v>লাঠির কোন অংশ ব্লক করার জন্য সবচেয়ে নিরাপদ?</v>
      </c>
      <c r="K122" s="4" t="str">
        <f>IFERROR(__xludf.DUMMYFUNCTION("GOOGLETRANSLATE(C122, ""en"", ""bn"")"),"ক) শেষ, খ) মধ্য, গ) উপরের অংশ, ঘ) কোনটিই নয়")</f>
        <v>ক) শেষ, খ) মধ্য, গ) উপরের অংশ, ঘ) কোনটিই নয়</v>
      </c>
      <c r="L122" s="4" t="str">
        <f>IFERROR(__xludf.DUMMYFUNCTION("GOOGLETRANSLATE(D122, ""en"", ""bn"")"),"খ) মধ্যম")</f>
        <v>খ) মধ্যম</v>
      </c>
      <c r="M122" s="4" t="str">
        <f>IFERROR(__xludf.DUMMYFUNCTION("GOOGLETRANSLATE(E122, ""en"", ""bn"")"),"লাঠির মাঝের অংশটি ব্লক করার জন্য সবচেয়ে স্থিতিশীল।")</f>
        <v>লাঠির মাঝের অংশটি ব্লক করার জন্য সবচেয়ে স্থিতিশীল।</v>
      </c>
    </row>
    <row r="123">
      <c r="A123" s="3">
        <v>122.0</v>
      </c>
      <c r="B123" s="3" t="s">
        <v>2289</v>
      </c>
      <c r="C123" s="3" t="s">
        <v>1977</v>
      </c>
      <c r="D123" s="3" t="s">
        <v>1119</v>
      </c>
      <c r="E123" s="3" t="s">
        <v>2290</v>
      </c>
      <c r="I123" s="4" t="str">
        <f>IFERROR(__xludf.DUMMYFUNCTION("GOOGLETRANSLATE(A123, ""en"", ""bn"")"),"১২২")</f>
        <v>১২২</v>
      </c>
      <c r="J123" s="4" t="str">
        <f>IFERROR(__xludf.DUMMYFUNCTION("GOOGLETRANSLATE(B123, ""en"", ""bn"")"),"দুজন খেলোয়াড় কি একই সময়ে একজন প্রতিপক্ষকে আঘাত করতে পারে?")</f>
        <v>দুজন খেলোয়াড় কি একই সময়ে একজন প্রতিপক্ষকে আঘাত করতে পারে?</v>
      </c>
      <c r="K123" s="4" t="str">
        <f>IFERROR(__xludf.DUMMYFUNCTION("GOOGLETRANSLATE(C123, ""en"", ""bn"")"),"ক) হ্যাঁ, খ) না")</f>
        <v>ক) হ্যাঁ, খ) না</v>
      </c>
      <c r="L123" s="4" t="str">
        <f>IFERROR(__xludf.DUMMYFUNCTION("GOOGLETRANSLATE(D123, ""en"", ""bn"")"),"ক) হ্যাঁ")</f>
        <v>ক) হ্যাঁ</v>
      </c>
      <c r="M123" s="4" t="str">
        <f>IFERROR(__xludf.DUMMYFUNCTION("GOOGLETRANSLATE(E123, ""en"", ""bn"")"),"আইনগতভাবে সমন্বিত হলে দলগত ধর্মঘট অনুমোদিত।")</f>
        <v>আইনগতভাবে সমন্বিত হলে দলগত ধর্মঘট অনুমোদিত।</v>
      </c>
    </row>
    <row r="124">
      <c r="A124" s="3">
        <v>123.0</v>
      </c>
      <c r="B124" s="3" t="s">
        <v>2291</v>
      </c>
      <c r="C124" s="3" t="s">
        <v>2292</v>
      </c>
      <c r="D124" s="3" t="s">
        <v>2176</v>
      </c>
      <c r="E124" s="3" t="s">
        <v>2293</v>
      </c>
      <c r="I124" s="4" t="str">
        <f>IFERROR(__xludf.DUMMYFUNCTION("GOOGLETRANSLATE(A124, ""en"", ""bn"")"),"১২৩")</f>
        <v>১২৩</v>
      </c>
      <c r="J124" s="4" t="str">
        <f>IFERROR(__xludf.DUMMYFUNCTION("GOOGLETRANSLATE(B124, ""en"", ""bn"")"),"যদি কোন খেলোয়াড় আঘাতের ভান করে তাহলে কী হবে?")</f>
        <v>যদি কোন খেলোয়াড় আঘাতের ভান করে তাহলে কী হবে?</v>
      </c>
      <c r="K124" s="4" t="str">
        <f>IFERROR(__xludf.DUMMYFUNCTION("GOOGLETRANSLATE(C124, ""en"", ""bn"")"),"ক) সতর্কীকরণ, খ) অযোগ্যতা, গ) রিপ্লে, ঘ) উপেক্ষা")</f>
        <v>ক) সতর্কীকরণ, খ) অযোগ্যতা, গ) রিপ্লে, ঘ) উপেক্ষা</v>
      </c>
      <c r="L124" s="4" t="str">
        <f>IFERROR(__xludf.DUMMYFUNCTION("GOOGLETRANSLATE(D124, ""en"", ""bn"")"),"খ) অযোগ্যতা")</f>
        <v>খ) অযোগ্যতা</v>
      </c>
      <c r="M124" s="4" t="str">
        <f>IFERROR(__xludf.DUMMYFUNCTION("GOOGLETRANSLATE(E124, ""en"", ""bn"")"),"জাল আঘাত করাকে প্রতারণা বলে মনে করা হয় এবং শাস্তি দেওয়া হয়।")</f>
        <v>জাল আঘাত করাকে প্রতারণা বলে মনে করা হয় এবং শাস্তি দেওয়া হয়।</v>
      </c>
    </row>
    <row r="125">
      <c r="A125" s="3">
        <v>124.0</v>
      </c>
      <c r="B125" s="3" t="s">
        <v>2294</v>
      </c>
      <c r="C125" s="3" t="s">
        <v>1977</v>
      </c>
      <c r="D125" s="3" t="s">
        <v>1077</v>
      </c>
      <c r="E125" s="3" t="s">
        <v>2295</v>
      </c>
      <c r="I125" s="4" t="str">
        <f>IFERROR(__xludf.DUMMYFUNCTION("GOOGLETRANSLATE(A125, ""en"", ""bn"")"),"১২৪")</f>
        <v>১২৪</v>
      </c>
      <c r="J125" s="4" t="str">
        <f>IFERROR(__xludf.DUMMYFUNCTION("GOOGLETRANSLATE(B125, ""en"", ""bn"")"),"একজন নকআউট খেলোয়াড় কি সিদ্ধান্তের প্রতিবাদ করতে পারে?")</f>
        <v>একজন নকআউট খেলোয়াড় কি সিদ্ধান্তের প্রতিবাদ করতে পারে?</v>
      </c>
      <c r="K125" s="4" t="str">
        <f>IFERROR(__xludf.DUMMYFUNCTION("GOOGLETRANSLATE(C125, ""en"", ""bn"")"),"ক) হ্যাঁ, খ) না")</f>
        <v>ক) হ্যাঁ, খ) না</v>
      </c>
      <c r="L125" s="4" t="str">
        <f>IFERROR(__xludf.DUMMYFUNCTION("GOOGLETRANSLATE(D125, ""en"", ""bn"")"),"খ) না")</f>
        <v>খ) না</v>
      </c>
      <c r="M125" s="4" t="str">
        <f>IFERROR(__xludf.DUMMYFUNCTION("GOOGLETRANSLATE(E125, ""en"", ""bn"")"),"নকআউটের সিদ্ধান্ত চূড়ান্ত এবং এর প্রতিবাদ করা যাবে না।")</f>
        <v>নকআউটের সিদ্ধান্ত চূড়ান্ত এবং এর প্রতিবাদ করা যাবে না।</v>
      </c>
    </row>
    <row r="126">
      <c r="A126" s="3">
        <v>125.0</v>
      </c>
      <c r="B126" s="3" t="s">
        <v>2296</v>
      </c>
      <c r="C126" s="3" t="s">
        <v>2297</v>
      </c>
      <c r="D126" s="3" t="s">
        <v>238</v>
      </c>
      <c r="E126" s="3" t="s">
        <v>2298</v>
      </c>
      <c r="I126" s="4" t="str">
        <f>IFERROR(__xludf.DUMMYFUNCTION("GOOGLETRANSLATE(A126, ""en"", ""bn"")"),"১২৫")</f>
        <v>১২৫</v>
      </c>
      <c r="J126" s="4" t="str">
        <f>IFERROR(__xludf.DUMMYFUNCTION("GOOGLETRANSLATE(B126, ""en"", ""bn"")"),"খেলা শুরুর আগে অধিনায়কদের কী করা উচিত?")</f>
        <v>খেলা শুরুর আগে অধিনায়কদের কী করা উচিত?</v>
      </c>
      <c r="K126" s="4" t="str">
        <f>IFERROR(__xludf.DUMMYFUNCTION("GOOGLETRANSLATE(C126, ""en"", ""bn"")"),"ক) করমর্দন, খ) টস কয়েন, গ) রেফারিকে স্যালুট, ঘ) উপরের সবগুলো")</f>
        <v>ক) করমর্দন, খ) টস কয়েন, গ) রেফারিকে স্যালুট, ঘ) উপরের সবগুলো</v>
      </c>
      <c r="L126" s="4" t="str">
        <f>IFERROR(__xludf.DUMMYFUNCTION("GOOGLETRANSLATE(D126, ""en"", ""bn"")"),"ঘ) উপরের সবগুলো")</f>
        <v>ঘ) উপরের সবগুলো</v>
      </c>
      <c r="M126" s="4" t="str">
        <f>IFERROR(__xludf.DUMMYFUNCTION("GOOGLETRANSLATE(E126, ""en"", ""bn"")"),"খেলার আগে অধিনায়করা ম্যাচ-পূর্ব সকল আনুষ্ঠানিকতা সম্পন্ন করেন।")</f>
        <v>খেলার আগে অধিনায়করা ম্যাচ-পূর্ব সকল আনুষ্ঠানিকতা সম্পন্ন করেন।</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3" width="37.63"/>
    <col customWidth="1" min="4" max="4" width="26.38"/>
    <col customWidth="1" min="5" max="5" width="37.63"/>
    <col customWidth="1" min="11" max="12" width="37.63"/>
    <col customWidth="1" min="13" max="13" width="31.13"/>
    <col customWidth="1" min="14" max="14" width="37.63"/>
  </cols>
  <sheetData>
    <row r="1">
      <c r="A1" s="1" t="s">
        <v>0</v>
      </c>
      <c r="B1" s="1" t="s">
        <v>1</v>
      </c>
      <c r="C1" s="1" t="s">
        <v>2</v>
      </c>
      <c r="D1" s="1" t="s">
        <v>3</v>
      </c>
      <c r="E1" s="1" t="s">
        <v>4</v>
      </c>
      <c r="J1" s="2" t="s">
        <v>5</v>
      </c>
      <c r="K1" s="2" t="s">
        <v>6</v>
      </c>
      <c r="L1" s="2" t="s">
        <v>7</v>
      </c>
      <c r="M1" s="2" t="s">
        <v>8</v>
      </c>
      <c r="N1" s="2" t="s">
        <v>9</v>
      </c>
    </row>
    <row r="2">
      <c r="A2" s="3">
        <v>1.0</v>
      </c>
      <c r="B2" s="3" t="s">
        <v>2299</v>
      </c>
      <c r="C2" s="3" t="s">
        <v>2300</v>
      </c>
      <c r="D2" s="3" t="s">
        <v>2301</v>
      </c>
      <c r="E2" s="3" t="s">
        <v>2302</v>
      </c>
      <c r="J2" s="4" t="str">
        <f>IFERROR(__xludf.DUMMYFUNCTION("GOOGLETRANSLATE(A2, ""en"", ""bn"")"),"১")</f>
        <v>১</v>
      </c>
      <c r="K2" s="4" t="str">
        <f>IFERROR(__xludf.DUMMYFUNCTION("GOOGLETRANSLATE(B2, ""en"", ""bn"")"),"নৌকা বাইচ দৌড়ে সাধারণত কোন ধরণের নৌকা ব্যবহার করা হয়?")</f>
        <v>নৌকা বাইচ দৌড়ে সাধারণত কোন ধরণের নৌকা ব্যবহার করা হয়?</v>
      </c>
      <c r="L2" s="4" t="str">
        <f>IFERROR(__xludf.DUMMYFUNCTION("GOOGLETRANSLATE(C2, ""en"", ""bn"")"),"ক) স্পিডবোট, খ) ডিঙ্গি, গ) লম্বা সরু নৌকা, ঘ) কায়াক")</f>
        <v>ক) স্পিডবোট, খ) ডিঙ্গি, গ) লম্বা সরু নৌকা, ঘ) কায়াক</v>
      </c>
      <c r="M2" s="4" t="str">
        <f>IFERROR(__xludf.DUMMYFUNCTION("GOOGLETRANSLATE(D2, ""en"", ""bn"")"),"গ) লম্বা সরু নৌকা")</f>
        <v>গ) লম্বা সরু নৌকা</v>
      </c>
      <c r="N2" s="4" t="str">
        <f>IFERROR(__xludf.DUMMYFUNCTION("GOOGLETRANSLATE(E2, ""en"", ""bn"")"),"প্রতিযোগিতামূলক দৌড়ের জন্য নৌকা বাইচ ঐতিহ্যবাহী লম্বা, সরু নৌকা ব্যবহার করে যা একাধিক রোয়ার ধরে রাখতে পারে।")</f>
        <v>প্রতিযোগিতামূলক দৌড়ের জন্য নৌকা বাইচ ঐতিহ্যবাহী লম্বা, সরু নৌকা ব্যবহার করে যা একাধিক রোয়ার ধরে রাখতে পারে।</v>
      </c>
    </row>
    <row r="3">
      <c r="A3" s="3">
        <v>2.0</v>
      </c>
      <c r="B3" s="3" t="s">
        <v>2303</v>
      </c>
      <c r="C3" s="3" t="s">
        <v>2304</v>
      </c>
      <c r="D3" s="3" t="s">
        <v>2305</v>
      </c>
      <c r="E3" s="3" t="s">
        <v>2306</v>
      </c>
      <c r="J3" s="4" t="str">
        <f>IFERROR(__xludf.DUMMYFUNCTION("GOOGLETRANSLATE(A3, ""en"", ""bn"")"),"২")</f>
        <v>২</v>
      </c>
      <c r="K3" s="4" t="str">
        <f>IFERROR(__xludf.DUMMYFUNCTION("GOOGLETRANSLATE(B3, ""en"", ""bn"")"),"নৌকা বাইচ-এ প্রধান রোয়ারের প্রধান ভূমিকা কী?")</f>
        <v>নৌকা বাইচ-এ প্রধান রোয়ারের প্রধান ভূমিকা কী?</v>
      </c>
      <c r="L3" s="4" t="str">
        <f>IFERROR(__xludf.DUMMYFUNCTION("GOOGLETRANSLATE(C3, ""en"", ""bn"")"),"ক) গতি, খ) স্টিয়ারিং, গ) ঢোল বাজানো, ঘ) চিৎকার করে আদেশ দেওয়া")</f>
        <v>ক) গতি, খ) স্টিয়ারিং, গ) ঢোল বাজানো, ঘ) চিৎকার করে আদেশ দেওয়া</v>
      </c>
      <c r="M3" s="4" t="str">
        <f>IFERROR(__xludf.DUMMYFUNCTION("GOOGLETRANSLATE(D3, ""en"", ""bn"")"),"ঘ) চিৎকার করে আদেশ দেওয়া")</f>
        <v>ঘ) চিৎকার করে আদেশ দেওয়া</v>
      </c>
      <c r="N3" s="4" t="str">
        <f>IFERROR(__xludf.DUMMYFUNCTION("GOOGLETRANSLATE(E3, ""en"", ""bn"")"),"প্রধান রোয়ার দলকে সুসংগত করার জন্য চিৎকার করে আদেশ দিয়ে ছন্দ এবং গতি সমন্বয় করে।")</f>
        <v>প্রধান রোয়ার দলকে সুসংগত করার জন্য চিৎকার করে আদেশ দিয়ে ছন্দ এবং গতি সমন্বয় করে।</v>
      </c>
    </row>
    <row r="4">
      <c r="A4" s="3">
        <v>3.0</v>
      </c>
      <c r="B4" s="3" t="s">
        <v>2307</v>
      </c>
      <c r="C4" s="3" t="s">
        <v>2308</v>
      </c>
      <c r="D4" s="3" t="s">
        <v>2309</v>
      </c>
      <c r="E4" s="3" t="s">
        <v>2310</v>
      </c>
      <c r="J4" s="4" t="str">
        <f>IFERROR(__xludf.DUMMYFUNCTION("GOOGLETRANSLATE(A4, ""en"", ""bn"")"),"৩")</f>
        <v>৩</v>
      </c>
      <c r="K4" s="4" t="str">
        <f>IFERROR(__xludf.DUMMYFUNCTION("GOOGLETRANSLATE(B4, ""en"", ""bn"")"),"নৌকা বাইচে রোয়ার সংখ্যা সম্পর্কে প্রধান নিয়ম কী?")</f>
        <v>নৌকা বাইচে রোয়ার সংখ্যা সম্পর্কে প্রধান নিয়ম কী?</v>
      </c>
      <c r="L4" s="4" t="str">
        <f>IFERROR(__xludf.DUMMYFUNCTION("GOOGLETRANSLATE(C4, ""en"", ""bn"")"),"ক) সীমাহীন, খ) দল প্রতি স্থির, গ) নৌকার আকার অনুসারে পরিবর্তিত, ঘ) রেফারিদের দ্বারা নির্ধারিত")</f>
        <v>ক) সীমাহীন, খ) দল প্রতি স্থির, গ) নৌকার আকার অনুসারে পরিবর্তিত, ঘ) রেফারিদের দ্বারা নির্ধারিত</v>
      </c>
      <c r="M4" s="4" t="str">
        <f>IFERROR(__xludf.DUMMYFUNCTION("GOOGLETRANSLATE(D4, ""en"", ""bn"")"),"গ) নৌকার আকার অনুসারে পরিবর্তিত হয়")</f>
        <v>গ) নৌকার আকার অনুসারে পরিবর্তিত হয়</v>
      </c>
      <c r="N4" s="4" t="str">
        <f>IFERROR(__xludf.DUMMYFUNCTION("GOOGLETRANSLATE(E4, ""en"", ""bn"")"),"নৌকার আকার এবং প্রতিযোগিতার নিয়মের উপর সাধারণত নৌকাচালকের সংখ্যা নির্ভর করে।")</f>
        <v>নৌকার আকার এবং প্রতিযোগিতার নিয়মের উপর সাধারণত নৌকাচালকের সংখ্যা নির্ভর করে।</v>
      </c>
    </row>
    <row r="5">
      <c r="A5" s="3">
        <v>4.0</v>
      </c>
      <c r="B5" s="3" t="s">
        <v>2311</v>
      </c>
      <c r="C5" s="3" t="s">
        <v>2312</v>
      </c>
      <c r="D5" s="3" t="s">
        <v>2313</v>
      </c>
      <c r="E5" s="3" t="s">
        <v>2314</v>
      </c>
      <c r="J5" s="4" t="str">
        <f>IFERROR(__xludf.DUMMYFUNCTION("GOOGLETRANSLATE(A5, ""en"", ""bn"")"),"৪")</f>
        <v>৪</v>
      </c>
      <c r="K5" s="4" t="str">
        <f>IFERROR(__xludf.DUMMYFUNCTION("GOOGLETRANSLATE(B5, ""en"", ""bn"")"),"নৌকা বাইচে গতি ধরে রাখার জন্য রোয়াররা প্রায়শই কোন জিনিসটি ব্যবহার করে?")</f>
        <v>নৌকা বাইচে গতি ধরে রাখার জন্য রোয়াররা প্রায়শই কোন জিনিসটি ব্যবহার করে?</v>
      </c>
      <c r="L5" s="4" t="str">
        <f>IFERROR(__xludf.DUMMYFUNCTION("GOOGLETRANSLATE(C5, ""en"", ""bn"")"),"ক) বাঁশি, খ) ঢোল, গ) ঘণ্টা, ঘ) বাঁশি")</f>
        <v>ক) বাঁশি, খ) ঢোল, গ) ঘণ্টা, ঘ) বাঁশি</v>
      </c>
      <c r="M5" s="4" t="str">
        <f>IFERROR(__xludf.DUMMYFUNCTION("GOOGLETRANSLATE(D5, ""en"", ""bn"")"),"খ) ঢোল")</f>
        <v>খ) ঢোল</v>
      </c>
      <c r="N5" s="4" t="str">
        <f>IFERROR(__xludf.DUMMYFUNCTION("GOOGLETRANSLATE(E5, ""en"", ""bn"")"),"নৌকা বাইচ দৌড়ে রোয়ারদের ছন্দ এবং গতি বজায় রাখার জন্য প্রায়শই ড্রাম ব্যবহার করা হয়।")</f>
        <v>নৌকা বাইচ দৌড়ে রোয়ারদের ছন্দ এবং গতি বজায় রাখার জন্য প্রায়শই ড্রাম ব্যবহার করা হয়।</v>
      </c>
    </row>
    <row r="6">
      <c r="A6" s="3">
        <v>5.0</v>
      </c>
      <c r="B6" s="3" t="s">
        <v>2315</v>
      </c>
      <c r="C6" s="3" t="s">
        <v>2316</v>
      </c>
      <c r="D6" s="3" t="s">
        <v>2317</v>
      </c>
      <c r="E6" s="3" t="s">
        <v>2318</v>
      </c>
      <c r="J6" s="4" t="str">
        <f>IFERROR(__xludf.DUMMYFUNCTION("GOOGLETRANSLATE(A6, ""en"", ""bn"")"),"৫")</f>
        <v>৫</v>
      </c>
      <c r="K6" s="4" t="str">
        <f>IFERROR(__xludf.DUMMYFUNCTION("GOOGLETRANSLATE(B6, ""en"", ""bn"")"),"নৌকা বাইচ দৌড় মূলত কোন ধরণের জলাশয়ে অনুষ্ঠিত হয়?")</f>
        <v>নৌকা বাইচ দৌড় মূলত কোন ধরণের জলাশয়ে অনুষ্ঠিত হয়?</v>
      </c>
      <c r="L6" s="4" t="str">
        <f>IFERROR(__xludf.DUMMYFUNCTION("GOOGLETRANSLATE(C6, ""en"", ""bn"")"),"ক) মহাসাগর, খ) নদী, গ) পুকুর, ঘ) খাল")</f>
        <v>ক) মহাসাগর, খ) নদী, গ) পুকুর, ঘ) খাল</v>
      </c>
      <c r="M6" s="4" t="str">
        <f>IFERROR(__xludf.DUMMYFUNCTION("GOOGLETRANSLATE(D6, ""en"", ""bn"")"),"খ) নদী")</f>
        <v>খ) নদী</v>
      </c>
      <c r="N6" s="4" t="str">
        <f>IFERROR(__xludf.DUMMYFUNCTION("GOOGLETRANSLATE(E6, ""en"", ""bn"")"),"বাংলাদেশের বিস্তৃত নদী নেটওয়ার্ক ব্যবহার করে ঐতিহ্যগতভাবে নৌকা বাইচ দৌড় প্রতিযোগিতা নদীতে অনুষ্ঠিত হয়।")</f>
        <v>বাংলাদেশের বিস্তৃত নদী নেটওয়ার্ক ব্যবহার করে ঐতিহ্যগতভাবে নৌকা বাইচ দৌড় প্রতিযোগিতা নদীতে অনুষ্ঠিত হয়।</v>
      </c>
    </row>
    <row r="7">
      <c r="A7" s="3">
        <v>6.0</v>
      </c>
      <c r="B7" s="3" t="s">
        <v>2319</v>
      </c>
      <c r="C7" s="3" t="s">
        <v>2320</v>
      </c>
      <c r="D7" s="3" t="s">
        <v>2321</v>
      </c>
      <c r="E7" s="3" t="s">
        <v>2322</v>
      </c>
      <c r="J7" s="4" t="str">
        <f>IFERROR(__xludf.DUMMYFUNCTION("GOOGLETRANSLATE(A7, ""en"", ""bn"")"),"৬")</f>
        <v>৬</v>
      </c>
      <c r="K7" s="4" t="str">
        <f>IFERROR(__xludf.DUMMYFUNCTION("GOOGLETRANSLATE(B7, ""en"", ""bn"")"),"নৌকা বাইচে, নৌকা পরিচালনার দায়িত্ব কার?")</f>
        <v>নৌকা বাইচে, নৌকা পরিচালনার দায়িত্ব কার?</v>
      </c>
      <c r="L7" s="4" t="str">
        <f>IFERROR(__xludf.DUMMYFUNCTION("GOOGLETRANSLATE(C7, ""en"", ""bn"")"),"ক) সকল রোয়ার, খ) লিড রোয়ার, গ) রিয়ার রোয়ার, ঘ) একটি পৃথক স্টিয়ারার")</f>
        <v>ক) সকল রোয়ার, খ) লিড রোয়ার, গ) রিয়ার রোয়ার, ঘ) একটি পৃথক স্টিয়ারার</v>
      </c>
      <c r="M7" s="4" t="str">
        <f>IFERROR(__xludf.DUMMYFUNCTION("GOOGLETRANSLATE(D7, ""en"", ""bn"")"),"গ) পিছনের রোয়ার")</f>
        <v>গ) পিছনের রোয়ার</v>
      </c>
      <c r="N7" s="4" t="str">
        <f>IFERROR(__xludf.DUMMYFUNCTION("GOOGLETRANSLATE(E7, ""en"", ""bn"")"),"নৌকা বাইচ দৌড়ে নৌকার পেছনের রোয়ার সাধারণত স্টিয়ারিং পরিচালনা করে।")</f>
        <v>নৌকা বাইচ দৌড়ে নৌকার পেছনের রোয়ার সাধারণত স্টিয়ারিং পরিচালনা করে।</v>
      </c>
    </row>
    <row r="8">
      <c r="A8" s="3">
        <v>7.0</v>
      </c>
      <c r="B8" s="3" t="s">
        <v>2323</v>
      </c>
      <c r="C8" s="3" t="s">
        <v>2324</v>
      </c>
      <c r="D8" s="3" t="s">
        <v>2325</v>
      </c>
      <c r="E8" s="3" t="s">
        <v>2326</v>
      </c>
      <c r="J8" s="4" t="str">
        <f>IFERROR(__xludf.DUMMYFUNCTION("GOOGLETRANSLATE(A8, ""en"", ""bn"")"),"৭")</f>
        <v>৭</v>
      </c>
      <c r="K8" s="4" t="str">
        <f>IFERROR(__xludf.DUMMYFUNCTION("GOOGLETRANSLATE(B8, ""en"", ""bn"")"),"নৌকা বাইচ প্রতিযোগিতার সময় কোন পদক্ষেপের ফলে অযোগ্য ঘোষণা করা হয়?")</f>
        <v>নৌকা বাইচ প্রতিযোগিতার সময় কোন পদক্ষেপের ফলে অযোগ্য ঘোষণা করা হয়?</v>
      </c>
      <c r="L8" s="4" t="str">
        <f>IFERROR(__xludf.DUMMYFUNCTION("GOOGLETRANSLATE(C8, ""en"", ""bn"")"),"ক) পিছনে পড়ে যাওয়া, খ) অন্য নৌকার সাথে সংঘর্ষ, গ) চিৎকার, ঘ) দ্রুত প্যাডেল চালানো")</f>
        <v>ক) পিছনে পড়ে যাওয়া, খ) অন্য নৌকার সাথে সংঘর্ষ, গ) চিৎকার, ঘ) দ্রুত প্যাডেল চালানো</v>
      </c>
      <c r="M8" s="4" t="str">
        <f>IFERROR(__xludf.DUMMYFUNCTION("GOOGLETRANSLATE(D8, ""en"", ""bn"")"),"খ) অন্য নৌকার সাথে সংঘর্ষ")</f>
        <v>খ) অন্য নৌকার সাথে সংঘর্ষ</v>
      </c>
      <c r="N8" s="4" t="str">
        <f>IFERROR(__xludf.DUMMYFUNCTION("GOOGLETRANSLATE(E8, ""en"", ""bn"")"),"নৌকা বাইচে অন্যান্য নৌকার সাথে ইচ্ছাকৃত সংঘর্ষ অযোগ্যতার কারণ।")</f>
        <v>নৌকা বাইচে অন্যান্য নৌকার সাথে ইচ্ছাকৃত সংঘর্ষ অযোগ্যতার কারণ।</v>
      </c>
    </row>
    <row r="9">
      <c r="A9" s="3">
        <v>8.0</v>
      </c>
      <c r="B9" s="3" t="s">
        <v>2327</v>
      </c>
      <c r="C9" s="3" t="s">
        <v>2328</v>
      </c>
      <c r="D9" s="3" t="s">
        <v>2329</v>
      </c>
      <c r="E9" s="3" t="s">
        <v>2330</v>
      </c>
      <c r="J9" s="4" t="str">
        <f>IFERROR(__xludf.DUMMYFUNCTION("GOOGLETRANSLATE(A9, ""en"", ""bn"")"),"৮")</f>
        <v>৮</v>
      </c>
      <c r="K9" s="4" t="str">
        <f>IFERROR(__xludf.DUMMYFUNCTION("GOOGLETRANSLATE(B9, ""en"", ""bn"")"),"নৌকা বাইচে গতি বাড়ানোর জন্য রোয়ারদের দ্বারা ব্যবহৃত একটি সাধারণ কৌশল কী?")</f>
        <v>নৌকা বাইচে গতি বাড়ানোর জন্য রোয়ারদের দ্বারা ব্যবহৃত একটি সাধারণ কৌশল কী?</v>
      </c>
      <c r="L9" s="4" t="str">
        <f>IFERROR(__xludf.DUMMYFUNCTION("GOOGLETRANSLATE(C9, ""en"", ""bn"")"),"ক) এলোমেলোভাবে প্যাডেল চালানো, খ) পর্যায়ক্রমে স্ট্রোক করা, গ) পিছনের দিকে ঝুঁকে পড়া, ঘ) দাঁড় ব্যবহার করা")</f>
        <v>ক) এলোমেলোভাবে প্যাডেল চালানো, খ) পর্যায়ক্রমে স্ট্রোক করা, গ) পিছনের দিকে ঝুঁকে পড়া, ঘ) দাঁড় ব্যবহার করা</v>
      </c>
      <c r="M9" s="4" t="str">
        <f>IFERROR(__xludf.DUMMYFUNCTION("GOOGLETRANSLATE(D9, ""en"", ""bn"")"),"খ) বিকল্প স্ট্রোক")</f>
        <v>খ) বিকল্প স্ট্রোক</v>
      </c>
      <c r="N9" s="4" t="str">
        <f>IFERROR(__xludf.DUMMYFUNCTION("GOOGLETRANSLATE(E9, ""en"", ""bn"")"),"নৌকা বাইচে ভারসাম্য বজায় রাখতে এবং গতি সর্বাধিক করতে রোয়ার্সরা পর্যায়ক্রমে স্ট্রোক করে।")</f>
        <v>নৌকা বাইচে ভারসাম্য বজায় রাখতে এবং গতি সর্বাধিক করতে রোয়ার্সরা পর্যায়ক্রমে স্ট্রোক করে।</v>
      </c>
    </row>
    <row r="10">
      <c r="A10" s="3">
        <v>9.0</v>
      </c>
      <c r="B10" s="3" t="s">
        <v>2331</v>
      </c>
      <c r="C10" s="3" t="s">
        <v>2332</v>
      </c>
      <c r="D10" s="3" t="s">
        <v>2333</v>
      </c>
      <c r="E10" s="3" t="s">
        <v>2334</v>
      </c>
      <c r="J10" s="4" t="str">
        <f>IFERROR(__xludf.DUMMYFUNCTION("GOOGLETRANSLATE(A10, ""en"", ""bn"")"),"৯")</f>
        <v>৯</v>
      </c>
      <c r="K10" s="4" t="str">
        <f>IFERROR(__xludf.DUMMYFUNCTION("GOOGLETRANSLATE(B10, ""en"", ""bn"")"),"নৌকা বাইচ প্রায়শই কোন ঐতিহ্যবাহী অনুষ্ঠান উদযাপন করে?")</f>
        <v>নৌকা বাইচ প্রায়শই কোন ঐতিহ্যবাহী অনুষ্ঠান উদযাপন করে?</v>
      </c>
      <c r="L10" s="4" t="str">
        <f>IFERROR(__xludf.DUMMYFUNCTION("GOOGLETRANSLATE(C10, ""en"", ""bn"")"),"ক) ঈদ, খ) নববর্ষ, গ) ফসল কাটার উৎসব, ঘ) বিজয় দিবস")</f>
        <v>ক) ঈদ, খ) নববর্ষ, গ) ফসল কাটার উৎসব, ঘ) বিজয় দিবস</v>
      </c>
      <c r="M10" s="4" t="str">
        <f>IFERROR(__xludf.DUMMYFUNCTION("GOOGLETRANSLATE(D10, ""en"", ""bn"")"),"গ) ফসল কাটার উৎসব")</f>
        <v>গ) ফসল কাটার উৎসব</v>
      </c>
      <c r="N10" s="4" t="str">
        <f>IFERROR(__xludf.DUMMYFUNCTION("GOOGLETRANSLATE(E10, ""en"", ""bn"")"),"সাংস্কৃতিক উদযাপনের অংশ হিসেবে ফসল কাটার উৎসবের সময় সাধারণত নৌকা বাইচ দৌড় প্রতিযোগিতার আয়োজন করা হয়।")</f>
        <v>সাংস্কৃতিক উদযাপনের অংশ হিসেবে ফসল কাটার উৎসবের সময় সাধারণত নৌকা বাইচ দৌড় প্রতিযোগিতার আয়োজন করা হয়।</v>
      </c>
    </row>
    <row r="11">
      <c r="A11" s="3">
        <v>10.0</v>
      </c>
      <c r="B11" s="3" t="s">
        <v>2335</v>
      </c>
      <c r="C11" s="3" t="s">
        <v>2336</v>
      </c>
      <c r="D11" s="3" t="s">
        <v>2337</v>
      </c>
      <c r="E11" s="3" t="s">
        <v>2338</v>
      </c>
      <c r="J11" s="4" t="str">
        <f>IFERROR(__xludf.DUMMYFUNCTION("GOOGLETRANSLATE(A11, ""en"", ""bn"")"),"১০")</f>
        <v>১০</v>
      </c>
      <c r="K11" s="4" t="str">
        <f>IFERROR(__xludf.DUMMYFUNCTION("GOOGLETRANSLATE(B11, ""en"", ""bn"")"),"নৌকা বাইচ দৌড় সাধারণত কীভাবে শেষ হয়?")</f>
        <v>নৌকা বাইচ দৌড় সাধারণত কীভাবে শেষ হয়?</v>
      </c>
      <c r="L11" s="4" t="str">
        <f>IFERROR(__xludf.DUMMYFUNCTION("GOOGLETRANSLATE(C11, ""en"", ""bn"")"),"ক) যখন সময় শেষ হয়ে যায়, খ) যখন সমস্ত নৌকা শেষ হয়ে যায়, গ) যখন প্রথম নৌকা শেষ হয়, ঘ) যখন রেফারি সংকেত দেন")</f>
        <v>ক) যখন সময় শেষ হয়ে যায়, খ) যখন সমস্ত নৌকা শেষ হয়ে যায়, গ) যখন প্রথম নৌকা শেষ হয়, ঘ) যখন রেফারি সংকেত দেন</v>
      </c>
      <c r="M11" s="4" t="str">
        <f>IFERROR(__xludf.DUMMYFUNCTION("GOOGLETRANSLATE(D11, ""en"", ""bn"")"),"গ) যখন প্রথম নৌকাটি শেষ হবে")</f>
        <v>গ) যখন প্রথম নৌকাটি শেষ হবে</v>
      </c>
      <c r="N11" s="4" t="str">
        <f>IFERROR(__xludf.DUMMYFUNCTION("GOOGLETRANSLATE(E11, ""en"", ""bn"")"),"প্রথম নৌকা নির্ধারিত সমাপ্তি রেখা অতিক্রম করার পর দৌড় শেষ হয়।")</f>
        <v>প্রথম নৌকা নির্ধারিত সমাপ্তি রেখা অতিক্রম করার পর দৌড় শেষ হয়।</v>
      </c>
    </row>
    <row r="12">
      <c r="A12" s="3">
        <v>11.0</v>
      </c>
      <c r="B12" s="3" t="s">
        <v>2339</v>
      </c>
      <c r="C12" s="3" t="s">
        <v>2340</v>
      </c>
      <c r="D12" s="3" t="s">
        <v>238</v>
      </c>
      <c r="E12" s="3" t="s">
        <v>2341</v>
      </c>
      <c r="J12" s="4" t="str">
        <f>IFERROR(__xludf.DUMMYFUNCTION("GOOGLETRANSLATE(A12, ""en"", ""bn"")"),"১১")</f>
        <v>১১</v>
      </c>
      <c r="K12" s="4" t="str">
        <f>IFERROR(__xludf.DUMMYFUNCTION("GOOGLETRANSLATE(B12, ""en"", ""bn"")"),"নৌকা বাইচ দৌড়ের বিজয়ীদের সাধারণত কী পুরষ্কার দেওয়া হয়?")</f>
        <v>নৌকা বাইচ দৌড়ের বিজয়ীদের সাধারণত কী পুরষ্কার দেওয়া হয়?</v>
      </c>
      <c r="L12" s="4" t="str">
        <f>IFERROR(__xludf.DUMMYFUNCTION("GOOGLETRANSLATE(C12, ""en"", ""bn"")"),"ক) পদক, খ) নগদ পুরস্কার, গ) ট্রফি, ঘ) উপরের সবগুলো")</f>
        <v>ক) পদক, খ) নগদ পুরস্কার, গ) ট্রফি, ঘ) উপরের সবগুলো</v>
      </c>
      <c r="M12" s="4" t="str">
        <f>IFERROR(__xludf.DUMMYFUNCTION("GOOGLETRANSLATE(D12, ""en"", ""bn"")"),"ঘ) উপরের সবগুলো")</f>
        <v>ঘ) উপরের সবগুলো</v>
      </c>
      <c r="N12" s="4" t="str">
        <f>IFERROR(__xludf.DUMMYFUNCTION("GOOGLETRANSLATE(E12, ""en"", ""bn"")"),"বিজয়ীরা প্রায়শই তাদের কৃতিত্বের সম্মান জানাতে পদক, ট্রফি বা নগদ পুরস্কার পান।")</f>
        <v>বিজয়ীরা প্রায়শই তাদের কৃতিত্বের সম্মান জানাতে পদক, ট্রফি বা নগদ পুরস্কার পান।</v>
      </c>
    </row>
    <row r="13">
      <c r="A13" s="3">
        <v>12.0</v>
      </c>
      <c r="B13" s="3" t="s">
        <v>2342</v>
      </c>
      <c r="C13" s="3" t="s">
        <v>2343</v>
      </c>
      <c r="D13" s="3" t="s">
        <v>2344</v>
      </c>
      <c r="E13" s="3" t="s">
        <v>2345</v>
      </c>
      <c r="J13" s="4" t="str">
        <f>IFERROR(__xludf.DUMMYFUNCTION("GOOGLETRANSLATE(A13, ""en"", ""bn"")"),"১২")</f>
        <v>১২</v>
      </c>
      <c r="K13" s="4" t="str">
        <f>IFERROR(__xludf.DUMMYFUNCTION("GOOGLETRANSLATE(B13, ""en"", ""bn"")"),"নৌকা বাইচে কোন বিষয়টি পেনাল্টির কারণ হতে পারে?")</f>
        <v>নৌকা বাইচে কোন বিষয়টি পেনাল্টির কারণ হতে পারে?</v>
      </c>
      <c r="L13" s="4" t="str">
        <f>IFERROR(__xludf.DUMMYFUNCTION("GOOGLETRANSLATE(C13, ""en"", ""bn"")"),"ক) নৌকায় অতিরিক্ত ভিড়, খ) একটি তাল মিস করা, গ) ইউনিফর্ম পরা, ঘ) জোরে চিৎকার করা")</f>
        <v>ক) নৌকায় অতিরিক্ত ভিড়, খ) একটি তাল মিস করা, গ) ইউনিফর্ম পরা, ঘ) জোরে চিৎকার করা</v>
      </c>
      <c r="M13" s="4" t="str">
        <f>IFERROR(__xludf.DUMMYFUNCTION("GOOGLETRANSLATE(D13, ""en"", ""bn"")"),"ক) নৌকায় অতিরিক্ত ভিড়")</f>
        <v>ক) নৌকায় অতিরিক্ত ভিড়</v>
      </c>
      <c r="N13" s="4" t="str">
        <f>IFERROR(__xludf.DUMMYFUNCTION("GOOGLETRANSLATE(E13, ""en"", ""bn"")"),"নৌকার ধারণক্ষমতার চেয়ে বেশি ভিড় জরিমানা বা অযোগ্যতার কারণ হতে পারে।")</f>
        <v>নৌকার ধারণক্ষমতার চেয়ে বেশি ভিড় জরিমানা বা অযোগ্যতার কারণ হতে পারে।</v>
      </c>
    </row>
    <row r="14">
      <c r="A14" s="3">
        <v>13.0</v>
      </c>
      <c r="B14" s="3" t="s">
        <v>2346</v>
      </c>
      <c r="C14" s="3" t="s">
        <v>2347</v>
      </c>
      <c r="D14" s="3" t="s">
        <v>2348</v>
      </c>
      <c r="E14" s="3" t="s">
        <v>2349</v>
      </c>
      <c r="J14" s="4" t="str">
        <f>IFERROR(__xludf.DUMMYFUNCTION("GOOGLETRANSLATE(A14, ""en"", ""bn"")"),"১৩")</f>
        <v>১৩</v>
      </c>
      <c r="K14" s="4" t="str">
        <f>IFERROR(__xludf.DUMMYFUNCTION("GOOGLETRANSLATE(B14, ""en"", ""bn"")"),"নিচের কোনটি নৌকা বাইচের নিয়ম নয়?")</f>
        <v>নিচের কোনটি নৌকা বাইচের নিয়ম নয়?</v>
      </c>
      <c r="L14" s="4" t="str">
        <f>IFERROR(__xludf.DUMMYFUNCTION("GOOGLETRANSLATE(C14, ""en"", ""bn"")"),"ক) অন্য নৌকায় আঘাত করা যাবে না, খ) চিৎকার করা যাবে না, গ) অতিরিক্ত ভিড় করা যাবে না, ঘ) ইচ্ছাকৃত সংঘর্ষ হবে না।")</f>
        <v>ক) অন্য নৌকায় আঘাত করা যাবে না, খ) চিৎকার করা যাবে না, গ) অতিরিক্ত ভিড় করা যাবে না, ঘ) ইচ্ছাকৃত সংঘর্ষ হবে না।</v>
      </c>
      <c r="M14" s="4" t="str">
        <f>IFERROR(__xludf.DUMMYFUNCTION("GOOGLETRANSLATE(D14, ""en"", ""bn"")"),"খ) চিৎকার নয়")</f>
        <v>খ) চিৎকার নয়</v>
      </c>
      <c r="N14" s="4" t="str">
        <f>IFERROR(__xludf.DUMMYFUNCTION("GOOGLETRANSLATE(E14, ""en"", ""bn"")"),"সমন্বয়ের জন্য চিৎকার করা অনুমোদিত, যতক্ষণ না এটি অন্যদের সাথে হস্তক্ষেপ করে।")</f>
        <v>সমন্বয়ের জন্য চিৎকার করা অনুমোদিত, যতক্ষণ না এটি অন্যদের সাথে হস্তক্ষেপ করে।</v>
      </c>
    </row>
    <row r="15">
      <c r="A15" s="3">
        <v>14.0</v>
      </c>
      <c r="B15" s="3" t="s">
        <v>2350</v>
      </c>
      <c r="C15" s="3" t="s">
        <v>2351</v>
      </c>
      <c r="D15" s="3" t="s">
        <v>2352</v>
      </c>
      <c r="E15" s="3" t="s">
        <v>2353</v>
      </c>
      <c r="J15" s="4" t="str">
        <f>IFERROR(__xludf.DUMMYFUNCTION("GOOGLETRANSLATE(A15, ""en"", ""bn"")"),"১৪")</f>
        <v>১৪</v>
      </c>
      <c r="K15" s="4" t="str">
        <f>IFERROR(__xludf.DUMMYFUNCTION("GOOGLETRANSLATE(B15, ""en"", ""bn"")"),"নৌকা বাইচের রোয়াররা কীভাবে সিঙ্ক্রোনাইজেশন বজায় রাখে?")</f>
        <v>নৌকা বাইচের রোয়াররা কীভাবে সিঙ্ক্রোনাইজেশন বজায় রাখে?</v>
      </c>
      <c r="L15" s="4" t="str">
        <f>IFERROR(__xludf.DUMMYFUNCTION("GOOGLETRANSLATE(C15, ""en"", ""bn"")"),"ক) বাঁশি বাজানো, খ) ঢোল ব্যবহার করা, গ) এলোমেলো ছন্দে, ঘ) হাত ধরে")</f>
        <v>ক) বাঁশি বাজানো, খ) ঢোল ব্যবহার করা, গ) এলোমেলো ছন্দে, ঘ) হাত ধরে</v>
      </c>
      <c r="M15" s="4" t="str">
        <f>IFERROR(__xludf.DUMMYFUNCTION("GOOGLETRANSLATE(D15, ""en"", ""bn"")"),"খ) ড্রাম ব্যবহার করে")</f>
        <v>খ) ড্রাম ব্যবহার করে</v>
      </c>
      <c r="N15" s="4" t="str">
        <f>IFERROR(__xludf.DUMMYFUNCTION("GOOGLETRANSLATE(E15, ""en"", ""bn"")"),"ড্রামগুলি দক্ষ প্যাডলিং এর জন্য রোয়ারদের একটি সুসংগত ছন্দ বজায় রাখতে সাহায্য করে।")</f>
        <v>ড্রামগুলি দক্ষ প্যাডলিং এর জন্য রোয়ারদের একটি সুসংগত ছন্দ বজায় রাখতে সাহায্য করে।</v>
      </c>
    </row>
    <row r="16">
      <c r="A16" s="3">
        <v>15.0</v>
      </c>
      <c r="B16" s="3" t="s">
        <v>2354</v>
      </c>
      <c r="C16" s="3" t="s">
        <v>2355</v>
      </c>
      <c r="D16" s="3" t="s">
        <v>2356</v>
      </c>
      <c r="E16" s="3" t="s">
        <v>2357</v>
      </c>
      <c r="J16" s="4" t="str">
        <f>IFERROR(__xludf.DUMMYFUNCTION("GOOGLETRANSLATE(A16, ""en"", ""bn"")"),"১৫")</f>
        <v>১৫</v>
      </c>
      <c r="K16" s="4" t="str">
        <f>IFERROR(__xludf.DUMMYFUNCTION("GOOGLETRANSLATE(B16, ""en"", ""bn"")"),"নৌকা বাইচ নৌকার গতি বজায় রাখার জন্য সাধারণত কে দায়ী?")</f>
        <v>নৌকা বাইচ নৌকার গতি বজায় রাখার জন্য সাধারণত কে দায়ী?</v>
      </c>
      <c r="L16" s="4" t="str">
        <f>IFERROR(__xludf.DUMMYFUNCTION("GOOGLETRANSLATE(C16, ""en"", ""bn"")"),"ক) পিছনের রোয়ার, খ) ক্যাপ্টেন, গ) মাঝের রোয়ার, ঘ) লিড রোয়ার")</f>
        <v>ক) পিছনের রোয়ার, খ) ক্যাপ্টেন, গ) মাঝের রোয়ার, ঘ) লিড রোয়ার</v>
      </c>
      <c r="M16" s="4" t="str">
        <f>IFERROR(__xludf.DUMMYFUNCTION("GOOGLETRANSLATE(D16, ""en"", ""bn"")"),"ঘ) সীসা রোয়ার")</f>
        <v>ঘ) সীসা রোয়ার</v>
      </c>
      <c r="N16" s="4" t="str">
        <f>IFERROR(__xludf.DUMMYFUNCTION("GOOGLETRANSLATE(E16, ""en"", ""bn"")"),"প্রধান রোয়ার অন্যান্য রোয়ারদের অনুসরণ করার গতি নির্ধারণ করে।")</f>
        <v>প্রধান রোয়ার অন্যান্য রোয়ারদের অনুসরণ করার গতি নির্ধারণ করে।</v>
      </c>
    </row>
    <row r="17">
      <c r="A17" s="3">
        <v>16.0</v>
      </c>
      <c r="B17" s="3" t="s">
        <v>2358</v>
      </c>
      <c r="C17" s="3" t="s">
        <v>2359</v>
      </c>
      <c r="D17" s="3" t="s">
        <v>2360</v>
      </c>
      <c r="E17" s="3" t="s">
        <v>2361</v>
      </c>
      <c r="J17" s="4" t="str">
        <f>IFERROR(__xludf.DUMMYFUNCTION("GOOGLETRANSLATE(A17, ""en"", ""bn"")"),"১৬")</f>
        <v>১৬</v>
      </c>
      <c r="K17" s="4" t="str">
        <f>IFERROR(__xludf.DUMMYFUNCTION("GOOGLETRANSLATE(B17, ""en"", ""bn"")"),"নৌকা বাইচ প্রতিযোগিতার মূল উদ্দেশ্য কী?")</f>
        <v>নৌকা বাইচ প্রতিযোগিতার মূল উদ্দেশ্য কী?</v>
      </c>
      <c r="L17" s="4" t="str">
        <f>IFERROR(__xludf.DUMMYFUNCTION("GOOGLETRANSLATE(C17, ""en"", ""bn"")"),"ক) পরিবহন, খ) সাংস্কৃতিক উদযাপন, গ) শারীরিক প্রশিক্ষণ, ঘ) নদীর মানচিত্র তৈরি")</f>
        <v>ক) পরিবহন, খ) সাংস্কৃতিক উদযাপন, গ) শারীরিক প্রশিক্ষণ, ঘ) নদীর মানচিত্র তৈরি</v>
      </c>
      <c r="M17" s="4" t="str">
        <f>IFERROR(__xludf.DUMMYFUNCTION("GOOGLETRANSLATE(D17, ""en"", ""bn"")"),"খ) সাংস্কৃতিক উৎসব")</f>
        <v>খ) সাংস্কৃতিক উৎসব</v>
      </c>
      <c r="N17" s="4" t="str">
        <f>IFERROR(__xludf.DUMMYFUNCTION("GOOGLETRANSLATE(E17, ""en"", ""bn"")"),"নওকা বাইচ একটি সাংস্কৃতিক উৎসব, যা বাংলাদেশের ঐতিহ্যবাহী খেলাধুলাকে তুলে ধরে।")</f>
        <v>নওকা বাইচ একটি সাংস্কৃতিক উৎসব, যা বাংলাদেশের ঐতিহ্যবাহী খেলাধুলাকে তুলে ধরে।</v>
      </c>
    </row>
    <row r="18">
      <c r="A18" s="3">
        <v>17.0</v>
      </c>
      <c r="B18" s="3" t="s">
        <v>2362</v>
      </c>
      <c r="C18" s="3" t="s">
        <v>2363</v>
      </c>
      <c r="D18" s="3" t="s">
        <v>2364</v>
      </c>
      <c r="E18" s="3" t="s">
        <v>2365</v>
      </c>
      <c r="J18" s="4" t="str">
        <f>IFERROR(__xludf.DUMMYFUNCTION("GOOGLETRANSLATE(A18, ""en"", ""bn"")"),"১৭")</f>
        <v>১৭</v>
      </c>
      <c r="K18" s="4" t="str">
        <f>IFERROR(__xludf.DUMMYFUNCTION("GOOGLETRANSLATE(B18, ""en"", ""bn"")"),"নৌকা বাইচে, নৌকাচালকদের সাধারণত কী করা নিষিদ্ধ?")</f>
        <v>নৌকা বাইচে, নৌকাচালকদের সাধারণত কী করা নিষিদ্ধ?</v>
      </c>
      <c r="L18" s="4" t="str">
        <f>IFERROR(__xludf.DUMMYFUNCTION("GOOGLETRANSLATE(C18, ""en"", ""bn"")"),"ক) উল্লাস, খ) ঢোল বাজানো, গ) অন্যান্য নৌকাগুলিকে ব্যাহত করা, ঘ) ইউনিফর্ম পরা")</f>
        <v>ক) উল্লাস, খ) ঢোল বাজানো, গ) অন্যান্য নৌকাগুলিকে ব্যাহত করা, ঘ) ইউনিফর্ম পরা</v>
      </c>
      <c r="M18" s="4" t="str">
        <f>IFERROR(__xludf.DUMMYFUNCTION("GOOGLETRANSLATE(D18, ""en"", ""bn"")"),"গ) অন্যান্য নৌকাগুলিকে ব্যাহত করা")</f>
        <v>গ) অন্যান্য নৌকাগুলিকে ব্যাহত করা</v>
      </c>
      <c r="N18" s="4" t="str">
        <f>IFERROR(__xludf.DUMMYFUNCTION("GOOGLETRANSLATE(E18, ""en"", ""bn"")"),"সুষ্ঠু প্রতিযোগিতা নিশ্চিত করার জন্য অন্যান্য নৌকার সাথে হস্তক্ষেপ করা অনুমোদিত নয়।")</f>
        <v>সুষ্ঠু প্রতিযোগিতা নিশ্চিত করার জন্য অন্যান্য নৌকার সাথে হস্তক্ষেপ করা অনুমোদিত নয়।</v>
      </c>
    </row>
    <row r="19">
      <c r="A19" s="3">
        <v>18.0</v>
      </c>
      <c r="B19" s="3" t="s">
        <v>2366</v>
      </c>
      <c r="C19" s="3" t="s">
        <v>2367</v>
      </c>
      <c r="D19" s="3" t="s">
        <v>2368</v>
      </c>
      <c r="E19" s="3" t="s">
        <v>2369</v>
      </c>
      <c r="J19" s="4" t="str">
        <f>IFERROR(__xludf.DUMMYFUNCTION("GOOGLETRANSLATE(A19, ""en"", ""bn"")"),"১৮")</f>
        <v>১৮</v>
      </c>
      <c r="K19" s="4" t="str">
        <f>IFERROR(__xludf.DUMMYFUNCTION("GOOGLETRANSLATE(B19, ""en"", ""bn"")"),"নৌকা বাইচ দৌড়ের বিজয়ী কীভাবে নির্ধারিত হয়?")</f>
        <v>নৌকা বাইচ দৌড়ের বিজয়ী কীভাবে নির্ধারিত হয়?</v>
      </c>
      <c r="L19" s="4" t="str">
        <f>IFERROR(__xludf.DUMMYFUNCTION("GOOGLETRANSLATE(C19, ""en"", ""bn"")"),"ক) ল্যাপ গণনা অনুসারে, খ) প্রথমে শেষ রেখা অতিক্রম করে, গ) গতির রেকর্ড অনুসারে, ঘ) উল্লাসের পরিমাণ অনুসারে")</f>
        <v>ক) ল্যাপ গণনা অনুসারে, খ) প্রথমে শেষ রেখা অতিক্রম করে, গ) গতির রেকর্ড অনুসারে, ঘ) উল্লাসের পরিমাণ অনুসারে</v>
      </c>
      <c r="M19" s="4" t="str">
        <f>IFERROR(__xludf.DUMMYFUNCTION("GOOGLETRANSLATE(D19, ""en"", ""bn"")"),"খ) প্রথমে শেষ রেখা অতিক্রম করে")</f>
        <v>খ) প্রথমে শেষ রেখা অতিক্রম করে</v>
      </c>
      <c r="N19" s="4" t="str">
        <f>IFERROR(__xludf.DUMMYFUNCTION("GOOGLETRANSLATE(E19, ""en"", ""bn"")"),"যে নৌকাটি প্রথম ফিনিশ লাইন অতিক্রম করবে তাকে বিজয়ী ঘোষণা করা হবে।")</f>
        <v>যে নৌকাটি প্রথম ফিনিশ লাইন অতিক্রম করবে তাকে বিজয়ী ঘোষণা করা হবে।</v>
      </c>
    </row>
    <row r="20">
      <c r="A20" s="3">
        <v>19.0</v>
      </c>
      <c r="B20" s="3" t="s">
        <v>2370</v>
      </c>
      <c r="C20" s="3" t="s">
        <v>2371</v>
      </c>
      <c r="D20" s="3" t="s">
        <v>96</v>
      </c>
      <c r="E20" s="3" t="s">
        <v>2372</v>
      </c>
      <c r="J20" s="4" t="str">
        <f>IFERROR(__xludf.DUMMYFUNCTION("GOOGLETRANSLATE(A20, ""en"", ""bn"")"),"১৯")</f>
        <v>১৯</v>
      </c>
      <c r="K20" s="4" t="str">
        <f>IFERROR(__xludf.DUMMYFUNCTION("GOOGLETRANSLATE(B20, ""en"", ""bn"")"),"নৌকা বাইচের সময় যদি নৌকা ডুবে যায় তাহলে কী হবে?")</f>
        <v>নৌকা বাইচের সময় যদি নৌকা ডুবে যায় তাহলে কী হবে?</v>
      </c>
      <c r="L20" s="4" t="str">
        <f>IFERROR(__xludf.DUMMYFUNCTION("GOOGLETRANSLATE(C20, ""en"", ""bn"")"),"ক) অযোগ্যতা, খ) জরিমানা, গ) পুনরায় চালু করার অনুমতি, ঘ) অন্যদের জন্য স্বয়ংক্রিয়ভাবে জয়")</f>
        <v>ক) অযোগ্যতা, খ) জরিমানা, গ) পুনরায় চালু করার অনুমতি, ঘ) অন্যদের জন্য স্বয়ংক্রিয়ভাবে জয়</v>
      </c>
      <c r="M20" s="4" t="str">
        <f>IFERROR(__xludf.DUMMYFUNCTION("GOOGLETRANSLATE(D20, ""en"", ""bn"")"),"ক) অযোগ্যতা")</f>
        <v>ক) অযোগ্যতা</v>
      </c>
      <c r="N20" s="4" t="str">
        <f>IFERROR(__xludf.DUMMYFUNCTION("GOOGLETRANSLATE(E20, ""en"", ""bn"")"),"একটি ডুবে যাওয়া নৌকা সাধারণত অযোগ্য ঘোষণা করা হয় কারণ এটি দৌড় চালিয়ে যেতে পারে না।")</f>
        <v>একটি ডুবে যাওয়া নৌকা সাধারণত অযোগ্য ঘোষণা করা হয় কারণ এটি দৌড় চালিয়ে যেতে পারে না।</v>
      </c>
    </row>
    <row r="21">
      <c r="A21" s="3">
        <v>20.0</v>
      </c>
      <c r="B21" s="3" t="s">
        <v>2373</v>
      </c>
      <c r="C21" s="3" t="s">
        <v>2374</v>
      </c>
      <c r="D21" s="3" t="s">
        <v>2375</v>
      </c>
      <c r="E21" s="3" t="s">
        <v>2376</v>
      </c>
      <c r="J21" s="4" t="str">
        <f>IFERROR(__xludf.DUMMYFUNCTION("GOOGLETRANSLATE(A21, ""en"", ""bn"")"),"২০")</f>
        <v>২০</v>
      </c>
      <c r="K21" s="4" t="str">
        <f>IFERROR(__xludf.DUMMYFUNCTION("GOOGLETRANSLATE(B21, ""en"", ""bn"")"),"নওকা বাইচ-এ দর্শকদের ভূমিকা কী?")</f>
        <v>নওকা বাইচ-এ দর্শকদের ভূমিকা কী?</v>
      </c>
      <c r="L21" s="4" t="str">
        <f>IFERROR(__xludf.DUMMYFUNCTION("GOOGLETRANSLATE(C21, ""en"", ""bn"")"),"ক) নীরবে উল্লাস করো, খ) নৌকা সারিয়ে নাও, গ) উৎসাহ দাও, ঘ) দৌড়ের বিচার করো")</f>
        <v>ক) নীরবে উল্লাস করো, খ) নৌকা সারিয়ে নাও, গ) উৎসাহ দাও, ঘ) দৌড়ের বিচার করো</v>
      </c>
      <c r="M21" s="4" t="str">
        <f>IFERROR(__xludf.DUMMYFUNCTION("GOOGLETRANSLATE(D21, ""en"", ""bn"")"),"গ) উৎসাহ প্রদান করুন")</f>
        <v>গ) উৎসাহ প্রদান করুন</v>
      </c>
      <c r="N21" s="4" t="str">
        <f>IFERROR(__xludf.DUMMYFUNCTION("GOOGLETRANSLATE(E21, ""en"", ""bn"")"),"পুরো প্রতিযোগিতা জুড়ে দর্শকরা উৎসাহের সাথে দলগুলিকে উৎসাহিত করে এবং উৎসাহিত করে।")</f>
        <v>পুরো প্রতিযোগিতা জুড়ে দর্শকরা উৎসাহের সাথে দলগুলিকে উৎসাহিত করে এবং উৎসাহিত করে।</v>
      </c>
    </row>
    <row r="22">
      <c r="A22" s="3">
        <v>21.0</v>
      </c>
      <c r="B22" s="3" t="s">
        <v>2377</v>
      </c>
      <c r="C22" s="3" t="s">
        <v>2378</v>
      </c>
      <c r="D22" s="3" t="s">
        <v>2379</v>
      </c>
      <c r="E22" s="3" t="s">
        <v>2380</v>
      </c>
      <c r="J22" s="4" t="str">
        <f>IFERROR(__xludf.DUMMYFUNCTION("GOOGLETRANSLATE(A22, ""en"", ""bn"")"),"২১")</f>
        <v>২১</v>
      </c>
      <c r="K22" s="4" t="str">
        <f>IFERROR(__xludf.DUMMYFUNCTION("GOOGLETRANSLATE(B22, ""en"", ""bn"")"),"নৌকা বাইচ দৌড়ে, প্যাডেল ভেঙে গেলে রোয়াররা কী করে?")</f>
        <v>নৌকা বাইচ দৌড়ে, প্যাডেল ভেঙে গেলে রোয়াররা কী করে?</v>
      </c>
      <c r="L22" s="4" t="str">
        <f>IFERROR(__xludf.DUMMYFUNCTION("GOOGLETRANSLATE(C22, ""en"", ""bn"")"),"ক) অযোগ্য ঘোষণা, খ) একটি কম প্যাডেল দিয়ে চালিয়ে যান, গ) দৌড় বন্ধ করুন, ঘ) প্রতিস্থাপনকারী পান")</f>
        <v>ক) অযোগ্য ঘোষণা, খ) একটি কম প্যাডেল দিয়ে চালিয়ে যান, গ) দৌড় বন্ধ করুন, ঘ) প্রতিস্থাপনকারী পান</v>
      </c>
      <c r="M22" s="4" t="str">
        <f>IFERROR(__xludf.DUMMYFUNCTION("GOOGLETRANSLATE(D22, ""en"", ""bn"")"),"খ) একটি কম প্যাডেল দিয়ে চালিয়ে যান")</f>
        <v>খ) একটি কম প্যাডেল দিয়ে চালিয়ে যান</v>
      </c>
      <c r="N22" s="4" t="str">
        <f>IFERROR(__xludf.DUMMYFUNCTION("GOOGLETRANSLATE(E22, ""en"", ""bn"")"),"যদি একটি প্যাডেল ভেঙে যায়, তাহলে নৌকাটি নিয়ন্ত্রণের অযোগ্য হয়ে না পড়লে, নৌকাওয়ালারা দৌড় চালিয়ে যেতে থাকে।")</f>
        <v>যদি একটি প্যাডেল ভেঙে যায়, তাহলে নৌকাটি নিয়ন্ত্রণের অযোগ্য হয়ে না পড়লে, নৌকাওয়ালারা দৌড় চালিয়ে যেতে থাকে।</v>
      </c>
    </row>
    <row r="23">
      <c r="A23" s="3">
        <v>22.0</v>
      </c>
      <c r="B23" s="3" t="s">
        <v>2381</v>
      </c>
      <c r="C23" s="3" t="s">
        <v>2382</v>
      </c>
      <c r="D23" s="3" t="s">
        <v>2383</v>
      </c>
      <c r="E23" s="3" t="s">
        <v>2384</v>
      </c>
      <c r="J23" s="4" t="str">
        <f>IFERROR(__xludf.DUMMYFUNCTION("GOOGLETRANSLATE(A23, ""en"", ""bn"")"),"২২")</f>
        <v>২২</v>
      </c>
      <c r="K23" s="4" t="str">
        <f>IFERROR(__xludf.DUMMYFUNCTION("GOOGLETRANSLATE(B23, ""en"", ""bn"")"),"একটি নৌকা বাইচ নৌকায় সাধারণত সর্বনিম্ন কত নৌকাচালক থাকতে হয়?")</f>
        <v>একটি নৌকা বাইচ নৌকায় সাধারণত সর্বনিম্ন কত নৌকাচালক থাকতে হয়?</v>
      </c>
      <c r="L23" s="4" t="str">
        <f>IFERROR(__xludf.DUMMYFUNCTION("GOOGLETRANSLATE(C23, ""en"", ""bn"")"),"ক) ২, খ) ৪, গ) ৫, ঘ) ১০")</f>
        <v>ক) ২, খ) ৪, গ) ৫, ঘ) ১০</v>
      </c>
      <c r="M23" s="4" t="str">
        <f>IFERROR(__xludf.DUMMYFUNCTION("GOOGLETRANSLATE(D23, ""en"", ""bn"")"),"খ) ৪")</f>
        <v>খ) ৪</v>
      </c>
      <c r="N23" s="4" t="str">
        <f>IFERROR(__xludf.DUMMYFUNCTION("GOOGLETRANSLATE(E23, ""en"", ""bn"")"),"পর্যাপ্ত গতি এবং সমন্বয় নিশ্চিত করার জন্য বেশিরভাগ নৌকায় কমপক্ষে চারটি রোয়ার থাকে।")</f>
        <v>পর্যাপ্ত গতি এবং সমন্বয় নিশ্চিত করার জন্য বেশিরভাগ নৌকায় কমপক্ষে চারটি রোয়ার থাকে।</v>
      </c>
    </row>
    <row r="24">
      <c r="A24" s="3">
        <v>23.0</v>
      </c>
      <c r="B24" s="3" t="s">
        <v>2385</v>
      </c>
      <c r="C24" s="3" t="s">
        <v>2386</v>
      </c>
      <c r="D24" s="3" t="s">
        <v>2387</v>
      </c>
      <c r="E24" s="3" t="s">
        <v>2388</v>
      </c>
      <c r="J24" s="4" t="str">
        <f>IFERROR(__xludf.DUMMYFUNCTION("GOOGLETRANSLATE(A24, ""en"", ""bn"")"),"২৩")</f>
        <v>২৩</v>
      </c>
      <c r="K24" s="4" t="str">
        <f>IFERROR(__xludf.DUMMYFUNCTION("GOOGLETRANSLATE(B24, ""en"", ""bn"")"),"নৌকা বাইচ নৌকাগুলি ঐতিহ্যগতভাবে কোন উপাদান দিয়ে তৈরি?")</f>
        <v>নৌকা বাইচ নৌকাগুলি ঐতিহ্যগতভাবে কোন উপাদান দিয়ে তৈরি?</v>
      </c>
      <c r="L24" s="4" t="str">
        <f>IFERROR(__xludf.DUMMYFUNCTION("GOOGLETRANSLATE(C24, ""en"", ""bn"")"),"ক) ধাতু, খ) বাঁশ, গ) কাঠ, ঘ) প্লাস্টিক")</f>
        <v>ক) ধাতু, খ) বাঁশ, গ) কাঠ, ঘ) প্লাস্টিক</v>
      </c>
      <c r="M24" s="4" t="str">
        <f>IFERROR(__xludf.DUMMYFUNCTION("GOOGLETRANSLATE(D24, ""en"", ""bn"")"),"গ) কাঠ")</f>
        <v>গ) কাঠ</v>
      </c>
      <c r="N24" s="4" t="str">
        <f>IFERROR(__xludf.DUMMYFUNCTION("GOOGLETRANSLATE(E24, ""en"", ""bn"")"),"নৌকা বাইচ নৌকা তৈরিতে ব্যবহৃত ঐতিহ্যবাহী উপাদান হল কাঠ।")</f>
        <v>নৌকা বাইচ নৌকা তৈরিতে ব্যবহৃত ঐতিহ্যবাহী উপাদান হল কাঠ।</v>
      </c>
    </row>
    <row r="25">
      <c r="A25" s="3">
        <v>24.0</v>
      </c>
      <c r="B25" s="3" t="s">
        <v>2389</v>
      </c>
      <c r="C25" s="3" t="s">
        <v>2390</v>
      </c>
      <c r="D25" s="3" t="s">
        <v>2391</v>
      </c>
      <c r="E25" s="3" t="s">
        <v>2392</v>
      </c>
      <c r="J25" s="4" t="str">
        <f>IFERROR(__xludf.DUMMYFUNCTION("GOOGLETRANSLATE(A25, ""en"", ""bn"")"),"২৪")</f>
        <v>২৪</v>
      </c>
      <c r="K25" s="4" t="str">
        <f>IFERROR(__xludf.DUMMYFUNCTION("GOOGLETRANSLATE(B25, ""en"", ""bn"")"),"নৌকা বাইচের রোয়ার্সরা মূলত কোন দক্ষতার উপর নির্ভর করে?")</f>
        <v>নৌকা বাইচের রোয়ার্সরা মূলত কোন দক্ষতার উপর নির্ভর করে?</v>
      </c>
      <c r="L25" s="4" t="str">
        <f>IFERROR(__xludf.DUMMYFUNCTION("GOOGLETRANSLATE(C25, ""en"", ""bn"")"),"ক) ব্যক্তিগত গতি, খ) সিঙ্ক্রোনাইজেশন, গ) কেবল বাহুর শক্তি, ঘ) পায়ের কাজ")</f>
        <v>ক) ব্যক্তিগত গতি, খ) সিঙ্ক্রোনাইজেশন, গ) কেবল বাহুর শক্তি, ঘ) পায়ের কাজ</v>
      </c>
      <c r="M25" s="4" t="str">
        <f>IFERROR(__xludf.DUMMYFUNCTION("GOOGLETRANSLATE(D25, ""en"", ""bn"")"),"খ) সিঙ্ক্রোনাইজেশন")</f>
        <v>খ) সিঙ্ক্রোনাইজেশন</v>
      </c>
      <c r="N25" s="4" t="str">
        <f>IFERROR(__xludf.DUMMYFUNCTION("GOOGLETRANSLATE(E25, ""en"", ""bn"")"),"নৌকা বাইচে সিঙ্ক্রোনাইজেশন গুরুত্বপূর্ণ, যা রোয়ারদের দক্ষতার সাথে প্যাডেল চালানোর সুযোগ করে দেয়।")</f>
        <v>নৌকা বাইচে সিঙ্ক্রোনাইজেশন গুরুত্বপূর্ণ, যা রোয়ারদের দক্ষতার সাথে প্যাডেল চালানোর সুযোগ করে দেয়।</v>
      </c>
    </row>
    <row r="26">
      <c r="A26" s="3">
        <v>25.0</v>
      </c>
      <c r="B26" s="3" t="s">
        <v>2393</v>
      </c>
      <c r="C26" s="3" t="s">
        <v>2394</v>
      </c>
      <c r="D26" s="3" t="s">
        <v>2395</v>
      </c>
      <c r="E26" s="3" t="s">
        <v>2396</v>
      </c>
      <c r="J26" s="4" t="str">
        <f>IFERROR(__xludf.DUMMYFUNCTION("GOOGLETRANSLATE(A26, ""en"", ""bn"")"),"২৫")</f>
        <v>২৫</v>
      </c>
      <c r="K26" s="4" t="str">
        <f>IFERROR(__xludf.DUMMYFUNCTION("GOOGLETRANSLATE(B26, ""en"", ""bn"")"),"নৌকা বাইচে লেন হস্তক্ষেপের শাস্তি কীভাবে দেওয়া হয়?")</f>
        <v>নৌকা বাইচে লেন হস্তক্ষেপের শাস্তি কীভাবে দেওয়া হয়?</v>
      </c>
      <c r="L26" s="4" t="str">
        <f>IFERROR(__xludf.DUMMYFUNCTION("GOOGLETRANSLATE(C26, ""en"", ""bn"")"),"ক) সতর্কীকরণ, খ) তাৎক্ষণিক অযোগ্যতা, গ) সময় জরিমানা, ঘ) পুনঃসূচনা")</f>
        <v>ক) সতর্কীকরণ, খ) তাৎক্ষণিক অযোগ্যতা, গ) সময় জরিমানা, ঘ) পুনঃসূচনা</v>
      </c>
      <c r="M26" s="4" t="str">
        <f>IFERROR(__xludf.DUMMYFUNCTION("GOOGLETRANSLATE(D26, ""en"", ""bn"")"),"গ) সময়ের শাস্তি")</f>
        <v>গ) সময়ের শাস্তি</v>
      </c>
      <c r="N26" s="4" t="str">
        <f>IFERROR(__xludf.DUMMYFUNCTION("GOOGLETRANSLATE(E26, ""en"", ""bn"")"),"অন্য লেনে হস্তক্ষেপ করলে অপরাধী নৌকার জন্য একটি নির্দিষ্ট সময়ের জন্য জরিমানা হতে পারে।")</f>
        <v>অন্য লেনে হস্তক্ষেপ করলে অপরাধী নৌকার জন্য একটি নির্দিষ্ট সময়ের জন্য জরিমানা হতে পারে।</v>
      </c>
    </row>
    <row r="27">
      <c r="A27" s="3">
        <v>26.0</v>
      </c>
      <c r="B27" s="3" t="s">
        <v>2397</v>
      </c>
      <c r="C27" s="3" t="s">
        <v>2398</v>
      </c>
      <c r="D27" s="3" t="s">
        <v>2399</v>
      </c>
      <c r="E27" s="3" t="s">
        <v>2400</v>
      </c>
      <c r="J27" s="4" t="str">
        <f>IFERROR(__xludf.DUMMYFUNCTION("GOOGLETRANSLATE(A27, ""en"", ""bn"")"),"২৬")</f>
        <v>২৬</v>
      </c>
      <c r="K27" s="4" t="str">
        <f>IFERROR(__xludf.DUMMYFUNCTION("GOOGLETRANSLATE(B27, ""en"", ""bn"")"),"নৌকা বাইচে রোয়াররা কীভাবে শুরু করে?")</f>
        <v>নৌকা বাইচে রোয়াররা কীভাবে শুরু করে?</v>
      </c>
      <c r="L27" s="4" t="str">
        <f>IFERROR(__xludf.DUMMYFUNCTION("GOOGLETRANSLATE(C27, ""en"", ""bn"")"),"ক) রেফারির সংকেত দ্বারা, খ) বাঁশি দ্বারা, গ) ড্রাম বিট দ্বারা, ঘ) প্যাডেল ট্যাপ দ্বারা")</f>
        <v>ক) রেফারির সংকেত দ্বারা, খ) বাঁশি দ্বারা, গ) ড্রাম বিট দ্বারা, ঘ) প্যাডেল ট্যাপ দ্বারা</v>
      </c>
      <c r="M27" s="4" t="str">
        <f>IFERROR(__xludf.DUMMYFUNCTION("GOOGLETRANSLATE(D27, ""en"", ""bn"")"),"ক) রেফারির সংকেত দ্বারা")</f>
        <v>ক) রেফারির সংকেত দ্বারা</v>
      </c>
      <c r="N27" s="4" t="str">
        <f>IFERROR(__xludf.DUMMYFUNCTION("GOOGLETRANSLATE(E27, ""en"", ""bn"")"),"রেফারি যখন আনুষ্ঠানিকভাবে খেলা শুরু করার সংকেত দেন, তখন দৌড় শুরু হয়।")</f>
        <v>রেফারি যখন আনুষ্ঠানিকভাবে খেলা শুরু করার সংকেত দেন, তখন দৌড় শুরু হয়।</v>
      </c>
    </row>
    <row r="28">
      <c r="A28" s="3">
        <v>27.0</v>
      </c>
      <c r="B28" s="3" t="s">
        <v>2401</v>
      </c>
      <c r="C28" s="3" t="s">
        <v>2402</v>
      </c>
      <c r="D28" s="3" t="s">
        <v>2403</v>
      </c>
      <c r="E28" s="3" t="s">
        <v>2404</v>
      </c>
      <c r="J28" s="4" t="str">
        <f>IFERROR(__xludf.DUMMYFUNCTION("GOOGLETRANSLATE(A28, ""en"", ""bn"")"),"২৭")</f>
        <v>২৭</v>
      </c>
      <c r="K28" s="4" t="str">
        <f>IFERROR(__xludf.DUMMYFUNCTION("GOOGLETRANSLATE(B28, ""en"", ""bn"")"),"নৌকা বাইচে যদি দুটি নৌকা একই সাথে শেষ রেখা অতিক্রম করে তাহলে কী হবে?")</f>
        <v>নৌকা বাইচে যদি দুটি নৌকা একই সাথে শেষ রেখা অতিক্রম করে তাহলে কী হবে?</v>
      </c>
      <c r="L28" s="4" t="str">
        <f>IFERROR(__xludf.DUMMYFUNCTION("GOOGLETRANSLATE(C28, ""en"", ""bn"")"),"ক) রেফারির সিদ্ধান্ত, খ) যৌথ বিজয়ী, গ) সময় পর্যালোচনা, ঘ) রিপ্লে")</f>
        <v>ক) রেফারির সিদ্ধান্ত, খ) যৌথ বিজয়ী, গ) সময় পর্যালোচনা, ঘ) রিপ্লে</v>
      </c>
      <c r="M28" s="4" t="str">
        <f>IFERROR(__xludf.DUMMYFUNCTION("GOOGLETRANSLATE(D28, ""en"", ""bn"")"),"গ) সময় পর্যালোচনা")</f>
        <v>গ) সময় পর্যালোচনা</v>
      </c>
      <c r="N28" s="4" t="str">
        <f>IFERROR(__xludf.DUMMYFUNCTION("GOOGLETRANSLATE(E28, ""en"", ""bn"")"),"যদি দুটি নৌকা একই সময়ে শেষ হয়, তাহলে একটি সময় পর্যালোচনা বিজয়ী নির্ধারণে সহায়তা করে।")</f>
        <v>যদি দুটি নৌকা একই সময়ে শেষ হয়, তাহলে একটি সময় পর্যালোচনা বিজয়ী নির্ধারণে সহায়তা করে।</v>
      </c>
    </row>
    <row r="29">
      <c r="A29" s="3">
        <v>28.0</v>
      </c>
      <c r="B29" s="3" t="s">
        <v>2405</v>
      </c>
      <c r="C29" s="3" t="s">
        <v>2406</v>
      </c>
      <c r="D29" s="3" t="s">
        <v>2407</v>
      </c>
      <c r="E29" s="3" t="s">
        <v>2408</v>
      </c>
      <c r="J29" s="4" t="str">
        <f>IFERROR(__xludf.DUMMYFUNCTION("GOOGLETRANSLATE(A29, ""en"", ""bn"")"),"২৮")</f>
        <v>২৮</v>
      </c>
      <c r="K29" s="4" t="str">
        <f>IFERROR(__xludf.DUMMYFUNCTION("GOOGLETRANSLATE(B29, ""en"", ""bn"")"),"নৌকা বাইচ রোয়ারদের জন্য রোয়িং ছাড়াও আর কী দক্ষতা অপরিহার্য?")</f>
        <v>নৌকা বাইচ রোয়ারদের জন্য রোয়িং ছাড়াও আর কী দক্ষতা অপরিহার্য?</v>
      </c>
      <c r="L29" s="4" t="str">
        <f>IFERROR(__xludf.DUMMYFUNCTION("GOOGLETRANSLATE(C29, ""en"", ""bn"")"),"ক) স্টিয়ারিং, খ) সাঁতার, গ) দৌড়, ঘ) ভারোত্তোলন")</f>
        <v>ক) স্টিয়ারিং, খ) সাঁতার, গ) দৌড়, ঘ) ভারোত্তোলন</v>
      </c>
      <c r="M29" s="4" t="str">
        <f>IFERROR(__xludf.DUMMYFUNCTION("GOOGLETRANSLATE(D29, ""en"", ""bn"")"),"খ) সাঁতার")</f>
        <v>খ) সাঁতার</v>
      </c>
      <c r="N29" s="4" t="str">
        <f>IFERROR(__xludf.DUMMYFUNCTION("GOOGLETRANSLATE(E29, ""en"", ""bn"")"),"নদীতে দুর্ঘটনার ক্ষেত্রে নিরাপত্তার জন্য সাঁতার দক্ষতা গুরুত্বপূর্ণ।")</f>
        <v>নদীতে দুর্ঘটনার ক্ষেত্রে নিরাপত্তার জন্য সাঁতার দক্ষতা গুরুত্বপূর্ণ।</v>
      </c>
    </row>
    <row r="30">
      <c r="A30" s="3">
        <v>29.0</v>
      </c>
      <c r="B30" s="3" t="s">
        <v>2409</v>
      </c>
      <c r="C30" s="3" t="s">
        <v>2410</v>
      </c>
      <c r="D30" s="3" t="s">
        <v>2411</v>
      </c>
      <c r="E30" s="3" t="s">
        <v>2412</v>
      </c>
      <c r="J30" s="4" t="str">
        <f>IFERROR(__xludf.DUMMYFUNCTION("GOOGLETRANSLATE(A30, ""en"", ""bn"")"),"২৯")</f>
        <v>২৯</v>
      </c>
      <c r="K30" s="4" t="str">
        <f>IFERROR(__xludf.DUMMYFUNCTION("GOOGLETRANSLATE(B30, ""en"", ""bn"")"),"নৌকা বাইচ রেসকোর্সের সাধারণ দৈর্ঘ্য কত?")</f>
        <v>নৌকা বাইচ রেসকোর্সের সাধারণ দৈর্ঘ্য কত?</v>
      </c>
      <c r="L30" s="4" t="str">
        <f>IFERROR(__xludf.DUMMYFUNCTION("GOOGLETRANSLATE(C30, ""en"", ""bn"")"),"ক) ২০০ মিটার, খ) ৫০০ মিটার, গ) ১০০০ মিটার, ঘ) ১৫০০ মিটার")</f>
        <v>ক) ২০০ মিটার, খ) ৫০০ মিটার, গ) ১০০০ মিটার, ঘ) ১৫০০ মিটার</v>
      </c>
      <c r="M30" s="4" t="str">
        <f>IFERROR(__xludf.DUMMYFUNCTION("GOOGLETRANSLATE(D30, ""en"", ""bn"")"),"গ) ১০০০ মিটার")</f>
        <v>গ) ১০০০ মিটার</v>
      </c>
      <c r="N30" s="4" t="str">
        <f>IFERROR(__xludf.DUMMYFUNCTION("GOOGLETRANSLATE(E30, ""en"", ""bn"")"),"নৌকা বাইচ দৌড় প্রায়শই প্রায় ১০০০ মিটার দূরত্বে অনুষ্ঠিত হয়।")</f>
        <v>নৌকা বাইচ দৌড় প্রায়শই প্রায় ১০০০ মিটার দূরত্বে অনুষ্ঠিত হয়।</v>
      </c>
    </row>
    <row r="31">
      <c r="A31" s="3">
        <v>30.0</v>
      </c>
      <c r="B31" s="3" t="s">
        <v>2413</v>
      </c>
      <c r="C31" s="3" t="s">
        <v>2414</v>
      </c>
      <c r="D31" s="3" t="s">
        <v>2415</v>
      </c>
      <c r="E31" s="3" t="s">
        <v>2416</v>
      </c>
      <c r="J31" s="4" t="str">
        <f>IFERROR(__xludf.DUMMYFUNCTION("GOOGLETRANSLATE(A31, ""en"", ""bn"")"),"৩০")</f>
        <v>৩০</v>
      </c>
      <c r="K31" s="4" t="str">
        <f>IFERROR(__xludf.DUMMYFUNCTION("GOOGLETRANSLATE(B31, ""en"", ""bn"")"),"নৌকা বাইচে নৌকার কোন পাশে নৌকার নৌকাচালকদের বসানো উচিত?")</f>
        <v>নৌকা বাইচে নৌকার কোন পাশে নৌকার নৌকাচালকদের বসানো উচিত?</v>
      </c>
      <c r="L31" s="4" t="str">
        <f>IFERROR(__xludf.DUMMYFUNCTION("GOOGLETRANSLATE(C31, ""en"", ""bn"")"),"ক) পর্যায়ক্রমে দিক, খ) কেবল বাম দিক, গ) কেবল ডান দিক, ঘ) কেবল পিছনের দিক")</f>
        <v>ক) পর্যায়ক্রমে দিক, খ) কেবল বাম দিক, গ) কেবল ডান দিক, ঘ) কেবল পিছনের দিক</v>
      </c>
      <c r="M31" s="4" t="str">
        <f>IFERROR(__xludf.DUMMYFUNCTION("GOOGLETRANSLATE(D31, ""en"", ""bn"")"),"ক) পর্যায়ক্রমে দিকগুলি")</f>
        <v>ক) পর্যায়ক্রমে দিকগুলি</v>
      </c>
      <c r="N31" s="4" t="str">
        <f>IFERROR(__xludf.DUMMYFUNCTION("GOOGLETRANSLATE(E31, ""en"", ""bn"")"),"নৌকার ভারসাম্য বজায় রাখতে এবং স্থিতিশীলতা বজায় রাখার জন্য নৌকার মাঝিরা পর্যায়ক্রমে পাশে বসে।")</f>
        <v>নৌকার ভারসাম্য বজায় রাখতে এবং স্থিতিশীলতা বজায় রাখার জন্য নৌকার মাঝিরা পর্যায়ক্রমে পাশে বসে।</v>
      </c>
    </row>
    <row r="32">
      <c r="A32" s="3">
        <v>31.0</v>
      </c>
      <c r="B32" s="3" t="s">
        <v>2417</v>
      </c>
      <c r="C32" s="3" t="s">
        <v>2418</v>
      </c>
      <c r="D32" s="3" t="s">
        <v>2419</v>
      </c>
      <c r="E32" s="3" t="s">
        <v>2420</v>
      </c>
      <c r="J32" s="4" t="str">
        <f>IFERROR(__xludf.DUMMYFUNCTION("GOOGLETRANSLATE(A32, ""en"", ""bn"")"),"৩১")</f>
        <v>৩১</v>
      </c>
      <c r="K32" s="4" t="str">
        <f>IFERROR(__xludf.DUMMYFUNCTION("GOOGLETRANSLATE(B32, ""en"", ""bn"")"),"নৌকা বাইচ দৌড়ের সূচনার ইঙ্গিত কে দেয়?")</f>
        <v>নৌকা বাইচ দৌড়ের সূচনার ইঙ্গিত কে দেয়?</v>
      </c>
      <c r="L32" s="4" t="str">
        <f>IFERROR(__xludf.DUMMYFUNCTION("GOOGLETRANSLATE(C32, ""en"", ""bn"")"),"ক) অধিনায়ক, খ) প্রধান রোয়ার, গ) রেফারি, ঘ) ড্রাম বাদক")</f>
        <v>ক) অধিনায়ক, খ) প্রধান রোয়ার, গ) রেফারি, ঘ) ড্রাম বাদক</v>
      </c>
      <c r="M32" s="4" t="str">
        <f>IFERROR(__xludf.DUMMYFUNCTION("GOOGLETRANSLATE(D32, ""en"", ""bn"")"),"গ) রেফারি")</f>
        <v>গ) রেফারি</v>
      </c>
      <c r="N32" s="4" t="str">
        <f>IFERROR(__xludf.DUMMYFUNCTION("GOOGLETRANSLATE(E32, ""en"", ""bn"")"),"একজন রেফারি সমস্ত নৌকাকে প্যাডেল চালানোর জন্য দৌড়ের আনুষ্ঠানিক শুরুর ইঙ্গিত দেন।")</f>
        <v>একজন রেফারি সমস্ত নৌকাকে প্যাডেল চালানোর জন্য দৌড়ের আনুষ্ঠানিক শুরুর ইঙ্গিত দেন।</v>
      </c>
    </row>
    <row r="33">
      <c r="A33" s="3">
        <v>32.0</v>
      </c>
      <c r="B33" s="3" t="s">
        <v>2421</v>
      </c>
      <c r="C33" s="3" t="s">
        <v>2422</v>
      </c>
      <c r="D33" s="3" t="s">
        <v>2423</v>
      </c>
      <c r="E33" s="3" t="s">
        <v>2424</v>
      </c>
      <c r="J33" s="4" t="str">
        <f>IFERROR(__xludf.DUMMYFUNCTION("GOOGLETRANSLATE(A33, ""en"", ""bn"")"),"৩২")</f>
        <v>৩২</v>
      </c>
      <c r="K33" s="4" t="str">
        <f>IFERROR(__xludf.DUMMYFUNCTION("GOOGLETRANSLATE(B33, ""en"", ""bn"")"),"যদি একটি নৌকা বাইচ নৌকা অন্যের লেনে চলে যায় তাহলে কী হবে?")</f>
        <v>যদি একটি নৌকা বাইচ নৌকা অন্যের লেনে চলে যায় তাহলে কী হবে?</v>
      </c>
      <c r="L33" s="4" t="str">
        <f>IFERROR(__xludf.DUMMYFUNCTION("GOOGLETRANSLATE(C33, ""en"", ""bn"")"),"ক) নৌকাটিকে জরিমানা করা হয়েছে, খ) দৌড় পুনরায় শুরু হয়েছে, গ) নৌকাগুলি লেন পরিবর্তন করেছে, ঘ) কোনও জরিমানা নেই")</f>
        <v>ক) নৌকাটিকে জরিমানা করা হয়েছে, খ) দৌড় পুনরায় শুরু হয়েছে, গ) নৌকাগুলি লেন পরিবর্তন করেছে, ঘ) কোনও জরিমানা নেই</v>
      </c>
      <c r="M33" s="4" t="str">
        <f>IFERROR(__xludf.DUMMYFUNCTION("GOOGLETRANSLATE(D33, ""en"", ""bn"")"),"ক) নৌকাটিকে শাস্তি দেওয়া হয়েছে")</f>
        <v>ক) নৌকাটিকে শাস্তি দেওয়া হয়েছে</v>
      </c>
      <c r="N33" s="4" t="str">
        <f>IFERROR(__xludf.DUMMYFUNCTION("GOOGLETRANSLATE(E33, ""en"", ""bn"")"),"লেন অতিক্রম করলে জরিমানা হতে পারে কারণ এটি অন্যান্য প্রতিযোগীদের সাথে হস্তক্ষেপ করতে পারে।")</f>
        <v>লেন অতিক্রম করলে জরিমানা হতে পারে কারণ এটি অন্যান্য প্রতিযোগীদের সাথে হস্তক্ষেপ করতে পারে।</v>
      </c>
    </row>
    <row r="34">
      <c r="A34" s="3">
        <v>33.0</v>
      </c>
      <c r="B34" s="3" t="s">
        <v>2425</v>
      </c>
      <c r="C34" s="3" t="s">
        <v>2426</v>
      </c>
      <c r="D34" s="3" t="s">
        <v>1093</v>
      </c>
      <c r="E34" s="3" t="s">
        <v>2427</v>
      </c>
      <c r="J34" s="4" t="str">
        <f>IFERROR(__xludf.DUMMYFUNCTION("GOOGLETRANSLATE(A34, ""en"", ""bn"")"),"৩৩")</f>
        <v>৩৩</v>
      </c>
      <c r="K34" s="4" t="str">
        <f>IFERROR(__xludf.DUMMYFUNCTION("GOOGLETRANSLATE(B34, ""en"", ""bn"")"),"নৌকা বাইচে জেতার জন্য নৌকার কোন বৈশিষ্ট্যটি সবচেয়ে গুরুত্বপূর্ণ?")</f>
        <v>নৌকা বাইচে জেতার জন্য নৌকার কোন বৈশিষ্ট্যটি সবচেয়ে গুরুত্বপূর্ণ?</v>
      </c>
      <c r="L34" s="4" t="str">
        <f>IFERROR(__xludf.DUMMYFUNCTION("GOOGLETRANSLATE(C34, ""en"", ""bn"")"),"ক) নৌকার রঙ, খ) গতি, গ) স্থায়িত্ব, ঘ) প্রস্থ")</f>
        <v>ক) নৌকার রঙ, খ) গতি, গ) স্থায়িত্ব, ঘ) প্রস্থ</v>
      </c>
      <c r="M34" s="4" t="str">
        <f>IFERROR(__xludf.DUMMYFUNCTION("GOOGLETRANSLATE(D34, ""en"", ""bn"")"),"খ) গতি")</f>
        <v>খ) গতি</v>
      </c>
      <c r="N34" s="4" t="str">
        <f>IFERROR(__xludf.DUMMYFUNCTION("GOOGLETRANSLATE(E34, ""en"", ""bn"")"),"গতিই প্রধান লক্ষ্য, কারণ প্রথম যে নৌকাটি দৌড় শেষ করবে সে জিতবে।")</f>
        <v>গতিই প্রধান লক্ষ্য, কারণ প্রথম যে নৌকাটি দৌড় শেষ করবে সে জিতবে।</v>
      </c>
    </row>
    <row r="35">
      <c r="A35" s="3">
        <v>34.0</v>
      </c>
      <c r="B35" s="3" t="s">
        <v>2428</v>
      </c>
      <c r="C35" s="3" t="s">
        <v>2429</v>
      </c>
      <c r="D35" s="3" t="s">
        <v>2430</v>
      </c>
      <c r="E35" s="3" t="s">
        <v>2431</v>
      </c>
      <c r="J35" s="4" t="str">
        <f>IFERROR(__xludf.DUMMYFUNCTION("GOOGLETRANSLATE(A35, ""en"", ""bn"")"),"৩৪")</f>
        <v>৩৪</v>
      </c>
      <c r="K35" s="4" t="str">
        <f>IFERROR(__xludf.DUMMYFUNCTION("GOOGLETRANSLATE(B35, ""en"", ""bn"")"),"নৌকা বাইচ দৌড়ের জন্য আদর্শ জলের অবস্থা কী?")</f>
        <v>নৌকা বাইচ দৌড়ের জন্য আদর্শ জলের অবস্থা কী?</v>
      </c>
      <c r="L35" s="4" t="str">
        <f>IFERROR(__xludf.DUMMYFUNCTION("GOOGLETRANSLATE(C35, ""en"", ""bn"")"),"ক) উঁচু ঢেউ, খ) শান্ত জল, গ) উত্তাল জল, ঘ) প্রবাহমান স্রোত")</f>
        <v>ক) উঁচু ঢেউ, খ) শান্ত জল, গ) উত্তাল জল, ঘ) প্রবাহমান স্রোত</v>
      </c>
      <c r="M35" s="4" t="str">
        <f>IFERROR(__xludf.DUMMYFUNCTION("GOOGLETRANSLATE(D35, ""en"", ""bn"")"),"খ) শান্ত জল")</f>
        <v>খ) শান্ত জল</v>
      </c>
      <c r="N35" s="4" t="str">
        <f>IFERROR(__xludf.DUMMYFUNCTION("GOOGLETRANSLATE(E35, ""en"", ""bn"")"),"শান্ত জল পছন্দ করা হয় কারণ এটি মসৃণ নৌকা চালানোর সুযোগ করে দেয় এবং প্রতিযোগিতা আরও সুন্দর হয়।")</f>
        <v>শান্ত জল পছন্দ করা হয় কারণ এটি মসৃণ নৌকা চালানোর সুযোগ করে দেয় এবং প্রতিযোগিতা আরও সুন্দর হয়।</v>
      </c>
    </row>
    <row r="36">
      <c r="A36" s="3">
        <v>35.0</v>
      </c>
      <c r="B36" s="3" t="s">
        <v>2432</v>
      </c>
      <c r="C36" s="3" t="s">
        <v>2433</v>
      </c>
      <c r="D36" s="3" t="s">
        <v>401</v>
      </c>
      <c r="E36" s="3" t="s">
        <v>2434</v>
      </c>
      <c r="J36" s="4" t="str">
        <f>IFERROR(__xludf.DUMMYFUNCTION("GOOGLETRANSLATE(A36, ""en"", ""bn"")"),"৩৫")</f>
        <v>৩৫</v>
      </c>
      <c r="K36" s="4" t="str">
        <f>IFERROR(__xludf.DUMMYFUNCTION("GOOGLETRANSLATE(B36, ""en"", ""bn"")"),"নৌকা বাইচে, অতিরিক্ত রোয়ার ব্যবহারের শাস্তি কী?")</f>
        <v>নৌকা বাইচে, অতিরিক্ত রোয়ার ব্যবহারের শাস্তি কী?</v>
      </c>
      <c r="L36" s="4" t="str">
        <f>IFERROR(__xludf.DUMMYFUNCTION("GOOGLETRANSLATE(C36, ""en"", ""bn"")"),"ক) কোন জরিমানা নেই, খ) ১০ সেকেন্ডের জরিমানা, গ) অযোগ্যতা, ঘ) নৌকা পুনরায় চালু করা")</f>
        <v>ক) কোন জরিমানা নেই, খ) ১০ সেকেন্ডের জরিমানা, গ) অযোগ্যতা, ঘ) নৌকা পুনরায় চালু করা</v>
      </c>
      <c r="M36" s="4" t="str">
        <f>IFERROR(__xludf.DUMMYFUNCTION("GOOGLETRANSLATE(D36, ""en"", ""bn"")"),"গ) অযোগ্যতা")</f>
        <v>গ) অযোগ্যতা</v>
      </c>
      <c r="N36" s="4" t="str">
        <f>IFERROR(__xludf.DUMMYFUNCTION("GOOGLETRANSLATE(E36, ""en"", ""bn"")"),"ন্যায্যতা নিশ্চিত করার জন্য অনুমোদিতের চেয়ে বেশি রোয়ার ব্যবহার করলে অযোগ্য ঘোষণা করা হয়।")</f>
        <v>ন্যায্যতা নিশ্চিত করার জন্য অনুমোদিতের চেয়ে বেশি রোয়ার ব্যবহার করলে অযোগ্য ঘোষণা করা হয়।</v>
      </c>
    </row>
    <row r="37">
      <c r="A37" s="3">
        <v>36.0</v>
      </c>
      <c r="B37" s="3" t="s">
        <v>2435</v>
      </c>
      <c r="C37" s="3" t="s">
        <v>2436</v>
      </c>
      <c r="D37" s="3" t="s">
        <v>2437</v>
      </c>
      <c r="E37" s="3" t="s">
        <v>2438</v>
      </c>
      <c r="J37" s="4" t="str">
        <f>IFERROR(__xludf.DUMMYFUNCTION("GOOGLETRANSLATE(A37, ""en"", ""bn"")"),"৩৬")</f>
        <v>৩৬</v>
      </c>
      <c r="K37" s="4" t="str">
        <f>IFERROR(__xludf.DUMMYFUNCTION("GOOGLETRANSLATE(B37, ""en"", ""bn"")"),"নৌকা বাইচ নৌকায় নৌকাচালকের সংখ্যা কী নির্ধারণ করে?")</f>
        <v>নৌকা বাইচ নৌকায় নৌকাচালকের সংখ্যা কী নির্ধারণ করে?</v>
      </c>
      <c r="L37" s="4" t="str">
        <f>IFERROR(__xludf.DUMMYFUNCTION("GOOGLETRANSLATE(C37, ""en"", ""bn"")"),"ক) নৌকার দৈর্ঘ্য, খ) জলের গভীরতা, গ) ইভেন্টের নিয়ম, ঘ) দল পছন্দ")</f>
        <v>ক) নৌকার দৈর্ঘ্য, খ) জলের গভীরতা, গ) ইভেন্টের নিয়ম, ঘ) দল পছন্দ</v>
      </c>
      <c r="M37" s="4" t="str">
        <f>IFERROR(__xludf.DUMMYFUNCTION("GOOGLETRANSLATE(D37, ""en"", ""bn"")"),"ক) নৌকার দৈর্ঘ্য")</f>
        <v>ক) নৌকার দৈর্ঘ্য</v>
      </c>
      <c r="N37" s="4" t="str">
        <f>IFERROR(__xludf.DUMMYFUNCTION("GOOGLETRANSLATE(E37, ""en"", ""bn"")"),"নৌকার দৈর্ঘ্যের উপর নির্ভর করে রোয়ারের সংখ্যা, যা ইভেন্টভেদে পরিবর্তিত হয়।")</f>
        <v>নৌকার দৈর্ঘ্যের উপর নির্ভর করে রোয়ারের সংখ্যা, যা ইভেন্টভেদে পরিবর্তিত হয়।</v>
      </c>
    </row>
    <row r="38">
      <c r="A38" s="3">
        <v>37.0</v>
      </c>
      <c r="B38" s="3" t="s">
        <v>2439</v>
      </c>
      <c r="C38" s="3" t="s">
        <v>2440</v>
      </c>
      <c r="D38" s="3" t="s">
        <v>2441</v>
      </c>
      <c r="E38" s="3" t="s">
        <v>2442</v>
      </c>
      <c r="J38" s="4" t="str">
        <f>IFERROR(__xludf.DUMMYFUNCTION("GOOGLETRANSLATE(A38, ""en"", ""bn"")"),"৩৭")</f>
        <v>৩৭</v>
      </c>
      <c r="K38" s="4" t="str">
        <f>IFERROR(__xludf.DUMMYFUNCTION("GOOGLETRANSLATE(B38, ""en"", ""bn"")"),"নৌকা বাইচে বিজয়ী কীভাবে নির্ধারিত হয়?")</f>
        <v>নৌকা বাইচে বিজয়ী কীভাবে নির্ধারিত হয়?</v>
      </c>
      <c r="L38" s="4" t="str">
        <f>IFERROR(__xludf.DUMMYFUNCTION("GOOGLETRANSLATE(C38, ""en"", ""bn"")"),"ক) দ্রুততম নৌকাচালক, খ) সবচেয়ে জোরে দল, গ) প্রথম শেষ করা, ঘ) দীর্ঘতম প্যাডেল")</f>
        <v>ক) দ্রুততম নৌকাচালক, খ) সবচেয়ে জোরে দল, গ) প্রথম শেষ করা, ঘ) দীর্ঘতম প্যাডেল</v>
      </c>
      <c r="M38" s="4" t="str">
        <f>IFERROR(__xludf.DUMMYFUNCTION("GOOGLETRANSLATE(D38, ""en"", ""bn"")"),"গ) প্রথমে শেষ করা")</f>
        <v>গ) প্রথমে শেষ করা</v>
      </c>
      <c r="N38" s="4" t="str">
        <f>IFERROR(__xludf.DUMMYFUNCTION("GOOGLETRANSLATE(E38, ""en"", ""bn"")"),"যে নৌকাটি প্রথমে শেষ রেখা অতিক্রম করবে তাকে বিজয়ী ঘোষণা করা হবে।")</f>
        <v>যে নৌকাটি প্রথমে শেষ রেখা অতিক্রম করবে তাকে বিজয়ী ঘোষণা করা হবে।</v>
      </c>
    </row>
    <row r="39">
      <c r="A39" s="3">
        <v>38.0</v>
      </c>
      <c r="B39" s="3" t="s">
        <v>2443</v>
      </c>
      <c r="C39" s="3" t="s">
        <v>2444</v>
      </c>
      <c r="D39" s="3" t="s">
        <v>2445</v>
      </c>
      <c r="E39" s="3" t="s">
        <v>2446</v>
      </c>
      <c r="J39" s="4" t="str">
        <f>IFERROR(__xludf.DUMMYFUNCTION("GOOGLETRANSLATE(A39, ""en"", ""bn"")"),"৩৮")</f>
        <v>৩৮</v>
      </c>
      <c r="K39" s="4" t="str">
        <f>IFERROR(__xludf.DUMMYFUNCTION("GOOGLETRANSLATE(B39, ""en"", ""bn"")"),"অযোগ্যতা রোধ করার জন্য রোয়ারদের কী করা এড়ানো উচিত?")</f>
        <v>অযোগ্যতা রোধ করার জন্য রোয়ারদের কী করা এড়ানো উচিত?</v>
      </c>
      <c r="L39" s="4" t="str">
        <f>IFERROR(__xludf.DUMMYFUNCTION("GOOGLETRANSLATE(C39, ""en"", ""bn"")"),"ক) চিৎকার, খ) নৌকা দোলানো, গ) ধীরে ধীরে নৌকা চালানো, ঘ) দলকে উৎসাহিত করা")</f>
        <v>ক) চিৎকার, খ) নৌকা দোলানো, গ) ধীরে ধীরে নৌকা চালানো, ঘ) দলকে উৎসাহিত করা</v>
      </c>
      <c r="M39" s="4" t="str">
        <f>IFERROR(__xludf.DUMMYFUNCTION("GOOGLETRANSLATE(D39, ""en"", ""bn"")"),"খ) নৌকা দোলানো")</f>
        <v>খ) নৌকা দোলানো</v>
      </c>
      <c r="N39" s="4" t="str">
        <f>IFERROR(__xludf.DUMMYFUNCTION("GOOGLETRANSLATE(E39, ""en"", ""bn"")"),"নৌকা দোলানো স্থিতিশীলতা ব্যাহত করে এবং ইচ্ছাকৃতভাবে করলে অযোগ্যতাও হতে পারে।")</f>
        <v>নৌকা দোলানো স্থিতিশীলতা ব্যাহত করে এবং ইচ্ছাকৃতভাবে করলে অযোগ্যতাও হতে পারে।</v>
      </c>
    </row>
    <row r="40">
      <c r="A40" s="3">
        <v>39.0</v>
      </c>
      <c r="B40" s="3" t="s">
        <v>2447</v>
      </c>
      <c r="C40" s="3" t="s">
        <v>2448</v>
      </c>
      <c r="D40" s="3" t="s">
        <v>2449</v>
      </c>
      <c r="E40" s="3" t="s">
        <v>2450</v>
      </c>
      <c r="J40" s="4" t="str">
        <f>IFERROR(__xludf.DUMMYFUNCTION("GOOGLETRANSLATE(A40, ""en"", ""bn"")"),"৩৯")</f>
        <v>৩৯</v>
      </c>
      <c r="K40" s="4" t="str">
        <f>IFERROR(__xludf.DUMMYFUNCTION("GOOGLETRANSLATE(B40, ""en"", ""bn"")"),"বাংলাদেশে ঐতিহ্যগতভাবে কোন ঋতুতে নৌকা বাইচ অনুষ্ঠিত হয়?")</f>
        <v>বাংলাদেশে ঐতিহ্যগতভাবে কোন ঋতুতে নৌকা বাইচ অনুষ্ঠিত হয়?</v>
      </c>
      <c r="L40" s="4" t="str">
        <f>IFERROR(__xludf.DUMMYFUNCTION("GOOGLETRANSLATE(C40, ""en"", ""bn"")"),"ক) শীতকাল, খ) গ্রীষ্মকাল, গ) বর্ষাকাল, ঘ) শরৎকাল")</f>
        <v>ক) শীতকাল, খ) গ্রীষ্মকাল, গ) বর্ষাকাল, ঘ) শরৎকাল</v>
      </c>
      <c r="M40" s="4" t="str">
        <f>IFERROR(__xludf.DUMMYFUNCTION("GOOGLETRANSLATE(D40, ""en"", ""bn"")"),"গ) বর্ষাকাল")</f>
        <v>গ) বর্ষাকাল</v>
      </c>
      <c r="N40" s="4" t="str">
        <f>IFERROR(__xludf.DUMMYFUNCTION("GOOGLETRANSLATE(E40, ""en"", ""bn"")"),"নৌকা বাইচ সাধারণত বর্ষাকালে অনুষ্ঠিত হয় যখন নদীগুলি পূর্ণ থাকে।")</f>
        <v>নৌকা বাইচ সাধারণত বর্ষাকালে অনুষ্ঠিত হয় যখন নদীগুলি পূর্ণ থাকে।</v>
      </c>
    </row>
    <row r="41">
      <c r="A41" s="3">
        <v>40.0</v>
      </c>
      <c r="B41" s="3" t="s">
        <v>2451</v>
      </c>
      <c r="C41" s="3" t="s">
        <v>2452</v>
      </c>
      <c r="D41" s="3" t="s">
        <v>2453</v>
      </c>
      <c r="E41" s="3" t="s">
        <v>2454</v>
      </c>
      <c r="J41" s="4" t="str">
        <f>IFERROR(__xludf.DUMMYFUNCTION("GOOGLETRANSLATE(A41, ""en"", ""bn"")"),"৪০")</f>
        <v>৪০</v>
      </c>
      <c r="K41" s="4" t="str">
        <f>IFERROR(__xludf.DUMMYFUNCTION("GOOGLETRANSLATE(B41, ""en"", ""bn"")"),"নৌকা বাইচ-এ ড্রামারের ভূমিকা কী?")</f>
        <v>নৌকা বাইচ-এ ড্রামারের ভূমিকা কী?</v>
      </c>
      <c r="L41" s="4" t="str">
        <f>IFERROR(__xludf.DUMMYFUNCTION("GOOGLETRANSLATE(C41, ""en"", ""bn"")"),"ক) নৌকা পরিচালনা করে, খ) ছন্দ বজায় রাখে, গ) নৌকাচালকদের নির্দেশ দেয়, ঘ) দৌড় শুরু করে")</f>
        <v>ক) নৌকা পরিচালনা করে, খ) ছন্দ বজায় রাখে, গ) নৌকাচালকদের নির্দেশ দেয়, ঘ) দৌড় শুরু করে</v>
      </c>
      <c r="M41" s="4" t="str">
        <f>IFERROR(__xludf.DUMMYFUNCTION("GOOGLETRANSLATE(D41, ""en"", ""bn"")"),"খ) ছন্দ বজায় রাখে")</f>
        <v>খ) ছন্দ বজায় রাখে</v>
      </c>
      <c r="N41" s="4" t="str">
        <f>IFERROR(__xludf.DUMMYFUNCTION("GOOGLETRANSLATE(E41, ""en"", ""bn"")"),"ড্রামার একটি ছন্দবদ্ধ তাল বজায় রাখেন যা রোয়ারদের স্ট্রোকগুলিকে সুসংগত করতে সাহায্য করে।")</f>
        <v>ড্রামার একটি ছন্দবদ্ধ তাল বজায় রাখেন যা রোয়ারদের স্ট্রোকগুলিকে সুসংগত করতে সাহায্য করে।</v>
      </c>
    </row>
    <row r="42">
      <c r="A42" s="3">
        <v>41.0</v>
      </c>
      <c r="B42" s="3" t="s">
        <v>2455</v>
      </c>
      <c r="C42" s="3" t="s">
        <v>2456</v>
      </c>
      <c r="D42" s="3" t="s">
        <v>2457</v>
      </c>
      <c r="E42" s="3" t="s">
        <v>2458</v>
      </c>
      <c r="J42" s="4" t="str">
        <f>IFERROR(__xludf.DUMMYFUNCTION("GOOGLETRANSLATE(A42, ""en"", ""bn"")"),"৪১")</f>
        <v>৪১</v>
      </c>
      <c r="K42" s="4" t="str">
        <f>IFERROR(__xludf.DUMMYFUNCTION("GOOGLETRANSLATE(B42, ""en"", ""bn"")"),"নৌকা বাইচে, রোয়ারদের প্রাথমিকভাবে কোন দিকের উপর মনোযোগ দেওয়া উচিত?")</f>
        <v>নৌকা বাইচে, রোয়ারদের প্রাথমিকভাবে কোন দিকের উপর মনোযোগ দেওয়া উচিত?</v>
      </c>
      <c r="L42" s="4" t="str">
        <f>IFERROR(__xludf.DUMMYFUNCTION("GOOGLETRANSLATE(C42, ""en"", ""bn"")"),"ক) ব্যক্তিগত গতি, খ) সমন্বয়, গ) নৌকার রঙ, ঘ) পিছনের দিকে নৌকা চালানো")</f>
        <v>ক) ব্যক্তিগত গতি, খ) সমন্বয়, গ) নৌকার রঙ, ঘ) পিছনের দিকে নৌকা চালানো</v>
      </c>
      <c r="M42" s="4" t="str">
        <f>IFERROR(__xludf.DUMMYFUNCTION("GOOGLETRANSLATE(D42, ""en"", ""bn"")"),"খ) সমন্বয়")</f>
        <v>খ) সমন্বয়</v>
      </c>
      <c r="N42" s="4" t="str">
        <f>IFERROR(__xludf.DUMMYFUNCTION("GOOGLETRANSLATE(E42, ""en"", ""bn"")"),"ছন্দ বজায় রাখতে এবং সর্বোচ্চ গতি নিশ্চিত করতে রোয়ারদের অবশ্যই সুসমন্বিত হতে হবে।")</f>
        <v>ছন্দ বজায় রাখতে এবং সর্বোচ্চ গতি নিশ্চিত করতে রোয়ারদের অবশ্যই সুসমন্বিত হতে হবে।</v>
      </c>
    </row>
    <row r="43">
      <c r="A43" s="3">
        <v>42.0</v>
      </c>
      <c r="B43" s="3" t="s">
        <v>2459</v>
      </c>
      <c r="C43" s="3" t="s">
        <v>2460</v>
      </c>
      <c r="D43" s="3" t="s">
        <v>2461</v>
      </c>
      <c r="E43" s="3" t="s">
        <v>2462</v>
      </c>
      <c r="J43" s="4" t="str">
        <f>IFERROR(__xludf.DUMMYFUNCTION("GOOGLETRANSLATE(A43, ""en"", ""bn"")"),"৪২")</f>
        <v>৪২</v>
      </c>
      <c r="K43" s="4" t="str">
        <f>IFERROR(__xludf.DUMMYFUNCTION("GOOGLETRANSLATE(B43, ""en"", ""bn"")"),"কোন ফ্যাক্টর নৌকা বাইচের পারফরম্যান্সকে প্রভাবিত করে না?")</f>
        <v>কোন ফ্যাক্টর নৌকা বাইচের পারফরম্যান্সকে প্রভাবিত করে না?</v>
      </c>
      <c r="L43" s="4" t="str">
        <f>IFERROR(__xludf.DUMMYFUNCTION("GOOGLETRANSLATE(C43, ""en"", ""bn"")"),"ক) নৌকার ওজন, খ) নদীর স্রোত, গ) নৌকাচালকদের উচ্চতা, ঘ) দলগত কাজ")</f>
        <v>ক) নৌকার ওজন, খ) নদীর স্রোত, গ) নৌকাচালকদের উচ্চতা, ঘ) দলগত কাজ</v>
      </c>
      <c r="M43" s="4" t="str">
        <f>IFERROR(__xludf.DUMMYFUNCTION("GOOGLETRANSLATE(D43, ""en"", ""bn"")"),"গ) রোয়ারদের উচ্চতা")</f>
        <v>গ) রোয়ারদের উচ্চতা</v>
      </c>
      <c r="N43" s="4" t="str">
        <f>IFERROR(__xludf.DUMMYFUNCTION("GOOGLETRANSLATE(E43, ""en"", ""bn"")"),"যদিও দলগত কাজ এবং জলের অবস্থা অত্যন্ত গুরুত্বপূর্ণ, রোয়ারদের উচ্চতার কোনও প্রভাব নেই।")</f>
        <v>যদিও দলগত কাজ এবং জলের অবস্থা অত্যন্ত গুরুত্বপূর্ণ, রোয়ারদের উচ্চতার কোনও প্রভাব নেই।</v>
      </c>
    </row>
    <row r="44">
      <c r="A44" s="3">
        <v>43.0</v>
      </c>
      <c r="B44" s="3" t="s">
        <v>2463</v>
      </c>
      <c r="C44" s="3" t="s">
        <v>2464</v>
      </c>
      <c r="D44" s="3" t="s">
        <v>2465</v>
      </c>
      <c r="E44" s="3" t="s">
        <v>2466</v>
      </c>
      <c r="J44" s="4" t="str">
        <f>IFERROR(__xludf.DUMMYFUNCTION("GOOGLETRANSLATE(A44, ""en"", ""bn"")"),"৪৩")</f>
        <v>৪৩</v>
      </c>
      <c r="K44" s="4" t="str">
        <f>IFERROR(__xludf.DUMMYFUNCTION("GOOGLETRANSLATE(B44, ""en"", ""bn"")"),"নৌকা বাইচে গতি বজায় রাখার জন্য রোয়ারদের কতবার প্যাডেল চালানো উচিত?")</f>
        <v>নৌকা বাইচে গতি বজায় রাখার জন্য রোয়ারদের কতবার প্যাডেল চালানো উচিত?</v>
      </c>
      <c r="L44" s="4" t="str">
        <f>IFERROR(__xludf.DUMMYFUNCTION("GOOGLETRANSLATE(C44, ""en"", ""bn"")"),"ক) ক্রমাগত, খ) প্রতি কয়েক সেকেন্ডে, গ) এলোমেলোভাবে, ঘ) কেবল পালাক্রমে")</f>
        <v>ক) ক্রমাগত, খ) প্রতি কয়েক সেকেন্ডে, গ) এলোমেলোভাবে, ঘ) কেবল পালাক্রমে</v>
      </c>
      <c r="M44" s="4" t="str">
        <f>IFERROR(__xludf.DUMMYFUNCTION("GOOGLETRANSLATE(D44, ""en"", ""bn"")"),"ক) ধারাবাহিকভাবে")</f>
        <v>ক) ধারাবাহিকভাবে</v>
      </c>
      <c r="N44" s="4" t="str">
        <f>IFERROR(__xludf.DUMMYFUNCTION("GOOGLETRANSLATE(E44, ""en"", ""bn"")"),"দৌড়ে গতি এবং গতি বজায় রাখার জন্য রোয়ার্সদের ক্রমাগত প্যাডেল চালাতে হবে।")</f>
        <v>দৌড়ে গতি এবং গতি বজায় রাখার জন্য রোয়ার্সদের ক্রমাগত প্যাডেল চালাতে হবে।</v>
      </c>
    </row>
    <row r="45">
      <c r="A45" s="3">
        <v>44.0</v>
      </c>
      <c r="B45" s="3" t="s">
        <v>2467</v>
      </c>
      <c r="C45" s="3" t="s">
        <v>2468</v>
      </c>
      <c r="D45" s="3" t="s">
        <v>2469</v>
      </c>
      <c r="E45" s="3" t="s">
        <v>2470</v>
      </c>
      <c r="J45" s="4" t="str">
        <f>IFERROR(__xludf.DUMMYFUNCTION("GOOGLETRANSLATE(A45, ""en"", ""bn"")"),"৪৪")</f>
        <v>৪৪</v>
      </c>
      <c r="K45" s="4" t="str">
        <f>IFERROR(__xludf.DUMMYFUNCTION("GOOGLETRANSLATE(B45, ""en"", ""bn"")"),"নৌকা বাইচে কক্সওয়াইন কী ভূমিকা পালন করে?")</f>
        <v>নৌকা বাইচে কক্সওয়াইন কী ভূমিকা পালন করে?</v>
      </c>
      <c r="L45" s="4" t="str">
        <f>IFERROR(__xludf.DUMMYFUNCTION("GOOGLETRANSLATE(C45, ""en"", ""bn"")"),"ক) ছন্দ বজায় রাখে, খ) দিক নিয়ন্ত্রণ করে, গ) দলের গতি নির্ধারণ করে, ঘ) দলের সাথে নৌকা চালানো")</f>
        <v>ক) ছন্দ বজায় রাখে, খ) দিক নিয়ন্ত্রণ করে, গ) দলের গতি নির্ধারণ করে, ঘ) দলের সাথে নৌকা চালানো</v>
      </c>
      <c r="M45" s="4" t="str">
        <f>IFERROR(__xludf.DUMMYFUNCTION("GOOGLETRANSLATE(D45, ""en"", ""bn"")"),"খ) দিক নিয়ন্ত্রণ করে")</f>
        <v>খ) দিক নিয়ন্ত্রণ করে</v>
      </c>
      <c r="N45" s="4" t="str">
        <f>IFERROR(__xludf.DUMMYFUNCTION("GOOGLETRANSLATE(E45, ""en"", ""bn"")"),"কক্সওয়াইন নৌকার পরিচালনা এবং দিকনির্দেশনা দেওয়ার জন্য দায়ী।")</f>
        <v>কক্সওয়াইন নৌকার পরিচালনা এবং দিকনির্দেশনা দেওয়ার জন্য দায়ী।</v>
      </c>
    </row>
    <row r="46">
      <c r="A46" s="3">
        <v>45.0</v>
      </c>
      <c r="B46" s="3" t="s">
        <v>2471</v>
      </c>
      <c r="C46" s="3" t="s">
        <v>2472</v>
      </c>
      <c r="D46" s="3" t="s">
        <v>2473</v>
      </c>
      <c r="E46" s="3" t="s">
        <v>2474</v>
      </c>
      <c r="J46" s="4" t="str">
        <f>IFERROR(__xludf.DUMMYFUNCTION("GOOGLETRANSLATE(A46, ""en"", ""bn"")"),"৪৫")</f>
        <v>৪৫</v>
      </c>
      <c r="K46" s="4" t="str">
        <f>IFERROR(__xludf.DUMMYFUNCTION("GOOGLETRANSLATE(B46, ""en"", ""bn"")"),"নৌকা পিছনে পড়ে গেলে নৌকাচালকদের কেমন প্রতিক্রিয়া দেখানো উচিত?")</f>
        <v>নৌকা পিছনে পড়ে গেলে নৌকাচালকদের কেমন প্রতিক্রিয়া দেখানো উচিত?</v>
      </c>
      <c r="L46" s="4" t="str">
        <f>IFERROR(__xludf.DUMMYFUNCTION("GOOGLETRANSLATE(C46, ""en"", ""bn"")"),"ক) ধীরে ধীরে, খ) জোরে প্যাডেল চালাও, গ) প্যাডেল পরিবর্তন করো, ঘ) দিক পরিবর্তন করো")</f>
        <v>ক) ধীরে ধীরে, খ) জোরে প্যাডেল চালাও, গ) প্যাডেল পরিবর্তন করো, ঘ) দিক পরিবর্তন করো</v>
      </c>
      <c r="M46" s="4" t="str">
        <f>IFERROR(__xludf.DUMMYFUNCTION("GOOGLETRANSLATE(D46, ""en"", ""bn"")"),"খ) আরও জোরে প্যাডেল করা")</f>
        <v>খ) আরও জোরে প্যাডেল করা</v>
      </c>
      <c r="N46" s="4" t="str">
        <f>IFERROR(__xludf.DUMMYFUNCTION("GOOGLETRANSLATE(E46, ""en"", ""bn"")"),"তাদের প্যাডলিং গতি বাড়ানো তাদের দৌড়ে এগিয়ে যেতে সাহায্য করতে পারে।")</f>
        <v>তাদের প্যাডলিং গতি বাড়ানো তাদের দৌড়ে এগিয়ে যেতে সাহায্য করতে পারে।</v>
      </c>
    </row>
    <row r="47">
      <c r="A47" s="3">
        <v>46.0</v>
      </c>
      <c r="B47" s="3" t="s">
        <v>2475</v>
      </c>
      <c r="C47" s="3" t="s">
        <v>2476</v>
      </c>
      <c r="D47" s="3" t="s">
        <v>2477</v>
      </c>
      <c r="E47" s="3" t="s">
        <v>2478</v>
      </c>
      <c r="J47" s="4" t="str">
        <f>IFERROR(__xludf.DUMMYFUNCTION("GOOGLETRANSLATE(A47, ""en"", ""bn"")"),"৪৬")</f>
        <v>৪৬</v>
      </c>
      <c r="K47" s="4" t="str">
        <f>IFERROR(__xludf.DUMMYFUNCTION("GOOGLETRANSLATE(B47, ""en"", ""bn"")"),"নৌকা বাইচ দৌড় সাধারণত কোন ধরণের পরিবেশে অনুষ্ঠিত হয়?")</f>
        <v>নৌকা বাইচ দৌড় সাধারণত কোন ধরণের পরিবেশে অনুষ্ঠিত হয়?</v>
      </c>
      <c r="L47" s="4" t="str">
        <f>IFERROR(__xludf.DUMMYFUNCTION("GOOGLETRANSLATE(C47, ""en"", ""bn"")"),"ক) স্থির হ্রদ, খ) অভ্যন্তরীণ পুল, গ) খোলা নদী, ঘ) শহরের খাল")</f>
        <v>ক) স্থির হ্রদ, খ) অভ্যন্তরীণ পুল, গ) খোলা নদী, ঘ) শহরের খাল</v>
      </c>
      <c r="M47" s="4" t="str">
        <f>IFERROR(__xludf.DUMMYFUNCTION("GOOGLETRANSLATE(D47, ""en"", ""bn"")"),"গ) খোলা নদী")</f>
        <v>গ) খোলা নদী</v>
      </c>
      <c r="N47" s="4" t="str">
        <f>IFERROR(__xludf.DUMMYFUNCTION("GOOGLETRANSLATE(E47, ""en"", ""bn"")"),"স্থানীয় ভূগোলের প্রতিফলন ঘোড়ায় ঐতিহ্যগতভাবে উন্মুক্ত নদীতে নৌকা বাইচ প্রতিযোগিতা অনুষ্ঠিত হয়।")</f>
        <v>স্থানীয় ভূগোলের প্রতিফলন ঘোড়ায় ঐতিহ্যগতভাবে উন্মুক্ত নদীতে নৌকা বাইচ প্রতিযোগিতা অনুষ্ঠিত হয়।</v>
      </c>
    </row>
    <row r="48">
      <c r="A48" s="3">
        <v>47.0</v>
      </c>
      <c r="B48" s="3" t="s">
        <v>2479</v>
      </c>
      <c r="C48" s="3" t="s">
        <v>2480</v>
      </c>
      <c r="D48" s="3" t="s">
        <v>2481</v>
      </c>
      <c r="E48" s="3" t="s">
        <v>2482</v>
      </c>
      <c r="J48" s="4" t="str">
        <f>IFERROR(__xludf.DUMMYFUNCTION("GOOGLETRANSLATE(A48, ""en"", ""bn"")"),"৪৭")</f>
        <v>৪৭</v>
      </c>
      <c r="K48" s="4" t="str">
        <f>IFERROR(__xludf.DUMMYFUNCTION("GOOGLETRANSLATE(B48, ""en"", ""bn"")"),"নৌকার ভারসাম্য বজায় রাখার জন্য নৌকাচালকদের কী করা এড়িয়ে চলা উচিত?")</f>
        <v>নৌকার ভারসাম্য বজায় রাখার জন্য নৌকাচালকদের কী করা এড়িয়ে চলা উচিত?</v>
      </c>
      <c r="L48" s="4" t="str">
        <f>IFERROR(__xludf.DUMMYFUNCTION("GOOGLETRANSLATE(C48, ""en"", ""bn"")"),"ক) একযোগে ঝুঁকে থাকা, খ) পর্যায়ক্রমে বসা, গ) এলোমেলোভাবে দিক পরিবর্তন করা, ঘ) ছন্দ বজায় রাখা")</f>
        <v>ক) একযোগে ঝুঁকে থাকা, খ) পর্যায়ক্রমে বসা, গ) এলোমেলোভাবে দিক পরিবর্তন করা, ঘ) ছন্দ বজায় রাখা</v>
      </c>
      <c r="M48" s="4" t="str">
        <f>IFERROR(__xludf.DUMMYFUNCTION("GOOGLETRANSLATE(D48, ""en"", ""bn"")"),"গ) এলোমেলোভাবে দিক পরিবর্তন করা")</f>
        <v>গ) এলোমেলোভাবে দিক পরিবর্তন করা</v>
      </c>
      <c r="N48" s="4" t="str">
        <f>IFERROR(__xludf.DUMMYFUNCTION("GOOGLETRANSLATE(E48, ""en"", ""bn"")"),"পাশ পরিবর্তন করলে এলোমেলোভাবে ভারসাম্য নষ্ট হয় এবং নৌকার গতি ধীর হয়ে যেতে পারে।")</f>
        <v>পাশ পরিবর্তন করলে এলোমেলোভাবে ভারসাম্য নষ্ট হয় এবং নৌকার গতি ধীর হয়ে যেতে পারে।</v>
      </c>
    </row>
    <row r="49">
      <c r="A49" s="3">
        <v>48.0</v>
      </c>
      <c r="B49" s="3" t="s">
        <v>2483</v>
      </c>
      <c r="C49" s="3" t="s">
        <v>2484</v>
      </c>
      <c r="D49" s="3" t="s">
        <v>2250</v>
      </c>
      <c r="E49" s="3" t="s">
        <v>2485</v>
      </c>
      <c r="J49" s="4" t="str">
        <f>IFERROR(__xludf.DUMMYFUNCTION("GOOGLETRANSLATE(A49, ""en"", ""bn"")"),"৪৮")</f>
        <v>৪৮</v>
      </c>
      <c r="K49" s="4" t="str">
        <f>IFERROR(__xludf.DUMMYFUNCTION("GOOGLETRANSLATE(B49, ""en"", ""bn"")"),"নৌকা বাইচে, যদি কোনও নৌকা শেষ করতে না পারে তাহলে কী হবে?")</f>
        <v>নৌকা বাইচে, যদি কোনও নৌকা শেষ করতে না পারে তাহলে কী হবে?</v>
      </c>
      <c r="L49" s="4" t="str">
        <f>IFERROR(__xludf.DUMMYFUNCTION("GOOGLETRANSLATE(C49, ""en"", ""bn"")"),"ক) পুনঃসূচনা অনুমোদিত, খ) অযোগ্য ঘোষণা, গ) সময় জরিমানা, ঘ) সর্বশেষে রাখা হয়েছে")</f>
        <v>ক) পুনঃসূচনা অনুমোদিত, খ) অযোগ্য ঘোষণা, গ) সময় জরিমানা, ঘ) সর্বশেষে রাখা হয়েছে</v>
      </c>
      <c r="M49" s="4" t="str">
        <f>IFERROR(__xludf.DUMMYFUNCTION("GOOGLETRANSLATE(D49, ""en"", ""bn"")"),"খ) অযোগ্য ঘোষণা")</f>
        <v>খ) অযোগ্য ঘোষণা</v>
      </c>
      <c r="N49" s="4" t="str">
        <f>IFERROR(__xludf.DUMMYFUNCTION("GOOGLETRANSLATE(E49, ""en"", ""bn"")"),"যে নৌকাগুলি কোর্সটি সম্পূর্ণ করতে অক্ষম হবে তাদের দৌড় থেকে অযোগ্য ঘোষণা করা হবে।")</f>
        <v>যে নৌকাগুলি কোর্সটি সম্পূর্ণ করতে অক্ষম হবে তাদের দৌড় থেকে অযোগ্য ঘোষণা করা হবে।</v>
      </c>
    </row>
    <row r="50">
      <c r="A50" s="3">
        <v>49.0</v>
      </c>
      <c r="B50" s="3" t="s">
        <v>2486</v>
      </c>
      <c r="C50" s="3" t="s">
        <v>2487</v>
      </c>
      <c r="D50" s="3" t="s">
        <v>2488</v>
      </c>
      <c r="E50" s="3" t="s">
        <v>2489</v>
      </c>
      <c r="J50" s="4" t="str">
        <f>IFERROR(__xludf.DUMMYFUNCTION("GOOGLETRANSLATE(A50, ""en"", ""bn"")"),"৪৯")</f>
        <v>৪৯</v>
      </c>
      <c r="K50" s="4" t="str">
        <f>IFERROR(__xludf.DUMMYFUNCTION("GOOGLETRANSLATE(B50, ""en"", ""bn"")"),"নওকা বাইচ দলের জন্য একটি গুরুত্বপূর্ণ প্রয়োজনীয়তা কী?")</f>
        <v>নওকা বাইচ দলের জন্য একটি গুরুত্বপূর্ণ প্রয়োজনীয়তা কী?</v>
      </c>
      <c r="L50" s="4" t="str">
        <f>IFERROR(__xludf.DUMMYFUNCTION("GOOGLETRANSLATE(C50, ""en"", ""bn"")"),"ক) ইউনিফর্ম, খ) অনন্য প্যাডেল, গ) নৌকার রঙ, ঘ) সমান দক্ষতার স্তর")</f>
        <v>ক) ইউনিফর্ম, খ) অনন্য প্যাডেল, গ) নৌকার রঙ, ঘ) সমান দক্ষতার স্তর</v>
      </c>
      <c r="M50" s="4" t="str">
        <f>IFERROR(__xludf.DUMMYFUNCTION("GOOGLETRANSLATE(D50, ""en"", ""bn"")"),"ঘ) সমান দক্ষতার স্তর")</f>
        <v>ঘ) সমান দক্ষতার স্তর</v>
      </c>
      <c r="N50" s="4" t="str">
        <f>IFERROR(__xludf.DUMMYFUNCTION("GOOGLETRANSLATE(E50, ""en"", ""bn"")"),"সুষ্ঠু প্রতিযোগিতার জন্য দলগুলিকে প্রায়শই একই দক্ষতার স্তরের রোয়ারদের প্রয়োজন হয়।")</f>
        <v>সুষ্ঠু প্রতিযোগিতার জন্য দলগুলিকে প্রায়শই একই দক্ষতার স্তরের রোয়ারদের প্রয়োজন হয়।</v>
      </c>
    </row>
    <row r="51">
      <c r="A51" s="3">
        <v>50.0</v>
      </c>
      <c r="B51" s="3" t="s">
        <v>2490</v>
      </c>
      <c r="C51" s="3" t="s">
        <v>2491</v>
      </c>
      <c r="D51" s="3" t="s">
        <v>2492</v>
      </c>
      <c r="E51" s="3" t="s">
        <v>2493</v>
      </c>
      <c r="J51" s="4" t="str">
        <f>IFERROR(__xludf.DUMMYFUNCTION("GOOGLETRANSLATE(A51, ""en"", ""bn"")"),"৫০")</f>
        <v>৫০</v>
      </c>
      <c r="K51" s="4" t="str">
        <f>IFERROR(__xludf.DUMMYFUNCTION("GOOGLETRANSLATE(B51, ""en"", ""bn"")"),"নৌকা বাইচে, সরু নৌকার সুবিধা কী?")</f>
        <v>নৌকা বাইচে, সরু নৌকার সুবিধা কী?</v>
      </c>
      <c r="L51" s="4" t="str">
        <f>IFERROR(__xludf.DUMMYFUNCTION("GOOGLETRANSLATE(C51, ""en"", ""bn"")"),"ক) স্থিতিশীলতা, খ) দ্রুত গতি, গ) সহজ স্টিয়ারিং, ঘ) বৃহত্তর ক্ষমতা")</f>
        <v>ক) স্থিতিশীলতা, খ) দ্রুত গতি, গ) সহজ স্টিয়ারিং, ঘ) বৃহত্তর ক্ষমতা</v>
      </c>
      <c r="M51" s="4" t="str">
        <f>IFERROR(__xludf.DUMMYFUNCTION("GOOGLETRANSLATE(D51, ""en"", ""bn"")"),"খ) দ্রুত গতি")</f>
        <v>খ) দ্রুত গতি</v>
      </c>
      <c r="N51" s="4" t="str">
        <f>IFERROR(__xludf.DUMMYFUNCTION("GOOGLETRANSLATE(E51, ""en"", ""bn"")"),"সংকীর্ণ নৌকাগুলি কম জল প্রতিরোধ ক্ষমতা তৈরি করে, যা বেশি গতির সুযোগ দেয়।")</f>
        <v>সংকীর্ণ নৌকাগুলি কম জল প্রতিরোধ ক্ষমতা তৈরি করে, যা বেশি গতির সুযোগ দেয়।</v>
      </c>
    </row>
    <row r="52">
      <c r="A52" s="3">
        <v>51.0</v>
      </c>
      <c r="B52" s="3" t="s">
        <v>2494</v>
      </c>
      <c r="C52" s="3" t="s">
        <v>2495</v>
      </c>
      <c r="D52" s="3" t="s">
        <v>2176</v>
      </c>
      <c r="E52" s="3" t="s">
        <v>2496</v>
      </c>
      <c r="J52" s="4" t="str">
        <f>IFERROR(__xludf.DUMMYFUNCTION("GOOGLETRANSLATE(A52, ""en"", ""bn"")"),"৫১")</f>
        <v>৫১</v>
      </c>
      <c r="K52" s="4" t="str">
        <f>IFERROR(__xludf.DUMMYFUNCTION("GOOGLETRANSLATE(B52, ""en"", ""bn"")"),"অন্য দলের ছন্দ নষ্ট করার শাস্তি কী?")</f>
        <v>অন্য দলের ছন্দ নষ্ট করার শাস্তি কী?</v>
      </c>
      <c r="L52" s="4" t="str">
        <f>IFERROR(__xludf.DUMMYFUNCTION("GOOGLETRANSLATE(C52, ""en"", ""bn"")"),"ক) দৌড় পুনরায় শুরু করা, খ) অযোগ্যতা, গ) সতর্কতা, ঘ) নৌকা প্রতিস্থাপন")</f>
        <v>ক) দৌড় পুনরায় শুরু করা, খ) অযোগ্যতা, গ) সতর্কতা, ঘ) নৌকা প্রতিস্থাপন</v>
      </c>
      <c r="M52" s="4" t="str">
        <f>IFERROR(__xludf.DUMMYFUNCTION("GOOGLETRANSLATE(D52, ""en"", ""bn"")"),"খ) অযোগ্যতা")</f>
        <v>খ) অযোগ্যতা</v>
      </c>
      <c r="N52" s="4" t="str">
        <f>IFERROR(__xludf.DUMMYFUNCTION("GOOGLETRANSLATE(E52, ""en"", ""bn"")"),"অন্য দলের ছন্দে ইচ্ছাকৃত হস্তক্ষেপের ফলে অযোগ্যতা ঘোষণা করা হয়।")</f>
        <v>অন্য দলের ছন্দে ইচ্ছাকৃত হস্তক্ষেপের ফলে অযোগ্যতা ঘোষণা করা হয়।</v>
      </c>
    </row>
    <row r="53">
      <c r="A53" s="3">
        <v>52.0</v>
      </c>
      <c r="B53" s="3" t="s">
        <v>2497</v>
      </c>
      <c r="C53" s="3" t="s">
        <v>2498</v>
      </c>
      <c r="D53" s="3" t="s">
        <v>2499</v>
      </c>
      <c r="E53" s="3" t="s">
        <v>2500</v>
      </c>
      <c r="J53" s="4" t="str">
        <f>IFERROR(__xludf.DUMMYFUNCTION("GOOGLETRANSLATE(A53, ""en"", ""bn"")"),"৫২")</f>
        <v>৫২</v>
      </c>
      <c r="K53" s="4" t="str">
        <f>IFERROR(__xludf.DUMMYFUNCTION("GOOGLETRANSLATE(B53, ""en"", ""bn"")"),"নৌকা বাইচে রোয়াররা কীভাবে ফোস্কা থেকে রক্ষা করে?")</f>
        <v>নৌকা বাইচে রোয়াররা কীভাবে ফোস্কা থেকে রক্ষা করে?</v>
      </c>
      <c r="L53" s="4" t="str">
        <f>IFERROR(__xludf.DUMMYFUNCTION("GOOGLETRANSLATE(C53, ""en"", ""bn"")"),"ক) গ্লাভস পরা, খ) প্যাডিং ব্যবহার করা, গ) তেল লাগানো, ঘ) হালকাভাবে আঁকড়ে ধরা")</f>
        <v>ক) গ্লাভস পরা, খ) প্যাডিং ব্যবহার করা, গ) তেল লাগানো, ঘ) হালকাভাবে আঁকড়ে ধরা</v>
      </c>
      <c r="M53" s="4" t="str">
        <f>IFERROR(__xludf.DUMMYFUNCTION("GOOGLETRANSLATE(D53, ""en"", ""bn"")"),"ক) গ্লাভস পরা")</f>
        <v>ক) গ্লাভস পরা</v>
      </c>
      <c r="N53" s="4" t="str">
        <f>IFERROR(__xludf.DUMMYFUNCTION("GOOGLETRANSLATE(E53, ""en"", ""bn"")"),"অনেক নৌকাচালক ক্রমাগত প্যাডেল চালানোর সময় ফোসকা পড়া রোধ করার জন্য গ্লাভস পরেন।")</f>
        <v>অনেক নৌকাচালক ক্রমাগত প্যাডেল চালানোর সময় ফোসকা পড়া রোধ করার জন্য গ্লাভস পরেন।</v>
      </c>
    </row>
    <row r="54">
      <c r="A54" s="3">
        <v>53.0</v>
      </c>
      <c r="B54" s="3" t="s">
        <v>2501</v>
      </c>
      <c r="C54" s="3" t="s">
        <v>2502</v>
      </c>
      <c r="D54" s="3" t="s">
        <v>2503</v>
      </c>
      <c r="E54" s="3" t="s">
        <v>2504</v>
      </c>
      <c r="J54" s="4" t="str">
        <f>IFERROR(__xludf.DUMMYFUNCTION("GOOGLETRANSLATE(A54, ""en"", ""bn"")"),"৫৩")</f>
        <v>৫৩</v>
      </c>
      <c r="K54" s="4" t="str">
        <f>IFERROR(__xludf.DUMMYFUNCTION("GOOGLETRANSLATE(B54, ""en"", ""bn"")"),"নৌকা বাইচ দৌড়ে মূল লক্ষ্য কী?")</f>
        <v>নৌকা বাইচ দৌড়ে মূল লক্ষ্য কী?</v>
      </c>
      <c r="L54" s="4" t="str">
        <f>IFERROR(__xludf.DUMMYFUNCTION("GOOGLETRANSLATE(C54, ""en"", ""bn"")"),"ক) শান্তভাবে প্যাডেল চালাও, খ) গন্তব্যে পৌঁছাও, গ) অন্যান্য দলকে পরাজিত করো, ঘ) টিপিং এড়িয়ে চলো")</f>
        <v>ক) শান্তভাবে প্যাডেল চালাও, খ) গন্তব্যে পৌঁছাও, গ) অন্যান্য দলকে পরাজিত করো, ঘ) টিপিং এড়িয়ে চলো</v>
      </c>
      <c r="M54" s="4" t="str">
        <f>IFERROR(__xludf.DUMMYFUNCTION("GOOGLETRANSLATE(D54, ""en"", ""bn"")"),"গ) অন্যান্য দলকে পরাজিত করুন")</f>
        <v>গ) অন্যান্য দলকে পরাজিত করুন</v>
      </c>
      <c r="N54" s="4" t="str">
        <f>IFERROR(__xludf.DUMMYFUNCTION("GOOGLETRANSLATE(E54, ""en"", ""bn"")"),"মূল লক্ষ্য হল প্রথমে শেষ রেখায় পৌঁছে অন্যান্য দলকে পরাজিত করা।")</f>
        <v>মূল লক্ষ্য হল প্রথমে শেষ রেখায় পৌঁছে অন্যান্য দলকে পরাজিত করা।</v>
      </c>
    </row>
    <row r="55">
      <c r="A55" s="3">
        <v>54.0</v>
      </c>
      <c r="B55" s="3" t="s">
        <v>2505</v>
      </c>
      <c r="C55" s="3" t="s">
        <v>2506</v>
      </c>
      <c r="D55" s="3" t="s">
        <v>2507</v>
      </c>
      <c r="E55" s="3" t="s">
        <v>2508</v>
      </c>
      <c r="J55" s="4" t="str">
        <f>IFERROR(__xludf.DUMMYFUNCTION("GOOGLETRANSLATE(A55, ""en"", ""bn"")"),"৫৪")</f>
        <v>৫৪</v>
      </c>
      <c r="K55" s="4" t="str">
        <f>IFERROR(__xludf.DUMMYFUNCTION("GOOGLETRANSLATE(B55, ""en"", ""bn"")"),"নৌকা বাইচ রোয়ারদের জন্য কোন সরঞ্জামগুলি অপরিহার্য?")</f>
        <v>নৌকা বাইচ রোয়ারদের জন্য কোন সরঞ্জামগুলি অপরিহার্য?</v>
      </c>
      <c r="L55" s="4" t="str">
        <f>IFERROR(__xludf.DUMMYFUNCTION("GOOGLETRANSLATE(C55, ""en"", ""bn"")"),"ক) লাইফ জ্যাকেট, খ) প্যাডেল, গ) অ্যাঙ্কর, ঘ) হেলমেট")</f>
        <v>ক) লাইফ জ্যাকেট, খ) প্যাডেল, গ) অ্যাঙ্কর, ঘ) হেলমেট</v>
      </c>
      <c r="M55" s="4" t="str">
        <f>IFERROR(__xludf.DUMMYFUNCTION("GOOGLETRANSLATE(D55, ""en"", ""bn"")"),"খ) প্যাডেল")</f>
        <v>খ) প্যাডেল</v>
      </c>
      <c r="N55" s="4" t="str">
        <f>IFERROR(__xludf.DUMMYFUNCTION("GOOGLETRANSLATE(E55, ""en"", ""bn"")"),"প্যাডেলগুলি অত্যন্ত গুরুত্বপূর্ণ কারণ এগুলি নৌকা চালকদের নৌকা চালাতে এবং পরিচালনা করতে সাহায্য করে।")</f>
        <v>প্যাডেলগুলি অত্যন্ত গুরুত্বপূর্ণ কারণ এগুলি নৌকা চালকদের নৌকা চালাতে এবং পরিচালনা করতে সাহায্য করে।</v>
      </c>
    </row>
    <row r="56">
      <c r="A56" s="3">
        <v>55.0</v>
      </c>
      <c r="B56" s="3" t="s">
        <v>2509</v>
      </c>
      <c r="C56" s="3" t="s">
        <v>2510</v>
      </c>
      <c r="D56" s="3" t="s">
        <v>2511</v>
      </c>
      <c r="E56" s="3" t="s">
        <v>2512</v>
      </c>
      <c r="J56" s="4" t="str">
        <f>IFERROR(__xludf.DUMMYFUNCTION("GOOGLETRANSLATE(A56, ""en"", ""bn"")"),"৫৫")</f>
        <v>৫৫</v>
      </c>
      <c r="K56" s="4" t="str">
        <f>IFERROR(__xludf.DUMMYFUNCTION("GOOGLETRANSLATE(B56, ""en"", ""bn"")"),"নৌকা বাইচের রোয়ার্সদের দৌড়ের সময় কী এড়ানো উচিত?")</f>
        <v>নৌকা বাইচের রোয়ার্সদের দৌড়ের সময় কী এড়ানো উচিত?</v>
      </c>
      <c r="L56" s="4" t="str">
        <f>IFERROR(__xludf.DUMMYFUNCTION("GOOGLETRANSLATE(C56, ""en"", ""bn"")"),"ক) দ্রুত প্যাডেল চালানো, খ) ধীর গতিতে চলা, গ) চিৎকার করা, ঘ) আসন পরিবর্তন করা")</f>
        <v>ক) দ্রুত প্যাডেল চালানো, খ) ধীর গতিতে চলা, গ) চিৎকার করা, ঘ) আসন পরিবর্তন করা</v>
      </c>
      <c r="M56" s="4" t="str">
        <f>IFERROR(__xludf.DUMMYFUNCTION("GOOGLETRANSLATE(D56, ""en"", ""bn"")"),"ঘ) আসন পরিবর্তন")</f>
        <v>ঘ) আসন পরিবর্তন</v>
      </c>
      <c r="N56" s="4" t="str">
        <f>IFERROR(__xludf.DUMMYFUNCTION("GOOGLETRANSLATE(E56, ""en"", ""bn"")"),"দৌড়ের সময় আসন পরিবর্তন করলে ভারসাম্যহীনতা দেখা দিতে পারে এবং গতি কমে যেতে পারে।")</f>
        <v>দৌড়ের সময় আসন পরিবর্তন করলে ভারসাম্যহীনতা দেখা দিতে পারে এবং গতি কমে যেতে পারে।</v>
      </c>
    </row>
    <row r="57">
      <c r="A57" s="3">
        <v>56.0</v>
      </c>
      <c r="B57" s="3" t="s">
        <v>2513</v>
      </c>
      <c r="C57" s="3" t="s">
        <v>2514</v>
      </c>
      <c r="D57" s="3" t="s">
        <v>2515</v>
      </c>
      <c r="E57" s="3" t="s">
        <v>2516</v>
      </c>
      <c r="J57" s="4" t="str">
        <f>IFERROR(__xludf.DUMMYFUNCTION("GOOGLETRANSLATE(A57, ""en"", ""bn"")"),"৫৬")</f>
        <v>৫৬</v>
      </c>
      <c r="K57" s="4" t="str">
        <f>IFERROR(__xludf.DUMMYFUNCTION("GOOGLETRANSLATE(B57, ""en"", ""bn"")"),"নৌকা বাইচ রোয়ারদের মধ্যে কোন গুণটি সবচেয়ে বেশি মূল্যবান?")</f>
        <v>নৌকা বাইচ রোয়ারদের মধ্যে কোন গুণটি সবচেয়ে বেশি মূল্যবান?</v>
      </c>
      <c r="L57" s="4" t="str">
        <f>IFERROR(__xludf.DUMMYFUNCTION("GOOGLETRANSLATE(C57, ""en"", ""bn"")"),"ক) ব্যক্তিগত গতি, খ) উচ্চতা, গ) দলগত কাজ, ঘ) নৌকার রঙ")</f>
        <v>ক) ব্যক্তিগত গতি, খ) উচ্চতা, গ) দলগত কাজ, ঘ) নৌকার রঙ</v>
      </c>
      <c r="M57" s="4" t="str">
        <f>IFERROR(__xludf.DUMMYFUNCTION("GOOGLETRANSLATE(D57, ""en"", ""bn"")"),"গ) দলবদ্ধভাবে কাজ করা")</f>
        <v>গ) দলবদ্ধভাবে কাজ করা</v>
      </c>
      <c r="N57" s="4" t="str">
        <f>IFERROR(__xludf.DUMMYFUNCTION("GOOGLETRANSLATE(E57, ""en"", ""bn"")"),"দলগত কাজ অপরিহার্য, কারণ সিঙ্ক্রোনাইজড প্যাডলিং নৌকার গতি বাড়ায়।")</f>
        <v>দলগত কাজ অপরিহার্য, কারণ সিঙ্ক্রোনাইজড প্যাডলিং নৌকার গতি বাড়ায়।</v>
      </c>
    </row>
    <row r="58">
      <c r="A58" s="3">
        <v>57.0</v>
      </c>
      <c r="B58" s="3" t="s">
        <v>2517</v>
      </c>
      <c r="C58" s="3" t="s">
        <v>2518</v>
      </c>
      <c r="D58" s="3" t="s">
        <v>2519</v>
      </c>
      <c r="E58" s="3" t="s">
        <v>2520</v>
      </c>
      <c r="J58" s="4" t="str">
        <f>IFERROR(__xludf.DUMMYFUNCTION("GOOGLETRANSLATE(A58, ""en"", ""bn"")"),"৫৭")</f>
        <v>৫৭</v>
      </c>
      <c r="K58" s="4" t="str">
        <f>IFERROR(__xludf.DUMMYFUNCTION("GOOGLETRANSLATE(B58, ""en"", ""bn"")"),"নৌকা বাইচ দৌড়ে সাধারণত কতটি প্রতিযোগী নৌকা থাকে?")</f>
        <v>নৌকা বাইচ দৌড়ে সাধারণত কতটি প্রতিযোগী নৌকা থাকে?</v>
      </c>
      <c r="L58" s="4" t="str">
        <f>IFERROR(__xludf.DUMMYFUNCTION("GOOGLETRANSLATE(C58, ""en"", ""bn"")"),"ক) ২-৫, খ) ৫-১০, গ) ১০-১৫, ঘ) ১৫-২০")</f>
        <v>ক) ২-৫, খ) ৫-১০, গ) ১০-১৫, ঘ) ১৫-২০</v>
      </c>
      <c r="M58" s="4" t="str">
        <f>IFERROR(__xludf.DUMMYFUNCTION("GOOGLETRANSLATE(D58, ""en"", ""bn"")"),"খ) ৫-১০")</f>
        <v>খ) ৫-১০</v>
      </c>
      <c r="N58" s="4" t="str">
        <f>IFERROR(__xludf.DUMMYFUNCTION("GOOGLETRANSLATE(E58, ""en"", ""bn"")"),"নোকা বাইচের উত্তেজনা বাড়ানোর জন্য প্রায়শই একাধিক নৌকা প্রতিযোগিতা করে।")</f>
        <v>নোকা বাইচের উত্তেজনা বাড়ানোর জন্য প্রায়শই একাধিক নৌকা প্রতিযোগিতা করে।</v>
      </c>
    </row>
    <row r="59">
      <c r="A59" s="3">
        <v>58.0</v>
      </c>
      <c r="B59" s="3" t="s">
        <v>2521</v>
      </c>
      <c r="C59" s="3" t="s">
        <v>2522</v>
      </c>
      <c r="D59" s="3" t="s">
        <v>2523</v>
      </c>
      <c r="E59" s="3" t="s">
        <v>2524</v>
      </c>
      <c r="J59" s="4" t="str">
        <f>IFERROR(__xludf.DUMMYFUNCTION("GOOGLETRANSLATE(A59, ""en"", ""bn"")"),"৫৮")</f>
        <v>৫৮</v>
      </c>
      <c r="K59" s="4" t="str">
        <f>IFERROR(__xludf.DUMMYFUNCTION("GOOGLETRANSLATE(B59, ""en"", ""bn"")"),"সোজা পথ নিশ্চিত করার জন্য নৌকাচালকদের কী করা উচিত?")</f>
        <v>সোজা পথ নিশ্চিত করার জন্য নৌকাচালকদের কী করা উচিত?</v>
      </c>
      <c r="L59" s="4" t="str">
        <f>IFERROR(__xludf.DUMMYFUNCTION("GOOGLETRANSLATE(C59, ""en"", ""bn"")"),"ক) সমানভাবে প্যাডেল চালাও, খ) লেন পরিবর্তন করো, গ) স্থির হয়ে বসো, ঘ) পাশ পরিবর্তন করো")</f>
        <v>ক) সমানভাবে প্যাডেল চালাও, খ) লেন পরিবর্তন করো, গ) স্থির হয়ে বসো, ঘ) পাশ পরিবর্তন করো</v>
      </c>
      <c r="M59" s="4" t="str">
        <f>IFERROR(__xludf.DUMMYFUNCTION("GOOGLETRANSLATE(D59, ""en"", ""bn"")"),"ক) সমানভাবে প্যাডেল করুন")</f>
        <v>ক) সমানভাবে প্যাডেল করুন</v>
      </c>
      <c r="N59" s="4" t="str">
        <f>IFERROR(__xludf.DUMMYFUNCTION("GOOGLETRANSLATE(E59, ""en"", ""bn"")"),"নৌকাটিকে সোজা ফিনিশের দিকে এগিয়ে নিয়ে যাওয়ার জন্য, নৌকাচালকদের সমানভাবে প্যাডেল চালাতে হবে।")</f>
        <v>নৌকাটিকে সোজা ফিনিশের দিকে এগিয়ে নিয়ে যাওয়ার জন্য, নৌকাচালকদের সমানভাবে প্যাডেল চালাতে হবে।</v>
      </c>
    </row>
    <row r="60">
      <c r="A60" s="3">
        <v>59.0</v>
      </c>
      <c r="B60" s="3" t="s">
        <v>2525</v>
      </c>
      <c r="C60" s="3" t="s">
        <v>2526</v>
      </c>
      <c r="D60" s="3" t="s">
        <v>2527</v>
      </c>
      <c r="E60" s="3" t="s">
        <v>2528</v>
      </c>
      <c r="J60" s="4" t="str">
        <f>IFERROR(__xludf.DUMMYFUNCTION("GOOGLETRANSLATE(A60, ""en"", ""bn"")"),"৫৯")</f>
        <v>৫৯</v>
      </c>
      <c r="K60" s="4" t="str">
        <f>IFERROR(__xludf.DUMMYFUNCTION("GOOGLETRANSLATE(B60, ""en"", ""bn"")"),"একটি নৌকা বাইচ নৌকায় সর্বোচ্চ কত সংখ্যক নৌকাচালক থাকতে পারবেন?")</f>
        <v>একটি নৌকা বাইচ নৌকায় সর্বোচ্চ কত সংখ্যক নৌকাচালক থাকতে পারবেন?</v>
      </c>
      <c r="L60" s="4" t="str">
        <f>IFERROR(__xludf.DUMMYFUNCTION("GOOGLETRANSLATE(C60, ""en"", ""bn"")"),"ক) ১০, খ) ২০, গ) ২৫, ঘ) ৩০")</f>
        <v>ক) ১০, খ) ২০, গ) ২৫, ঘ) ৩০</v>
      </c>
      <c r="M60" s="4" t="str">
        <f>IFERROR(__xludf.DUMMYFUNCTION("GOOGLETRANSLATE(D60, ""en"", ""bn"")"),"ঘ) ৩০")</f>
        <v>ঘ) ৩০</v>
      </c>
      <c r="N60" s="4" t="str">
        <f>IFERROR(__xludf.DUMMYFUNCTION("GOOGLETRANSLATE(E60, ""en"", ""bn"")"),"নৌকা বাইচের বৃহত্তর নৌকাগুলি উন্নত গতি এবং শক্তির জন্য 30 জন পর্যন্ত রোয়ার ধারণ করতে পারে।")</f>
        <v>নৌকা বাইচের বৃহত্তর নৌকাগুলি উন্নত গতি এবং শক্তির জন্য 30 জন পর্যন্ত রোয়ার ধারণ করতে পারে।</v>
      </c>
    </row>
    <row r="61">
      <c r="A61" s="3">
        <v>60.0</v>
      </c>
      <c r="B61" s="3" t="s">
        <v>2529</v>
      </c>
      <c r="C61" s="3" t="s">
        <v>2530</v>
      </c>
      <c r="D61" s="3" t="s">
        <v>2531</v>
      </c>
      <c r="E61" s="3" t="s">
        <v>2532</v>
      </c>
      <c r="J61" s="4" t="str">
        <f>IFERROR(__xludf.DUMMYFUNCTION("GOOGLETRANSLATE(A61, ""en"", ""bn"")"),"৬০")</f>
        <v>৬০</v>
      </c>
      <c r="K61" s="4" t="str">
        <f>IFERROR(__xludf.DUMMYFUNCTION("GOOGLETRANSLATE(B61, ""en"", ""bn"")"),"নৌকা বাইচে প্যাডলিং গতি নির্ধারণের জন্য কোন ভূমিকা অপরিহার্য?")</f>
        <v>নৌকা বাইচে প্যাডলিং গতি নির্ধারণের জন্য কোন ভূমিকা অপরিহার্য?</v>
      </c>
      <c r="L61" s="4" t="str">
        <f>IFERROR(__xludf.DUMMYFUNCTION("GOOGLETRANSLATE(C61, ""en"", ""bn"")"),"ক) ক্যাপ্টেন, খ) লিড রোয়ার, গ) ড্রামার, ঘ) কক্সওয়াইন")</f>
        <v>ক) ক্যাপ্টেন, খ) লিড রোয়ার, গ) ড্রামার, ঘ) কক্সওয়াইন</v>
      </c>
      <c r="M61" s="4" t="str">
        <f>IFERROR(__xludf.DUMMYFUNCTION("GOOGLETRANSLATE(D61, ""en"", ""bn"")"),"গ) ঢাকি")</f>
        <v>গ) ঢাকি</v>
      </c>
      <c r="N61" s="4" t="str">
        <f>IFERROR(__xludf.DUMMYFUNCTION("GOOGLETRANSLATE(E61, ""en"", ""bn"")"),"ড্রামার ছন্দ নির্ধারণ করে, রোয়ারদের তাদের স্ট্রোকগুলিকে সুসংগত করতে সাহায্য করে।")</f>
        <v>ড্রামার ছন্দ নির্ধারণ করে, রোয়ারদের তাদের স্ট্রোকগুলিকে সুসংগত করতে সাহায্য করে।</v>
      </c>
    </row>
    <row r="62">
      <c r="A62" s="3">
        <v>61.0</v>
      </c>
      <c r="B62" s="3" t="s">
        <v>2533</v>
      </c>
      <c r="C62" s="3" t="s">
        <v>2534</v>
      </c>
      <c r="D62" s="3" t="s">
        <v>2535</v>
      </c>
      <c r="E62" s="3" t="s">
        <v>2536</v>
      </c>
      <c r="J62" s="4" t="str">
        <f>IFERROR(__xludf.DUMMYFUNCTION("GOOGLETRANSLATE(A62, ""en"", ""bn"")"),"৬১")</f>
        <v>৬১</v>
      </c>
      <c r="K62" s="4" t="str">
        <f>IFERROR(__xludf.DUMMYFUNCTION("GOOGLETRANSLATE(B62, ""en"", ""bn"")"),"নৌকা বাইচে দৌড় শুরু হওয়ার আগে সমস্ত নৌকাকে কী করতে হবে?")</f>
        <v>নৌকা বাইচে দৌড় শুরু হওয়ার আগে সমস্ত নৌকাকে কী করতে হবে?</v>
      </c>
      <c r="L62" s="4" t="str">
        <f>IFERROR(__xludf.DUMMYFUNCTION("GOOGLETRANSLATE(C62, ""en"", ""bn"")"),"ক) শুরুতে সারিবদ্ধ হও, খ) নদীকে বৃত্তাকারে দেখাও, গ) পিছনের দিকে সারিবদ্ধ হও, ঘ) নদীর মাঝখানে নোঙর করো")</f>
        <v>ক) শুরুতে সারিবদ্ধ হও, খ) নদীকে বৃত্তাকারে দেখাও, গ) পিছনের দিকে সারিবদ্ধ হও, ঘ) নদীর মাঝখানে নোঙর করো</v>
      </c>
      <c r="M62" s="4" t="str">
        <f>IFERROR(__xludf.DUMMYFUNCTION("GOOGLETRANSLATE(D62, ""en"", ""bn"")"),"ক) শুরুতেই লাইনে দাঁড়ান")</f>
        <v>ক) শুরুতেই লাইনে দাঁড়ান</v>
      </c>
      <c r="N62" s="4" t="str">
        <f>IFERROR(__xludf.DUMMYFUNCTION("GOOGLETRANSLATE(E62, ""en"", ""bn"")"),"একটি সুষ্ঠু দৌড় নিশ্চিত করার জন্য নৌকাগুলিকে শুরুর স্থানে সঠিকভাবে লাইনে দাঁড়াতে হবে।")</f>
        <v>একটি সুষ্ঠু দৌড় নিশ্চিত করার জন্য নৌকাগুলিকে শুরুর স্থানে সঠিকভাবে লাইনে দাঁড়াতে হবে।</v>
      </c>
    </row>
    <row r="63">
      <c r="A63" s="3">
        <v>62.0</v>
      </c>
      <c r="B63" s="3" t="s">
        <v>2537</v>
      </c>
      <c r="C63" s="3" t="s">
        <v>2538</v>
      </c>
      <c r="D63" s="3" t="s">
        <v>1614</v>
      </c>
      <c r="E63" s="3" t="s">
        <v>2539</v>
      </c>
      <c r="J63" s="4" t="str">
        <f>IFERROR(__xludf.DUMMYFUNCTION("GOOGLETRANSLATE(A63, ""en"", ""bn"")"),"৬২")</f>
        <v>৬২</v>
      </c>
      <c r="K63" s="4" t="str">
        <f>IFERROR(__xludf.DUMMYFUNCTION("GOOGLETRANSLATE(B63, ""en"", ""bn"")"),"নৌকা বাইচে কোন কর্মকর্তা নিয়ম মেনে চলার উপর নজর রাখেন?")</f>
        <v>নৌকা বাইচে কোন কর্মকর্তা নিয়ম মেনে চলার উপর নজর রাখেন?</v>
      </c>
      <c r="L63" s="4" t="str">
        <f>IFERROR(__xludf.DUMMYFUNCTION("GOOGLETRANSLATE(C63, ""en"", ""bn"")"),"ক) দলের অধিনায়ক, খ) রেফারি, গ) ড্রামার, ঘ) দর্শক")</f>
        <v>ক) দলের অধিনায়ক, খ) রেফারি, গ) ড্রামার, ঘ) দর্শক</v>
      </c>
      <c r="M63" s="4" t="str">
        <f>IFERROR(__xludf.DUMMYFUNCTION("GOOGLETRANSLATE(D63, ""en"", ""bn"")"),"খ) রেফারি")</f>
        <v>খ) রেফারি</v>
      </c>
      <c r="N63" s="4" t="str">
        <f>IFERROR(__xludf.DUMMYFUNCTION("GOOGLETRANSLATE(E63, ""en"", ""bn"")"),"রেফারি নিশ্চিত করেন যে সমস্ত দল নিয়ম মেনে চলে এবং লঙ্ঘনের শাস্তি দেন।")</f>
        <v>রেফারি নিশ্চিত করেন যে সমস্ত দল নিয়ম মেনে চলে এবং লঙ্ঘনের শাস্তি দেন।</v>
      </c>
    </row>
    <row r="64">
      <c r="A64" s="3">
        <v>63.0</v>
      </c>
      <c r="B64" s="3" t="s">
        <v>2540</v>
      </c>
      <c r="C64" s="3" t="s">
        <v>2541</v>
      </c>
      <c r="D64" s="3" t="s">
        <v>238</v>
      </c>
      <c r="E64" s="3" t="s">
        <v>2542</v>
      </c>
      <c r="J64" s="4" t="str">
        <f>IFERROR(__xludf.DUMMYFUNCTION("GOOGLETRANSLATE(A64, ""en"", ""bn"")"),"৬৩")</f>
        <v>৬৩</v>
      </c>
      <c r="K64" s="4" t="str">
        <f>IFERROR(__xludf.DUMMYFUNCTION("GOOGLETRANSLATE(B64, ""en"", ""bn"")"),"নৌকা বাইচ দৌড় শুরু হওয়ার পর কী নিষিদ্ধ?")</f>
        <v>নৌকা বাইচ দৌড় শুরু হওয়ার পর কী নিষিদ্ধ?</v>
      </c>
      <c r="L64" s="4" t="str">
        <f>IFERROR(__xludf.DUMMYFUNCTION("GOOGLETRANSLATE(C64, ""en"", ""bn"")"),"ক) থামানো, খ) রোয়ার পরিবর্তন করা, গ) নৌকা পরিবর্তন করা, ঘ) উপরের সবগুলো")</f>
        <v>ক) থামানো, খ) রোয়ার পরিবর্তন করা, গ) নৌকা পরিবর্তন করা, ঘ) উপরের সবগুলো</v>
      </c>
      <c r="M64" s="4" t="str">
        <f>IFERROR(__xludf.DUMMYFUNCTION("GOOGLETRANSLATE(D64, ""en"", ""bn"")"),"ঘ) উপরের সবগুলো")</f>
        <v>ঘ) উপরের সবগুলো</v>
      </c>
      <c r="N64" s="4" t="str">
        <f>IFERROR(__xludf.DUMMYFUNCTION("GOOGLETRANSLATE(E64, ""en"", ""bn"")"),"দৌড়ের মাঝখানে রোয়ার বা নৌকা পরিবর্তন করা নিয়মের বিরুদ্ধে।")</f>
        <v>দৌড়ের মাঝখানে রোয়ার বা নৌকা পরিবর্তন করা নিয়মের বিরুদ্ধে।</v>
      </c>
    </row>
    <row r="65">
      <c r="A65" s="3">
        <v>64.0</v>
      </c>
      <c r="B65" s="3" t="s">
        <v>2543</v>
      </c>
      <c r="C65" s="3" t="s">
        <v>2544</v>
      </c>
      <c r="D65" s="3" t="s">
        <v>401</v>
      </c>
      <c r="E65" s="3" t="s">
        <v>2545</v>
      </c>
      <c r="J65" s="4" t="str">
        <f>IFERROR(__xludf.DUMMYFUNCTION("GOOGLETRANSLATE(A65, ""en"", ""bn"")"),"৬৪")</f>
        <v>৬৪</v>
      </c>
      <c r="K65" s="4" t="str">
        <f>IFERROR(__xludf.DUMMYFUNCTION("GOOGLETRANSLATE(B65, ""en"", ""bn"")"),"নৌকা বাইচে মিথ্যা শুরুর শাস্তি কীভাবে দেওয়া হয়?")</f>
        <v>নৌকা বাইচে মিথ্যা শুরুর শাস্তি কীভাবে দেওয়া হয়?</v>
      </c>
      <c r="L65" s="4" t="str">
        <f>IFERROR(__xludf.DUMMYFUNCTION("GOOGLETRANSLATE(C65, ""en"", ""bn"")"),"ক) সতর্কতা, খ) পুনঃসূচনা, গ) অযোগ্যতা, ঘ) অতিরিক্ত দূরত্ব")</f>
        <v>ক) সতর্কতা, খ) পুনঃসূচনা, গ) অযোগ্যতা, ঘ) অতিরিক্ত দূরত্ব</v>
      </c>
      <c r="M65" s="4" t="str">
        <f>IFERROR(__xludf.DUMMYFUNCTION("GOOGLETRANSLATE(D65, ""en"", ""bn"")"),"গ) অযোগ্যতা")</f>
        <v>গ) অযোগ্যতা</v>
      </c>
      <c r="N65" s="4" t="str">
        <f>IFERROR(__xludf.DUMMYFUNCTION("GOOGLETRANSLATE(E65, ""en"", ""bn"")"),"রেফারির সংকেতের আগে শুরু হওয়া যেকোনো নৌকা অযোগ্যতার সম্মুখীন হবে।")</f>
        <v>রেফারির সংকেতের আগে শুরু হওয়া যেকোনো নৌকা অযোগ্যতার সম্মুখীন হবে।</v>
      </c>
    </row>
    <row r="66">
      <c r="A66" s="3">
        <v>65.0</v>
      </c>
      <c r="B66" s="3" t="s">
        <v>2546</v>
      </c>
      <c r="C66" s="3" t="s">
        <v>2547</v>
      </c>
      <c r="D66" s="3" t="s">
        <v>2548</v>
      </c>
      <c r="E66" s="3" t="s">
        <v>2549</v>
      </c>
      <c r="J66" s="4" t="str">
        <f>IFERROR(__xludf.DUMMYFUNCTION("GOOGLETRANSLATE(A66, ""en"", ""bn"")"),"৬৫")</f>
        <v>৬৫</v>
      </c>
      <c r="K66" s="4" t="str">
        <f>IFERROR(__xludf.DUMMYFUNCTION("GOOGLETRANSLATE(B66, ""en"", ""bn"")"),"নৌকা বাইচ রোয়ারদের জন্য প্রাথমিক নিরাপত্তা নিয়ম কী?")</f>
        <v>নৌকা বাইচ রোয়ারদের জন্য প্রাথমিক নিরাপত্তা নিয়ম কী?</v>
      </c>
      <c r="L66" s="4" t="str">
        <f>IFERROR(__xludf.DUMMYFUNCTION("GOOGLETRANSLATE(C66, ""en"", ""bn"")"),"ক) সাঁতার কাটতে হবে, খ) উজ্জ্বল পোশাক পরতে হবে, গ) সংঘর্ষ এড়িয়ে চলতে হবে, ঘ) হেলমেট ব্যবহার করতে হবে")</f>
        <v>ক) সাঁতার কাটতে হবে, খ) উজ্জ্বল পোশাক পরতে হবে, গ) সংঘর্ষ এড়িয়ে চলতে হবে, ঘ) হেলমেট ব্যবহার করতে হবে</v>
      </c>
      <c r="M66" s="4" t="str">
        <f>IFERROR(__xludf.DUMMYFUNCTION("GOOGLETRANSLATE(D66, ""en"", ""bn"")"),"গ) সংঘর্ষ এড়িয়ে চলুন")</f>
        <v>গ) সংঘর্ষ এড়িয়ে চলুন</v>
      </c>
      <c r="N66" s="4" t="str">
        <f>IFERROR(__xludf.DUMMYFUNCTION("GOOGLETRANSLATE(E66, ""en"", ""bn"")"),"সংঘর্ষ এড়ানো নিরাপত্তা এবং ন্যায্যতার উভয়ই শর্ত।")</f>
        <v>সংঘর্ষ এড়ানো নিরাপত্তা এবং ন্যায্যতার উভয়ই শর্ত।</v>
      </c>
    </row>
    <row r="67">
      <c r="A67" s="3">
        <v>66.0</v>
      </c>
      <c r="B67" s="3" t="s">
        <v>2550</v>
      </c>
      <c r="C67" s="3" t="s">
        <v>2551</v>
      </c>
      <c r="D67" s="3" t="s">
        <v>2552</v>
      </c>
      <c r="E67" s="3" t="s">
        <v>2553</v>
      </c>
      <c r="J67" s="4" t="str">
        <f>IFERROR(__xludf.DUMMYFUNCTION("GOOGLETRANSLATE(A67, ""en"", ""bn"")"),"৬৬")</f>
        <v>৬৬</v>
      </c>
      <c r="K67" s="4" t="str">
        <f>IFERROR(__xludf.DUMMYFUNCTION("GOOGLETRANSLATE(B67, ""en"", ""bn"")"),"নৌকার কোন অংশটি জিততে হলে প্রথমে শেষ রেখা অতিক্রম করতে হবে?")</f>
        <v>নৌকার কোন অংশটি জিততে হলে প্রথমে শেষ রেখা অতিক্রম করতে হবে?</v>
      </c>
      <c r="L67" s="4" t="str">
        <f>IFERROR(__xludf.DUMMYFUNCTION("GOOGLETRANSLATE(C67, ""en"", ""bn"")"),"ক) সামনের, খ) পিছনের, গ) মাঝখানের, ঘ) যেকোনো অংশ")</f>
        <v>ক) সামনের, খ) পিছনের, গ) মাঝখানের, ঘ) যেকোনো অংশ</v>
      </c>
      <c r="M67" s="4" t="str">
        <f>IFERROR(__xludf.DUMMYFUNCTION("GOOGLETRANSLATE(D67, ""en"", ""bn"")"),"ক) সামনের দিক")</f>
        <v>ক) সামনের দিক</v>
      </c>
      <c r="N67" s="4" t="str">
        <f>IFERROR(__xludf.DUMMYFUNCTION("GOOGLETRANSLATE(E67, ""en"", ""bn"")"),"নৌকা পারাপারের সামনের দিক (ধনুক) প্রথমে বিজয়ী নির্ধারণ করে।")</f>
        <v>নৌকা পারাপারের সামনের দিক (ধনুক) প্রথমে বিজয়ী নির্ধারণ করে।</v>
      </c>
    </row>
    <row r="68">
      <c r="A68" s="3">
        <v>67.0</v>
      </c>
      <c r="B68" s="3" t="s">
        <v>2554</v>
      </c>
      <c r="C68" s="3" t="s">
        <v>2555</v>
      </c>
      <c r="D68" s="3" t="s">
        <v>2556</v>
      </c>
      <c r="E68" s="3" t="s">
        <v>2557</v>
      </c>
      <c r="J68" s="4" t="str">
        <f>IFERROR(__xludf.DUMMYFUNCTION("GOOGLETRANSLATE(A68, ""en"", ""bn"")"),"৬৭")</f>
        <v>৬৭</v>
      </c>
      <c r="K68" s="4" t="str">
        <f>IFERROR(__xludf.DUMMYFUNCTION("GOOGLETRANSLATE(B68, ""en"", ""bn"")"),"মিথ্যা স্ট্রোক প্রতিরোধ করার জন্য রোয়ারদের কী এড়ানো উচিত?")</f>
        <v>মিথ্যা স্ট্রোক প্রতিরোধ করার জন্য রোয়ারদের কী এড়ানো উচিত?</v>
      </c>
      <c r="L68" s="4" t="str">
        <f>IFERROR(__xludf.DUMMYFUNCTION("GOOGLETRANSLATE(C68, ""en"", ""bn"")"),"ক) ঢোল শোনা, খ) অন্যান্য দল দেখা, গ) ছন্দ অনুসরণ করা, ঘ) চিৎকার করা")</f>
        <v>ক) ঢোল শোনা, খ) অন্যান্য দল দেখা, গ) ছন্দ অনুসরণ করা, ঘ) চিৎকার করা</v>
      </c>
      <c r="M68" s="4" t="str">
        <f>IFERROR(__xludf.DUMMYFUNCTION("GOOGLETRANSLATE(D68, ""en"", ""bn"")"),"খ) অন্যান্য দল দেখা")</f>
        <v>খ) অন্যান্য দল দেখা</v>
      </c>
      <c r="N68" s="4" t="str">
        <f>IFERROR(__xludf.DUMMYFUNCTION("GOOGLETRANSLATE(E68, ""en"", ""bn"")"),"রোয়ারদের তাদের নিজস্ব ড্রামারের ছন্দের উপর মনোযোগ দিতে হবে, অন্যদের উপর নয়।")</f>
        <v>রোয়ারদের তাদের নিজস্ব ড্রামারের ছন্দের উপর মনোযোগ দিতে হবে, অন্যদের উপর নয়।</v>
      </c>
    </row>
    <row r="69">
      <c r="A69" s="3">
        <v>68.0</v>
      </c>
      <c r="B69" s="3" t="s">
        <v>2558</v>
      </c>
      <c r="C69" s="3" t="s">
        <v>2559</v>
      </c>
      <c r="D69" s="3" t="s">
        <v>238</v>
      </c>
      <c r="E69" s="3" t="s">
        <v>2560</v>
      </c>
      <c r="J69" s="4" t="str">
        <f>IFERROR(__xludf.DUMMYFUNCTION("GOOGLETRANSLATE(A69, ""en"", ""bn"")"),"৬৮")</f>
        <v>৬৮</v>
      </c>
      <c r="K69" s="4" t="str">
        <f>IFERROR(__xludf.DUMMYFUNCTION("GOOGLETRANSLATE(B69, ""en"", ""bn"")"),"নৌকা বাইচে কীভাবে ন্যায্যতা বজায় রাখা হয়?")</f>
        <v>নৌকা বাইচে কীভাবে ন্যায্যতা বজায় রাখা হয়?</v>
      </c>
      <c r="L69" s="4" t="str">
        <f>IFERROR(__xludf.DUMMYFUNCTION("GOOGLETRANSLATE(C69, ""en"", ""bn"")"),"ক) সমান লেনের প্রস্থ, খ) নৌকা পরিদর্শন, গ) রেফারি পর্যবেক্ষণ, ঘ) উপরের সবগুলো")</f>
        <v>ক) সমান লেনের প্রস্থ, খ) নৌকা পরিদর্শন, গ) রেফারি পর্যবেক্ষণ, ঘ) উপরের সবগুলো</v>
      </c>
      <c r="M69" s="4" t="str">
        <f>IFERROR(__xludf.DUMMYFUNCTION("GOOGLETRANSLATE(D69, ""en"", ""bn"")"),"ঘ) উপরের সবগুলো")</f>
        <v>ঘ) উপরের সবগুলো</v>
      </c>
      <c r="N69" s="4" t="str">
        <f>IFERROR(__xludf.DUMMYFUNCTION("GOOGLETRANSLATE(E69, ""en"", ""bn"")"),"লেন, পরিদর্শন এবং রেফারির তত্ত্বাবধানের মাধ্যমে ন্যায্যতা বজায় রাখা হয়।")</f>
        <v>লেন, পরিদর্শন এবং রেফারির তত্ত্বাবধানের মাধ্যমে ন্যায্যতা বজায় রাখা হয়।</v>
      </c>
    </row>
    <row r="70">
      <c r="A70" s="3">
        <v>69.0</v>
      </c>
      <c r="B70" s="3" t="s">
        <v>2561</v>
      </c>
      <c r="C70" s="3" t="s">
        <v>2562</v>
      </c>
      <c r="D70" s="3" t="s">
        <v>2563</v>
      </c>
      <c r="E70" s="3" t="s">
        <v>2564</v>
      </c>
      <c r="J70" s="4" t="str">
        <f>IFERROR(__xludf.DUMMYFUNCTION("GOOGLETRANSLATE(A70, ""en"", ""bn"")"),"৬৯")</f>
        <v>৬৯</v>
      </c>
      <c r="K70" s="4" t="str">
        <f>IFERROR(__xludf.DUMMYFUNCTION("GOOGLETRANSLATE(B70, ""en"", ""bn"")"),"যদি কোন দল রেফারির নির্দেশ মানতে অস্বীকৃতি জানায়, তাহলে কী করা হবে?")</f>
        <v>যদি কোন দল রেফারির নির্দেশ মানতে অস্বীকৃতি জানায়, তাহলে কী করা হবে?</v>
      </c>
      <c r="L70" s="4" t="str">
        <f>IFERROR(__xludf.DUMMYFUNCTION("GOOGLETRANSLATE(C70, ""en"", ""bn"")"),"ক) উপেক্ষা করা হয়েছে, খ) শাস্তি দেওয়া হয়েছে, গ) পুনরায় শুরু করা হয়েছে, ঘ) পুরস্কৃত করা হয়েছে")</f>
        <v>ক) উপেক্ষা করা হয়েছে, খ) শাস্তি দেওয়া হয়েছে, গ) পুনরায় শুরু করা হয়েছে, ঘ) পুরস্কৃত করা হয়েছে</v>
      </c>
      <c r="M70" s="4" t="str">
        <f>IFERROR(__xludf.DUMMYFUNCTION("GOOGLETRANSLATE(D70, ""en"", ""bn"")"),"খ) দণ্ডিত")</f>
        <v>খ) দণ্ডিত</v>
      </c>
      <c r="N70" s="4" t="str">
        <f>IFERROR(__xludf.DUMMYFUNCTION("GOOGLETRANSLATE(E70, ""en"", ""bn"")"),"রেফারির নির্দেশ অমান্য করলে জরিমানা হতে পারে।")</f>
        <v>রেফারির নির্দেশ অমান্য করলে জরিমানা হতে পারে।</v>
      </c>
    </row>
    <row r="71">
      <c r="A71" s="3">
        <v>70.0</v>
      </c>
      <c r="B71" s="3" t="s">
        <v>2565</v>
      </c>
      <c r="C71" s="3" t="s">
        <v>2566</v>
      </c>
      <c r="D71" s="3" t="s">
        <v>2567</v>
      </c>
      <c r="E71" s="3" t="s">
        <v>2568</v>
      </c>
      <c r="J71" s="4" t="str">
        <f>IFERROR(__xludf.DUMMYFUNCTION("GOOGLETRANSLATE(A71, ""en"", ""bn"")"),"৭০")</f>
        <v>৭০</v>
      </c>
      <c r="K71" s="4" t="str">
        <f>IFERROR(__xludf.DUMMYFUNCTION("GOOGLETRANSLATE(B71, ""en"", ""bn"")"),"রোয়ারদের দৌড়ের সময় কী নিষিদ্ধ?")</f>
        <v>রোয়ারদের দৌড়ের সময় কী নিষিদ্ধ?</v>
      </c>
      <c r="L71" s="4" t="str">
        <f>IFERROR(__xludf.DUMMYFUNCTION("GOOGLETRANSLATE(C71, ""en"", ""bn"")"),"ক) গান গাওয়া, খ) দাঁড়িয়ে থাকা, গ) জপ করা, ঘ) রঙ পরা")</f>
        <v>ক) গান গাওয়া, খ) দাঁড়িয়ে থাকা, গ) জপ করা, ঘ) রঙ পরা</v>
      </c>
      <c r="M71" s="4" t="str">
        <f>IFERROR(__xludf.DUMMYFUNCTION("GOOGLETRANSLATE(D71, ""en"", ""bn"")"),"খ) দাঁড়িয়ে থাকা")</f>
        <v>খ) দাঁড়িয়ে থাকা</v>
      </c>
      <c r="N71" s="4" t="str">
        <f>IFERROR(__xludf.DUMMYFUNCTION("GOOGLETRANSLATE(E71, ""en"", ""bn"")"),"রোয়িং করার সময় দাঁড়িয়ে থাকা বিপজ্জনক এবং নিয়মের বিরুদ্ধে।")</f>
        <v>রোয়িং করার সময় দাঁড়িয়ে থাকা বিপজ্জনক এবং নিয়মের বিরুদ্ধে।</v>
      </c>
    </row>
    <row r="72">
      <c r="A72" s="3">
        <v>71.0</v>
      </c>
      <c r="B72" s="3" t="s">
        <v>2569</v>
      </c>
      <c r="C72" s="3" t="s">
        <v>2570</v>
      </c>
      <c r="D72" s="3" t="s">
        <v>2571</v>
      </c>
      <c r="E72" s="3" t="s">
        <v>2572</v>
      </c>
      <c r="J72" s="4" t="str">
        <f>IFERROR(__xludf.DUMMYFUNCTION("GOOGLETRANSLATE(A72, ""en"", ""bn"")"),"৭১")</f>
        <v>৭১</v>
      </c>
      <c r="K72" s="4" t="str">
        <f>IFERROR(__xludf.DUMMYFUNCTION("GOOGLETRANSLATE(B72, ""en"", ""bn"")"),"নৌকা বাইচে সুষ্ঠু প্রতিযোগিতা কী নিশ্চিত করে?")</f>
        <v>নৌকা বাইচে সুষ্ঠু প্রতিযোগিতা কী নিশ্চিত করে?</v>
      </c>
      <c r="L72" s="4" t="str">
        <f>IFERROR(__xludf.DUMMYFUNCTION("GOOGLETRANSLATE(C72, ""en"", ""bn"")"),"ক) সমান নৌকা, খ) সমান নৌকাচালক, গ) সমান জলপথ, ঘ) সমান ইউনিফর্ম")</f>
        <v>ক) সমান নৌকা, খ) সমান নৌকাচালক, গ) সমান জলপথ, ঘ) সমান ইউনিফর্ম</v>
      </c>
      <c r="M72" s="4" t="str">
        <f>IFERROR(__xludf.DUMMYFUNCTION("GOOGLETRANSLATE(D72, ""en"", ""bn"")"),"গ) সমান জলপথ")</f>
        <v>গ) সমান জলপথ</v>
      </c>
      <c r="N72" s="4" t="str">
        <f>IFERROR(__xludf.DUMMYFUNCTION("GOOGLETRANSLATE(E72, ""en"", ""bn"")"),"অন্যায্য হস্তক্ষেপ রোধ করার জন্য নৌকাগুলিকে লেন বরাদ্দ করা হয়েছে।")</f>
        <v>অন্যায্য হস্তক্ষেপ রোধ করার জন্য নৌকাগুলিকে লেন বরাদ্দ করা হয়েছে।</v>
      </c>
    </row>
    <row r="73">
      <c r="A73" s="3">
        <v>72.0</v>
      </c>
      <c r="B73" s="3" t="s">
        <v>2573</v>
      </c>
      <c r="C73" s="3" t="s">
        <v>2574</v>
      </c>
      <c r="D73" s="3" t="s">
        <v>401</v>
      </c>
      <c r="E73" s="3" t="s">
        <v>2575</v>
      </c>
      <c r="J73" s="4" t="str">
        <f>IFERROR(__xludf.DUMMYFUNCTION("GOOGLETRANSLATE(A73, ""en"", ""bn"")"),"৭২")</f>
        <v>৭২</v>
      </c>
      <c r="K73" s="4" t="str">
        <f>IFERROR(__xludf.DUMMYFUNCTION("GOOGLETRANSLATE(B73, ""en"", ""bn"")"),"যদি একটি নৌকা ইচ্ছাকৃতভাবে অন্য নৌকাকে আটকে দেয় তাহলে কী হবে?")</f>
        <v>যদি একটি নৌকা ইচ্ছাকৃতভাবে অন্য নৌকাকে আটকে দেয় তাহলে কী হবে?</v>
      </c>
      <c r="L73" s="4" t="str">
        <f>IFERROR(__xludf.DUMMYFUNCTION("GOOGLETRANSLATE(C73, ""en"", ""bn"")"),"ক) পুনঃসূচনা, খ) সতর্কতা, গ) অযোগ্যতা, ঘ) কোন জরিমানা নেই")</f>
        <v>ক) পুনঃসূচনা, খ) সতর্কতা, গ) অযোগ্যতা, ঘ) কোন জরিমানা নেই</v>
      </c>
      <c r="M73" s="4" t="str">
        <f>IFERROR(__xludf.DUMMYFUNCTION("GOOGLETRANSLATE(D73, ""en"", ""bn"")"),"গ) অযোগ্যতা")</f>
        <v>গ) অযোগ্যতা</v>
      </c>
      <c r="N73" s="4" t="str">
        <f>IFERROR(__xludf.DUMMYFUNCTION("GOOGLETRANSLATE(E73, ""en"", ""bn"")"),"ইচ্ছাকৃতভাবে অন্য নৌকা আটকানো নিষিদ্ধ এবং এর ফলে অযোগ্যতা ঘোষণা করা হবে।")</f>
        <v>ইচ্ছাকৃতভাবে অন্য নৌকা আটকানো নিষিদ্ধ এবং এর ফলে অযোগ্যতা ঘোষণা করা হবে।</v>
      </c>
    </row>
    <row r="74">
      <c r="A74" s="3">
        <v>73.0</v>
      </c>
      <c r="B74" s="3" t="s">
        <v>2576</v>
      </c>
      <c r="C74" s="3" t="s">
        <v>2577</v>
      </c>
      <c r="D74" s="3" t="s">
        <v>2578</v>
      </c>
      <c r="E74" s="3" t="s">
        <v>2579</v>
      </c>
      <c r="J74" s="4" t="str">
        <f>IFERROR(__xludf.DUMMYFUNCTION("GOOGLETRANSLATE(A74, ""en"", ""bn"")"),"৭৩")</f>
        <v>৭৩</v>
      </c>
      <c r="K74" s="4" t="str">
        <f>IFERROR(__xludf.DUMMYFUNCTION("GOOGLETRANSLATE(B74, ""en"", ""bn"")"),"যদি অন্য নৌকা দুর্ঘটনাক্রমে সংঘর্ষে লিপ্ত হয়, তাহলে নৌকা চালকদের কী করা উচিত?")</f>
        <v>যদি অন্য নৌকা দুর্ঘটনাক্রমে সংঘর্ষে লিপ্ত হয়, তাহলে নৌকা চালকদের কী করা উচিত?</v>
      </c>
      <c r="L74" s="4" t="str">
        <f>IFERROR(__xludf.DUMMYFUNCTION("GOOGLETRANSLATE(C74, ""en"", ""bn"")"),"ক) দৌড় বন্ধ করুন, খ) দৌড়ের পরে অভিযোগ দায়ের করুন, গ) পিছনে ধাক্কা লাগান, ঘ) ছেড়ে দিন")</f>
        <v>ক) দৌড় বন্ধ করুন, খ) দৌড়ের পরে অভিযোগ দায়ের করুন, গ) পিছনে ধাক্কা লাগান, ঘ) ছেড়ে দিন</v>
      </c>
      <c r="M74" s="4" t="str">
        <f>IFERROR(__xludf.DUMMYFUNCTION("GOOGLETRANSLATE(D74, ""en"", ""bn"")"),"খ) প্রতিযোগিতার পরে অভিযোগ দায়ের করুন")</f>
        <v>খ) প্রতিযোগিতার পরে অভিযোগ দায়ের করুন</v>
      </c>
      <c r="N74" s="4" t="str">
        <f>IFERROR(__xludf.DUMMYFUNCTION("GOOGLETRANSLATE(E74, ""en"", ""bn"")"),"দলগুলি দৌড়ের পরে পর্যালোচনার জন্য দুর্ঘটনাজনিত সংঘর্ষের রিপোর্ট করতে পারে।")</f>
        <v>দলগুলি দৌড়ের পরে পর্যালোচনার জন্য দুর্ঘটনাজনিত সংঘর্ষের রিপোর্ট করতে পারে।</v>
      </c>
    </row>
    <row r="75">
      <c r="A75" s="3">
        <v>74.0</v>
      </c>
      <c r="B75" s="3" t="s">
        <v>2580</v>
      </c>
      <c r="C75" s="3" t="s">
        <v>2581</v>
      </c>
      <c r="D75" s="3" t="s">
        <v>2582</v>
      </c>
      <c r="E75" s="3" t="s">
        <v>2583</v>
      </c>
      <c r="J75" s="4" t="str">
        <f>IFERROR(__xludf.DUMMYFUNCTION("GOOGLETRANSLATE(A75, ""en"", ""bn"")"),"৭৪")</f>
        <v>৭৪</v>
      </c>
      <c r="K75" s="4" t="str">
        <f>IFERROR(__xludf.DUMMYFUNCTION("GOOGLETRANSLATE(B75, ""en"", ""bn"")"),"নৌকা বাইচের প্যাডেলের ক্ষেত্রে কোন নিয়ম প্রযোজ্য?")</f>
        <v>নৌকা বাইচের প্যাডেলের ক্ষেত্রে কোন নিয়ম প্রযোজ্য?</v>
      </c>
      <c r="L75" s="4" t="str">
        <f>IFERROR(__xludf.DUMMYFUNCTION("GOOGLETRANSLATE(C75, ""en"", ""bn"")"),"ক) একই আকার, খ) একই রঙ, গ) প্রতি রোয়ারের জন্য একটি, ঘ) শুধুমাত্র কাঠের")</f>
        <v>ক) একই আকার, খ) একই রঙ, গ) প্রতি রোয়ারের জন্য একটি, ঘ) শুধুমাত্র কাঠের</v>
      </c>
      <c r="M75" s="4" t="str">
        <f>IFERROR(__xludf.DUMMYFUNCTION("GOOGLETRANSLATE(D75, ""en"", ""bn"")"),"গ) প্রতি রোয়ারে একজন")</f>
        <v>গ) প্রতি রোয়ারে একজন</v>
      </c>
      <c r="N75" s="4" t="str">
        <f>IFERROR(__xludf.DUMMYFUNCTION("GOOGLETRANSLATE(E75, ""en"", ""bn"")"),"দৌড়ের সময় প্রতিটি রোয়ারকে কেবল একটি প্যাডেল চালানোর অনুমতি দেওয়া হয়।")</f>
        <v>দৌড়ের সময় প্রতিটি রোয়ারকে কেবল একটি প্যাডেল চালানোর অনুমতি দেওয়া হয়।</v>
      </c>
    </row>
    <row r="76">
      <c r="A76" s="3">
        <v>75.0</v>
      </c>
      <c r="B76" s="3" t="s">
        <v>2584</v>
      </c>
      <c r="C76" s="3" t="s">
        <v>2585</v>
      </c>
      <c r="D76" s="3" t="s">
        <v>2586</v>
      </c>
      <c r="E76" s="3" t="s">
        <v>2587</v>
      </c>
      <c r="J76" s="4" t="str">
        <f>IFERROR(__xludf.DUMMYFUNCTION("GOOGLETRANSLATE(A76, ""en"", ""bn"")"),"৭৫")</f>
        <v>৭৫</v>
      </c>
      <c r="K76" s="4" t="str">
        <f>IFERROR(__xludf.DUMMYFUNCTION("GOOGLETRANSLATE(B76, ""en"", ""bn"")"),"প্রতিযোগিতা শুরুর আগে দলগুলিকে কী করতে হবে?")</f>
        <v>প্রতিযোগিতা শুরুর আগে দলগুলিকে কী করতে হবে?</v>
      </c>
      <c r="L76" s="4" t="str">
        <f>IFERROR(__xludf.DUMMYFUNCTION("GOOGLETRANSLATE(C76, ""en"", ""bn"")"),"ক) নৌকা পরিদর্শন, খ) ওয়ার্ম-আপ ল্যাপ, গ) ইউনিফর্ম পরিবর্তন, ঘ) দর্শক নির্বাচন")</f>
        <v>ক) নৌকা পরিদর্শন, খ) ওয়ার্ম-আপ ল্যাপ, গ) ইউনিফর্ম পরিবর্তন, ঘ) দর্শক নির্বাচন</v>
      </c>
      <c r="M76" s="4" t="str">
        <f>IFERROR(__xludf.DUMMYFUNCTION("GOOGLETRANSLATE(D76, ""en"", ""bn"")"),"ক) নৌকা পরিদর্শন")</f>
        <v>ক) নৌকা পরিদর্শন</v>
      </c>
      <c r="N76" s="4" t="str">
        <f>IFERROR(__xludf.DUMMYFUNCTION("GOOGLETRANSLATE(E76, ""en"", ""bn"")"),"নৌকাগুলি অফিসিয়াল আকার এবং নিরাপত্তা নিয়ম পূরণ করে কিনা তা নিশ্চিত করার জন্য পরিদর্শন করা হয়।")</f>
        <v>নৌকাগুলি অফিসিয়াল আকার এবং নিরাপত্তা নিয়ম পূরণ করে কিনা তা নিশ্চিত করার জন্য পরিদর্শন করা হয়।</v>
      </c>
    </row>
    <row r="77">
      <c r="A77" s="3">
        <v>76.0</v>
      </c>
      <c r="B77" s="3" t="s">
        <v>2588</v>
      </c>
      <c r="C77" s="3" t="s">
        <v>2589</v>
      </c>
      <c r="D77" s="3" t="s">
        <v>2590</v>
      </c>
      <c r="E77" s="3" t="s">
        <v>2591</v>
      </c>
      <c r="J77" s="4" t="str">
        <f>IFERROR(__xludf.DUMMYFUNCTION("GOOGLETRANSLATE(A77, ""en"", ""bn"")"),"৭৬")</f>
        <v>৭৬</v>
      </c>
      <c r="K77" s="4" t="str">
        <f>IFERROR(__xludf.DUMMYFUNCTION("GOOGLETRANSLATE(B77, ""en"", ""bn"")"),"নৌকা বাইচে কোন কাজকে প্রতারণা হিসেবে বিবেচনা করা হয়?")</f>
        <v>নৌকা বাইচে কোন কাজকে প্রতারণা হিসেবে বিবেচনা করা হয়?</v>
      </c>
      <c r="L77" s="4" t="str">
        <f>IFERROR(__xludf.DUMMYFUNCTION("GOOGLETRANSLATE(C77, ""en"", ""bn"")"),"ক) জোরে গান গাওয়া, খ) লুকানো মোটর ব্যবহার করা, গ) ম্যাচিং ইউনিফর্ম পরা, ঘ) দ্রুত প্যাডেল চালানো")</f>
        <v>ক) জোরে গান গাওয়া, খ) লুকানো মোটর ব্যবহার করা, গ) ম্যাচিং ইউনিফর্ম পরা, ঘ) দ্রুত প্যাডেল চালানো</v>
      </c>
      <c r="M77" s="4" t="str">
        <f>IFERROR(__xludf.DUMMYFUNCTION("GOOGLETRANSLATE(D77, ""en"", ""bn"")"),"খ) লুকানো মোটর ব্যবহার করে")</f>
        <v>খ) লুকানো মোটর ব্যবহার করে</v>
      </c>
      <c r="N77" s="4" t="str">
        <f>IFERROR(__xludf.DUMMYFUNCTION("GOOGLETRANSLATE(E77, ""en"", ""bn"")"),"ইঞ্জিন বা লুকানো মোটর যুক্ত করা সম্পূর্ণ নিয়মের বিরুদ্ধে।")</f>
        <v>ইঞ্জিন বা লুকানো মোটর যুক্ত করা সম্পূর্ণ নিয়মের বিরুদ্ধে।</v>
      </c>
    </row>
    <row r="78">
      <c r="A78" s="3">
        <v>77.0</v>
      </c>
      <c r="B78" s="3" t="s">
        <v>2592</v>
      </c>
      <c r="C78" s="3" t="s">
        <v>2593</v>
      </c>
      <c r="D78" s="3" t="s">
        <v>2594</v>
      </c>
      <c r="E78" s="3" t="s">
        <v>2595</v>
      </c>
      <c r="J78" s="4" t="str">
        <f>IFERROR(__xludf.DUMMYFUNCTION("GOOGLETRANSLATE(A78, ""en"", ""bn"")"),"৭৭")</f>
        <v>৭৭</v>
      </c>
      <c r="K78" s="4" t="str">
        <f>IFERROR(__xludf.DUMMYFUNCTION("GOOGLETRANSLATE(B78, ""en"", ""bn"")"),"নৌকা বাইচে শুরুর অবস্থান কী নির্ধারণ করে?")</f>
        <v>নৌকা বাইচে শুরুর অবস্থান কী নির্ধারণ করে?</v>
      </c>
      <c r="L78" s="4" t="str">
        <f>IFERROR(__xludf.DUMMYFUNCTION("GOOGLETRANSLATE(C78, ""en"", ""bn"")"),"ক) এলোমেলো ড্র, খ) দল নির্বাচন, গ) রেফারির সিদ্ধান্ত, ঘ) নৌকার আকার")</f>
        <v>ক) এলোমেলো ড্র, খ) দল নির্বাচন, গ) রেফারির সিদ্ধান্ত, ঘ) নৌকার আকার</v>
      </c>
      <c r="M78" s="4" t="str">
        <f>IFERROR(__xludf.DUMMYFUNCTION("GOOGLETRANSLATE(D78, ""en"", ""bn"")"),"ক) এলোমেলো ড্র")</f>
        <v>ক) এলোমেলো ড্র</v>
      </c>
      <c r="N78" s="4" t="str">
        <f>IFERROR(__xludf.DUMMYFUNCTION("GOOGLETRANSLATE(E78, ""en"", ""bn"")"),"ন্যায্যতা নিশ্চিত করার জন্য সাধারণত শুরুর লেনগুলি এলোমেলোভাবে বেছে নেওয়া হয়।")</f>
        <v>ন্যায্যতা নিশ্চিত করার জন্য সাধারণত শুরুর লেনগুলি এলোমেলোভাবে বেছে নেওয়া হয়।</v>
      </c>
    </row>
    <row r="79">
      <c r="A79" s="3">
        <v>78.0</v>
      </c>
      <c r="B79" s="3" t="s">
        <v>2596</v>
      </c>
      <c r="C79" s="3" t="s">
        <v>2597</v>
      </c>
      <c r="D79" s="3" t="s">
        <v>2598</v>
      </c>
      <c r="E79" s="3" t="s">
        <v>2599</v>
      </c>
      <c r="J79" s="4" t="str">
        <f>IFERROR(__xludf.DUMMYFUNCTION("GOOGLETRANSLATE(A79, ""en"", ""bn"")"),"৭৮")</f>
        <v>৭৮</v>
      </c>
      <c r="K79" s="4" t="str">
        <f>IFERROR(__xludf.DUMMYFUNCTION("GOOGLETRANSLATE(B79, ""en"", ""bn"")"),"দৌড়ের সময় যদি দলগুলির নৌকা ক্ষতিগ্রস্ত হয় তবে তাদের কী করা উচিত?")</f>
        <v>দৌড়ের সময় যদি দলগুলির নৌকা ক্ষতিগ্রস্ত হয় তবে তাদের কী করা উচিত?</v>
      </c>
      <c r="L79" s="4" t="str">
        <f>IFERROR(__xludf.DUMMYFUNCTION("GOOGLETRANSLATE(C79, ""en"", ""bn"")"),"ক) মাঝ-দৌড়ের মেরামত, খ) সম্ভব হলে চালিয়ে যান, গ) নৌকা পরিবর্তন করুন, ঘ) পুনরায় চালু করার অনুরোধ করুন")</f>
        <v>ক) মাঝ-দৌড়ের মেরামত, খ) সম্ভব হলে চালিয়ে যান, গ) নৌকা পরিবর্তন করুন, ঘ) পুনরায় চালু করার অনুরোধ করুন</v>
      </c>
      <c r="M79" s="4" t="str">
        <f>IFERROR(__xludf.DUMMYFUNCTION("GOOGLETRANSLATE(D79, ""en"", ""bn"")"),"খ) সম্ভব হলে চালিয়ে যান")</f>
        <v>খ) সম্ভব হলে চালিয়ে যান</v>
      </c>
      <c r="N79" s="4" t="str">
        <f>IFERROR(__xludf.DUMMYFUNCTION("GOOGLETRANSLATE(E79, ""en"", ""bn"")"),"দলগুলিকে একই নৌকা দিয়ে শেষ করতে হবে; পরিবর্তন অনুমোদিত নয়।")</f>
        <v>দলগুলিকে একই নৌকা দিয়ে শেষ করতে হবে; পরিবর্তন অনুমোদিত নয়।</v>
      </c>
    </row>
    <row r="80">
      <c r="A80" s="3">
        <v>79.0</v>
      </c>
      <c r="B80" s="3" t="s">
        <v>2600</v>
      </c>
      <c r="C80" s="3" t="s">
        <v>2601</v>
      </c>
      <c r="D80" s="3" t="s">
        <v>2602</v>
      </c>
      <c r="E80" s="3" t="s">
        <v>2603</v>
      </c>
      <c r="J80" s="4" t="str">
        <f>IFERROR(__xludf.DUMMYFUNCTION("GOOGLETRANSLATE(A80, ""en"", ""bn"")"),"৭৯")</f>
        <v>৭৯</v>
      </c>
      <c r="K80" s="4" t="str">
        <f>IFERROR(__xludf.DUMMYFUNCTION("GOOGLETRANSLATE(B80, ""en"", ""bn"")"),"নৌকা বাইচের ইউনিফর্মের ক্ষেত্রে মূল নিয়ম কী?")</f>
        <v>নৌকা বাইচের ইউনিফর্মের ক্ষেত্রে মূল নিয়ম কী?</v>
      </c>
      <c r="L80" s="4" t="str">
        <f>IFERROR(__xludf.DUMMYFUNCTION("GOOGLETRANSLATE(C80, ""en"", ""bn"")"),"ক) প্রতিটি দলের জন্য একই রঙ, খ) শুধুমাত্র সাদা, গ) শুধুমাত্র লাল, ঘ) কোন ইউনিফর্ম নেই")</f>
        <v>ক) প্রতিটি দলের জন্য একই রঙ, খ) শুধুমাত্র সাদা, গ) শুধুমাত্র লাল, ঘ) কোন ইউনিফর্ম নেই</v>
      </c>
      <c r="M80" s="4" t="str">
        <f>IFERROR(__xludf.DUMMYFUNCTION("GOOGLETRANSLATE(D80, ""en"", ""bn"")"),"ক) প্রতিটি দলের জন্য একই রঙ")</f>
        <v>ক) প্রতিটি দলের জন্য একই রঙ</v>
      </c>
      <c r="N80" s="4" t="str">
        <f>IFERROR(__xludf.DUMMYFUNCTION("GOOGLETRANSLATE(E80, ""en"", ""bn"")"),"সহজে শনাক্ত করার জন্য দলগুলি একই রঙের ইউনিফর্ম পরে।")</f>
        <v>সহজে শনাক্ত করার জন্য দলগুলি একই রঙের ইউনিফর্ম পরে।</v>
      </c>
    </row>
    <row r="81">
      <c r="A81" s="3">
        <v>80.0</v>
      </c>
      <c r="B81" s="3" t="s">
        <v>2604</v>
      </c>
      <c r="C81" s="3" t="s">
        <v>2605</v>
      </c>
      <c r="D81" s="3" t="s">
        <v>2114</v>
      </c>
      <c r="E81" s="3" t="s">
        <v>2606</v>
      </c>
      <c r="J81" s="4" t="str">
        <f>IFERROR(__xludf.DUMMYFUNCTION("GOOGLETRANSLATE(A81, ""en"", ""bn"")"),"৮০")</f>
        <v>৮০</v>
      </c>
      <c r="K81" s="4" t="str">
        <f>IFERROR(__xludf.DUMMYFUNCTION("GOOGLETRANSLATE(B81, ""en"", ""bn"")"),"নৌকা বাইচে জরুরি স্টপের জন্য কোন সিগন্যাল ব্যবহার করা হয়?")</f>
        <v>নৌকা বাইচে জরুরি স্টপের জন্য কোন সিগন্যাল ব্যবহার করা হয়?</v>
      </c>
      <c r="L81" s="4" t="str">
        <f>IFERROR(__xludf.DUMMYFUNCTION("GOOGLETRANSLATE(C81, ""en"", ""bn"")"),"ক) ঢোলের সুর, খ) রেফারির বাঁশি, গ) দর্শকের চিৎকার, ঘ) নৌকার হর্ণ")</f>
        <v>ক) ঢোলের সুর, খ) রেফারির বাঁশি, গ) দর্শকের চিৎকার, ঘ) নৌকার হর্ণ</v>
      </c>
      <c r="M81" s="4" t="str">
        <f>IFERROR(__xludf.DUMMYFUNCTION("GOOGLETRANSLATE(D81, ""en"", ""bn"")"),"খ) রেফারির বাঁশি")</f>
        <v>খ) রেফারির বাঁশি</v>
      </c>
      <c r="N81" s="4" t="str">
        <f>IFERROR(__xludf.DUMMYFUNCTION("GOOGLETRANSLATE(E81, ""en"", ""bn"")"),"রেফারির দীর্ঘ বাঁশি জরুরি বিরতির ইঙ্গিত দেয়।")</f>
        <v>রেফারির দীর্ঘ বাঁশি জরুরি বিরতির ইঙ্গিত দেয়।</v>
      </c>
    </row>
    <row r="82">
      <c r="A82" s="3">
        <v>81.0</v>
      </c>
      <c r="B82" s="3" t="s">
        <v>2607</v>
      </c>
      <c r="C82" s="3" t="s">
        <v>2608</v>
      </c>
      <c r="D82" s="3" t="s">
        <v>2609</v>
      </c>
      <c r="E82" s="3" t="s">
        <v>2610</v>
      </c>
      <c r="J82" s="4" t="str">
        <f>IFERROR(__xludf.DUMMYFUNCTION("GOOGLETRANSLATE(A82, ""en"", ""bn"")"),"৮১")</f>
        <v>৮১</v>
      </c>
      <c r="K82" s="4" t="str">
        <f>IFERROR(__xludf.DUMMYFUNCTION("GOOGLETRANSLATE(B82, ""en"", ""bn"")"),"নৌকা বাইচে আনুষ্ঠানিকভাবে সম্পর্ক কীভাবে পরিচালিত হয়?")</f>
        <v>নৌকা বাইচে আনুষ্ঠানিকভাবে সম্পর্ক কীভাবে পরিচালিত হয়?</v>
      </c>
      <c r="L82" s="4" t="str">
        <f>IFERROR(__xludf.DUMMYFUNCTION("GOOGLETRANSLATE(C82, ""en"", ""bn"")"),"ক) ভাগাভাগি করা ট্রফি, খ) সময় পর্যালোচনা, গ) রেফারির সিদ্ধান্ত, ঘ) রিপ্লে রেস")</f>
        <v>ক) ভাগাভাগি করা ট্রফি, খ) সময় পর্যালোচনা, গ) রেফারির সিদ্ধান্ত, ঘ) রিপ্লে রেস</v>
      </c>
      <c r="M82" s="4" t="str">
        <f>IFERROR(__xludf.DUMMYFUNCTION("GOOGLETRANSLATE(D82, ""en"", ""bn"")"),"খ) সময় পর্যালোচনা")</f>
        <v>খ) সময় পর্যালোচনা</v>
      </c>
      <c r="N82" s="4" t="str">
        <f>IFERROR(__xludf.DUMMYFUNCTION("GOOGLETRANSLATE(E82, ""en"", ""bn"")"),"বিচারকরা সঠিক বিজয়ী নিশ্চিত করতে সময়জ্ঞান সরঞ্জাম ব্যবহার করেন।")</f>
        <v>বিচারকরা সঠিক বিজয়ী নিশ্চিত করতে সময়জ্ঞান সরঞ্জাম ব্যবহার করেন।</v>
      </c>
    </row>
    <row r="83">
      <c r="A83" s="3">
        <v>82.0</v>
      </c>
      <c r="B83" s="3" t="s">
        <v>2611</v>
      </c>
      <c r="C83" s="3" t="s">
        <v>2612</v>
      </c>
      <c r="D83" s="3" t="s">
        <v>2613</v>
      </c>
      <c r="E83" s="3" t="s">
        <v>2614</v>
      </c>
      <c r="J83" s="4" t="str">
        <f>IFERROR(__xludf.DUMMYFUNCTION("GOOGLETRANSLATE(A83, ""en"", ""bn"")"),"৮২")</f>
        <v>৮২</v>
      </c>
      <c r="K83" s="4" t="str">
        <f>IFERROR(__xludf.DUMMYFUNCTION("GOOGLETRANSLATE(B83, ""en"", ""bn"")"),"নৌকা বাইচ-এ ড্রামারের ভূমিকার ক্ষেত্রে কোন নিয়ম প্রযোজ্য?")</f>
        <v>নৌকা বাইচ-এ ড্রামারের ভূমিকার ক্ষেত্রে কোন নিয়ম প্রযোজ্য?</v>
      </c>
      <c r="L83" s="4" t="str">
        <f>IFERROR(__xludf.DUMMYFUNCTION("GOOGLETRANSLATE(C83, ""en"", ""bn"")"),"ক) সারিবদ্ধভাবে চলতে হবে, খ) সারিবদ্ধভাবে চলতে পারবে না, গ) চালিকাশক্তি হিসেবে চলতে হবে, ঘ) ভূমিকা পরিবর্তন করতে পারবে")</f>
        <v>ক) সারিবদ্ধভাবে চলতে হবে, খ) সারিবদ্ধভাবে চলতে পারবে না, গ) চালিকাশক্তি হিসেবে চলতে হবে, ঘ) ভূমিকা পরিবর্তন করতে পারবে</v>
      </c>
      <c r="M83" s="4" t="str">
        <f>IFERROR(__xludf.DUMMYFUNCTION("GOOGLETRANSLATE(D83, ""en"", ""bn"")"),"খ) সারিবদ্ধ হতে পারে না")</f>
        <v>খ) সারিবদ্ধ হতে পারে না</v>
      </c>
      <c r="N83" s="4" t="str">
        <f>IFERROR(__xludf.DUMMYFUNCTION("GOOGLETRANSLATE(E83, ""en"", ""bn"")"),"ঢাকি বাদকদের সারি সারি করার অনুমতি নেই; তারা কেবল ছন্দ বজায় রাখে।")</f>
        <v>ঢাকি বাদকদের সারি সারি করার অনুমতি নেই; তারা কেবল ছন্দ বজায় রাখে।</v>
      </c>
    </row>
    <row r="84">
      <c r="A84" s="3">
        <v>83.0</v>
      </c>
      <c r="B84" s="3" t="s">
        <v>2615</v>
      </c>
      <c r="C84" s="3" t="s">
        <v>2616</v>
      </c>
      <c r="D84" s="3" t="s">
        <v>2617</v>
      </c>
      <c r="E84" s="3" t="s">
        <v>2618</v>
      </c>
      <c r="J84" s="4" t="str">
        <f>IFERROR(__xludf.DUMMYFUNCTION("GOOGLETRANSLATE(A84, ""en"", ""bn"")"),"৮৩")</f>
        <v>৮৩</v>
      </c>
      <c r="K84" s="4" t="str">
        <f>IFERROR(__xludf.DUMMYFUNCTION("GOOGLETRANSLATE(B84, ""en"", ""bn"")"),"বারবার নিয়ম লঙ্ঘনের জন্য সর্বোচ্চ শাস্তি কত?")</f>
        <v>বারবার নিয়ম লঙ্ঘনের জন্য সর্বোচ্চ শাস্তি কত?</v>
      </c>
      <c r="L84" s="4" t="str">
        <f>IFERROR(__xludf.DUMMYFUNCTION("GOOGLETRANSLATE(C84, ""en"", ""bn"")"),"ক) সতর্কতা, খ) সময় নষ্ট, গ) ইজেকশন, ঘ) পুনঃসূচনা")</f>
        <v>ক) সতর্কতা, খ) সময় নষ্ট, গ) ইজেকশন, ঘ) পুনঃসূচনা</v>
      </c>
      <c r="M84" s="4" t="str">
        <f>IFERROR(__xludf.DUMMYFUNCTION("GOOGLETRANSLATE(D84, ""en"", ""bn"")"),"গ) ইজেকশন")</f>
        <v>গ) ইজেকশন</v>
      </c>
      <c r="N84" s="4" t="str">
        <f>IFERROR(__xludf.DUMMYFUNCTION("GOOGLETRANSLATE(E84, ""en"", ""bn"")"),"যেসব দল বারবার নিয়ম ভঙ্গ করবে তাদের প্রতিযোগিতা থেকে বহিষ্কার করা হতে পারে।")</f>
        <v>যেসব দল বারবার নিয়ম ভঙ্গ করবে তাদের প্রতিযোগিতা থেকে বহিষ্কার করা হতে পারে।</v>
      </c>
    </row>
    <row r="85">
      <c r="A85" s="3">
        <v>84.0</v>
      </c>
      <c r="B85" s="3" t="s">
        <v>2619</v>
      </c>
      <c r="C85" s="3" t="s">
        <v>2620</v>
      </c>
      <c r="D85" s="3" t="s">
        <v>2621</v>
      </c>
      <c r="E85" s="3" t="s">
        <v>2622</v>
      </c>
      <c r="J85" s="4" t="str">
        <f>IFERROR(__xludf.DUMMYFUNCTION("GOOGLETRANSLATE(A85, ""en"", ""bn"")"),"৮৪")</f>
        <v>৮৪</v>
      </c>
      <c r="K85" s="4" t="str">
        <f>IFERROR(__xludf.DUMMYFUNCTION("GOOGLETRANSLATE(B85, ""en"", ""bn"")"),"বিতর্কিত পরিস্থিতিতে চূড়ান্ত বিজয়ী কে নির্ধারণ করে?")</f>
        <v>বিতর্কিত পরিস্থিতিতে চূড়ান্ত বিজয়ী কে নির্ধারণ করে?</v>
      </c>
      <c r="L85" s="4" t="str">
        <f>IFERROR(__xludf.DUMMYFUNCTION("GOOGLETRANSLATE(C85, ""en"", ""bn"")"),"ক) দলের অধিনায়ক, খ) দর্শক, গ) রেফারি প্যানেল, ঘ) ড্রামার")</f>
        <v>ক) দলের অধিনায়ক, খ) দর্শক, গ) রেফারি প্যানেল, ঘ) ড্রামার</v>
      </c>
      <c r="M85" s="4" t="str">
        <f>IFERROR(__xludf.DUMMYFUNCTION("GOOGLETRANSLATE(D85, ""en"", ""bn"")"),"গ) রেফারি প্যানেল")</f>
        <v>গ) রেফারি প্যানেল</v>
      </c>
      <c r="N85" s="4" t="str">
        <f>IFERROR(__xludf.DUMMYFUNCTION("GOOGLETRANSLATE(E85, ""en"", ""bn"")"),"বিরোধপূর্ণ ক্ষেত্রে রেফারি প্যানেলের সিদ্ধান্তই চূড়ান্ত।")</f>
        <v>বিরোধপূর্ণ ক্ষেত্রে রেফারি প্যানেলের সিদ্ধান্তই চূড়ান্ত।</v>
      </c>
    </row>
    <row r="86">
      <c r="A86" s="3">
        <v>85.0</v>
      </c>
      <c r="B86" s="3" t="s">
        <v>2623</v>
      </c>
      <c r="C86" s="3" t="s">
        <v>2624</v>
      </c>
      <c r="D86" s="3" t="s">
        <v>2625</v>
      </c>
      <c r="E86" s="3" t="s">
        <v>2626</v>
      </c>
      <c r="J86" s="4" t="str">
        <f>IFERROR(__xludf.DUMMYFUNCTION("GOOGLETRANSLATE(A86, ""en"", ""bn"")"),"৮৫")</f>
        <v>৮৫</v>
      </c>
      <c r="K86" s="4" t="str">
        <f>IFERROR(__xludf.DUMMYFUNCTION("GOOGLETRANSLATE(B86, ""en"", ""bn"")"),"দৌড়ের কোন অংশটি কঠোরভাবে অনুসরণ করা উচিত?")</f>
        <v>দৌড়ের কোন অংশটি কঠোরভাবে অনুসরণ করা উচিত?</v>
      </c>
      <c r="L86" s="4" t="str">
        <f>IFERROR(__xludf.DUMMYFUNCTION("GOOGLETRANSLATE(C86, ""en"", ""bn"")"),"ক) শুরু, খ) মাঝামাঝি, গ) বাঁক, ঘ) সম্পূর্ণ কোর্স")</f>
        <v>ক) শুরু, খ) মাঝামাঝি, গ) বাঁক, ঘ) সম্পূর্ণ কোর্স</v>
      </c>
      <c r="M86" s="4" t="str">
        <f>IFERROR(__xludf.DUMMYFUNCTION("GOOGLETRANSLATE(D86, ""en"", ""bn"")"),"ঘ) সম্পূর্ণ কোর্স")</f>
        <v>ঘ) সম্পূর্ণ কোর্স</v>
      </c>
      <c r="N86" s="4" t="str">
        <f>IFERROR(__xludf.DUMMYFUNCTION("GOOGLETRANSLATE(E86, ""en"", ""bn"")"),"নৌকাগুলিকে পুরো পথ ধরে চলতে হবে; শর্টকাট পথ অনুমোদিত নয়।")</f>
        <v>নৌকাগুলিকে পুরো পথ ধরে চলতে হবে; শর্টকাট পথ অনুমোদিত নয়।</v>
      </c>
    </row>
    <row r="87">
      <c r="A87" s="3">
        <v>86.0</v>
      </c>
      <c r="B87" s="3" t="s">
        <v>2627</v>
      </c>
      <c r="C87" s="3" t="s">
        <v>2628</v>
      </c>
      <c r="D87" s="3" t="s">
        <v>401</v>
      </c>
      <c r="E87" s="3" t="s">
        <v>2629</v>
      </c>
      <c r="J87" s="4" t="str">
        <f>IFERROR(__xludf.DUMMYFUNCTION("GOOGLETRANSLATE(A87, ""en"", ""bn"")"),"৮৬")</f>
        <v>৮৬</v>
      </c>
      <c r="K87" s="4" t="str">
        <f>IFERROR(__xludf.DUMMYFUNCTION("GOOGLETRANSLATE(B87, ""en"", ""bn"")"),"যদি কোন দল তার নির্ধারিত লেনের বাইরে সারিবদ্ধ হয় তাহলে কী হবে?")</f>
        <v>যদি কোন দল তার নির্ধারিত লেনের বাইরে সারিবদ্ধ হয় তাহলে কী হবে?</v>
      </c>
      <c r="L87" s="4" t="str">
        <f>IFERROR(__xludf.DUMMYFUNCTION("GOOGLETRANSLATE(C87, ""en"", ""bn"")"),"ক) সতর্কতা, খ) পুনঃসূচনা, গ) অযোগ্যতা, ঘ) অনিচ্ছাকৃতভাবে অনুমোদিত")</f>
        <v>ক) সতর্কতা, খ) পুনঃসূচনা, গ) অযোগ্যতা, ঘ) অনিচ্ছাকৃতভাবে অনুমোদিত</v>
      </c>
      <c r="M87" s="4" t="str">
        <f>IFERROR(__xludf.DUMMYFUNCTION("GOOGLETRANSLATE(D87, ""en"", ""bn"")"),"গ) অযোগ্যতা")</f>
        <v>গ) অযোগ্যতা</v>
      </c>
      <c r="N87" s="4" t="str">
        <f>IFERROR(__xludf.DUMMYFUNCTION("GOOGLETRANSLATE(E87, ""en"", ""bn"")"),"লেন লঙ্ঘনের ফলে সাধারণত অযোগ্যতা ঘোষণা করা হয়।")</f>
        <v>লেন লঙ্ঘনের ফলে সাধারণত অযোগ্যতা ঘোষণা করা হয়।</v>
      </c>
    </row>
    <row r="88">
      <c r="A88" s="3">
        <v>87.0</v>
      </c>
      <c r="B88" s="3" t="s">
        <v>2630</v>
      </c>
      <c r="C88" s="3" t="s">
        <v>2631</v>
      </c>
      <c r="D88" s="3" t="s">
        <v>2632</v>
      </c>
      <c r="E88" s="3" t="s">
        <v>2633</v>
      </c>
      <c r="J88" s="4" t="str">
        <f>IFERROR(__xludf.DUMMYFUNCTION("GOOGLETRANSLATE(A88, ""en"", ""bn"")"),"৮৭")</f>
        <v>৮৭</v>
      </c>
      <c r="K88" s="4" t="str">
        <f>IFERROR(__xludf.DUMMYFUNCTION("GOOGLETRANSLATE(B88, ""en"", ""bn"")"),"রেফারির সংকেত শুরু হলে রোয়ারদের কী করা উচিত নয়?")</f>
        <v>রেফারির সংকেত শুরু হলে রোয়ারদের কী করা উচিত নয়?</v>
      </c>
      <c r="L88" s="4" t="str">
        <f>IFERROR(__xludf.DUMMYFUNCTION("GOOGLETRANSLATE(C88, ""en"", ""bn"")"),"ক) প্যাডেল, খ) চিৎকার, গ) ইচ্ছাকৃতভাবে বিলম্ব, ঘ) সারি সমলয়")</f>
        <v>ক) প্যাডেল, খ) চিৎকার, গ) ইচ্ছাকৃতভাবে বিলম্ব, ঘ) সারি সমলয়</v>
      </c>
      <c r="M88" s="4" t="str">
        <f>IFERROR(__xludf.DUMMYFUNCTION("GOOGLETRANSLATE(D88, ""en"", ""bn"")"),"গ) ইচ্ছাকৃতভাবে বিলম্ব করা")</f>
        <v>গ) ইচ্ছাকৃতভাবে বিলম্ব করা</v>
      </c>
      <c r="N88" s="4" t="str">
        <f>IFERROR(__xludf.DUMMYFUNCTION("GOOGLETRANSLATE(E88, ""en"", ""bn"")"),"ইচ্ছাকৃতভাবে শুরুতে বিলম্ব করা একটি লঙ্ঘন।")</f>
        <v>ইচ্ছাকৃতভাবে শুরুতে বিলম্ব করা একটি লঙ্ঘন।</v>
      </c>
    </row>
    <row r="89">
      <c r="A89" s="3">
        <v>88.0</v>
      </c>
      <c r="B89" s="3" t="s">
        <v>2634</v>
      </c>
      <c r="C89" s="3" t="s">
        <v>2635</v>
      </c>
      <c r="D89" s="3" t="s">
        <v>2636</v>
      </c>
      <c r="E89" s="3" t="s">
        <v>2637</v>
      </c>
      <c r="J89" s="4" t="str">
        <f>IFERROR(__xludf.DUMMYFUNCTION("GOOGLETRANSLATE(A89, ""en"", ""bn"")"),"৮৮")</f>
        <v>৮৮</v>
      </c>
      <c r="K89" s="4" t="str">
        <f>IFERROR(__xludf.DUMMYFUNCTION("GOOGLETRANSLATE(B89, ""en"", ""bn"")"),"দৌড় প্রতিযোগিতার সময় যদি কোন রোয়ার লাফিয়ে পড়ে তাহলে কী হবে?")</f>
        <v>দৌড় প্রতিযোগিতার সময় যদি কোন রোয়ার লাফিয়ে পড়ে তাহলে কী হবে?</v>
      </c>
      <c r="L89" s="4" t="str">
        <f>IFERROR(__xludf.DUMMYFUNCTION("GOOGLETRANSLATE(C89, ""en"", ""bn"")"),"ক) পুনরায় শুরু করুন, খ) এগুলো ছাড়াই চালিয়ে যান, গ) মিড-রেস প্রতিস্থাপন করুন, ঘ) অটো-উইন")</f>
        <v>ক) পুনরায় শুরু করুন, খ) এগুলো ছাড়াই চালিয়ে যান, গ) মিড-রেস প্রতিস্থাপন করুন, ঘ) অটো-উইন</v>
      </c>
      <c r="M89" s="4" t="str">
        <f>IFERROR(__xludf.DUMMYFUNCTION("GOOGLETRANSLATE(D89, ""en"", ""bn"")"),"খ) তাদের ছাড়াই চালিয়ে যান")</f>
        <v>খ) তাদের ছাড়াই চালিয়ে যান</v>
      </c>
      <c r="N89" s="4" t="str">
        <f>IFERROR(__xludf.DUMMYFUNCTION("GOOGLETRANSLATE(E89, ""en"", ""bn"")"),"দলগুলিকে সেই রোয়ার ছাড়াই চালিয়ে যেতে হবে, প্রতিস্থাপন অনুমোদিত নয়।")</f>
        <v>দলগুলিকে সেই রোয়ার ছাড়াই চালিয়ে যেতে হবে, প্রতিস্থাপন অনুমোদিত নয়।</v>
      </c>
    </row>
    <row r="90">
      <c r="A90" s="3">
        <v>89.0</v>
      </c>
      <c r="B90" s="3" t="s">
        <v>2638</v>
      </c>
      <c r="C90" s="3" t="s">
        <v>2639</v>
      </c>
      <c r="D90" s="3" t="s">
        <v>2640</v>
      </c>
      <c r="E90" s="3" t="s">
        <v>2641</v>
      </c>
      <c r="J90" s="4" t="str">
        <f>IFERROR(__xludf.DUMMYFUNCTION("GOOGLETRANSLATE(A90, ""en"", ""bn"")"),"৮৯")</f>
        <v>৮৯</v>
      </c>
      <c r="K90" s="4" t="str">
        <f>IFERROR(__xludf.DUMMYFUNCTION("GOOGLETRANSLATE(B90, ""en"", ""bn"")"),"সময় পর্যালোচনার পরেও যদি নৌকা বাঁধে তাহলে কী হবে?")</f>
        <v>সময় পর্যালোচনার পরেও যদি নৌকা বাঁধে তাহলে কী হবে?</v>
      </c>
      <c r="L90" s="4" t="str">
        <f>IFERROR(__xludf.DUMMYFUNCTION("GOOGLETRANSLATE(C90, ""en"", ""bn"")"),"ক) রিপ্লে, খ) যৌথ জয়, গ) উভয়েরই পরাজয়, ঘ) রেফারি টস কয়েন")</f>
        <v>ক) রিপ্লে, খ) যৌথ জয়, গ) উভয়েরই পরাজয়, ঘ) রেফারি টস কয়েন</v>
      </c>
      <c r="M90" s="4" t="str">
        <f>IFERROR(__xludf.DUMMYFUNCTION("GOOGLETRANSLATE(D90, ""en"", ""bn"")"),"ক) রিপ্লে")</f>
        <v>ক) রিপ্লে</v>
      </c>
      <c r="N90" s="4" t="str">
        <f>IFERROR(__xludf.DUMMYFUNCTION("GOOGLETRANSLATE(E90, ""en"", ""bn"")"),"যদি সময়ের ব্যবধান নৌকাগুলিকে আলাদা করতে না পারে, তাহলে পুনরায় খেলা চালানো হতে পারে।")</f>
        <v>যদি সময়ের ব্যবধান নৌকাগুলিকে আলাদা করতে না পারে, তাহলে পুনরায় খেলা চালানো হতে পারে।</v>
      </c>
    </row>
    <row r="91">
      <c r="A91" s="3">
        <v>90.0</v>
      </c>
      <c r="B91" s="3" t="s">
        <v>2642</v>
      </c>
      <c r="C91" s="3" t="s">
        <v>2643</v>
      </c>
      <c r="D91" s="3" t="s">
        <v>2644</v>
      </c>
      <c r="E91" s="3" t="s">
        <v>2645</v>
      </c>
      <c r="J91" s="4" t="str">
        <f>IFERROR(__xludf.DUMMYFUNCTION("GOOGLETRANSLATE(A91, ""en"", ""bn"")"),"৯০")</f>
        <v>৯০</v>
      </c>
      <c r="K91" s="4" t="str">
        <f>IFERROR(__xludf.DUMMYFUNCTION("GOOGLETRANSLATE(B91, ""en"", ""bn"")"),"নৌকা বাইচে উল্লাসের ক্ষেত্রে কোন নিয়ম প্রযোজ্য?")</f>
        <v>নৌকা বাইচে উল্লাসের ক্ষেত্রে কোন নিয়ম প্রযোজ্য?</v>
      </c>
      <c r="L91" s="4" t="str">
        <f>IFERROR(__xludf.DUMMYFUNCTION("GOOGLETRANSLATE(C91, ""en"", ""bn"")"),"ক) অনুমোদিত, খ) নিষিদ্ধ, গ) শুধুমাত্র ড্রামারদের দ্বারা অনুমোদিত, ঘ) দণ্ডিত")</f>
        <v>ক) অনুমোদিত, খ) নিষিদ্ধ, গ) শুধুমাত্র ড্রামারদের দ্বারা অনুমোদিত, ঘ) দণ্ডিত</v>
      </c>
      <c r="M91" s="4" t="str">
        <f>IFERROR(__xludf.DUMMYFUNCTION("GOOGLETRANSLATE(D91, ""en"", ""bn"")"),"ক) অনুমোদিত")</f>
        <v>ক) অনুমোদিত</v>
      </c>
      <c r="N91" s="4" t="str">
        <f>IFERROR(__xludf.DUMMYFUNCTION("GOOGLETRANSLATE(E91, ""en"", ""bn"")"),"দল এবং দর্শকরা উল্লাস করতে পারে, কিন্তু এতে অন্যদের বিরক্ত করা উচিত নয়।")</f>
        <v>দল এবং দর্শকরা উল্লাস করতে পারে, কিন্তু এতে অন্যদের বিরক্ত করা উচিত নয়।</v>
      </c>
    </row>
    <row r="92">
      <c r="A92" s="3">
        <v>91.0</v>
      </c>
      <c r="B92" s="3" t="s">
        <v>2646</v>
      </c>
      <c r="C92" s="3" t="s">
        <v>2647</v>
      </c>
      <c r="D92" s="3" t="s">
        <v>2648</v>
      </c>
      <c r="E92" s="3" t="s">
        <v>2649</v>
      </c>
      <c r="J92" s="4" t="str">
        <f>IFERROR(__xludf.DUMMYFUNCTION("GOOGLETRANSLATE(A92, ""en"", ""bn"")"),"৯১")</f>
        <v>৯১</v>
      </c>
      <c r="K92" s="4" t="str">
        <f>IFERROR(__xludf.DUMMYFUNCTION("GOOGLETRANSLATE(B92, ""en"", ""bn"")"),"নৌকা বাইচের সময় নৌকাচালকদের নিরাপত্তা কে নিশ্চিত করে?")</f>
        <v>নৌকা বাইচের সময় নৌকাচালকদের নিরাপত্তা কে নিশ্চিত করে?</v>
      </c>
      <c r="L92" s="4" t="str">
        <f>IFERROR(__xludf.DUMMYFUNCTION("GOOGLETRANSLATE(C92, ""en"", ""bn"")"),"ক) দর্শক, খ) আয়োজক, গ) অন্যান্য দল, ঘ) ড্রামার")</f>
        <v>ক) দর্শক, খ) আয়োজক, গ) অন্যান্য দল, ঘ) ড্রামার</v>
      </c>
      <c r="M92" s="4" t="str">
        <f>IFERROR(__xludf.DUMMYFUNCTION("GOOGLETRANSLATE(D92, ""en"", ""bn"")"),"খ) আয়োজক")</f>
        <v>খ) আয়োজক</v>
      </c>
      <c r="N92" s="4" t="str">
        <f>IFERROR(__xludf.DUMMYFUNCTION("GOOGLETRANSLATE(E92, ""en"", ""bn"")"),"আয়োজকরা নিরাপত্তা প্রোটোকল প্রয়োগ করেন এবং উদ্ধারকারী দলকে প্রস্তুত রাখেন।")</f>
        <v>আয়োজকরা নিরাপত্তা প্রোটোকল প্রয়োগ করেন এবং উদ্ধারকারী দলকে প্রস্তুত রাখেন।</v>
      </c>
    </row>
    <row r="93">
      <c r="A93" s="3">
        <v>92.0</v>
      </c>
      <c r="B93" s="3" t="s">
        <v>2650</v>
      </c>
      <c r="C93" s="3" t="s">
        <v>2651</v>
      </c>
      <c r="D93" s="3" t="s">
        <v>401</v>
      </c>
      <c r="E93" s="3" t="s">
        <v>2652</v>
      </c>
      <c r="J93" s="4" t="str">
        <f>IFERROR(__xludf.DUMMYFUNCTION("GOOGLETRANSLATE(A93, ""en"", ""bn"")"),"৯২")</f>
        <v>৯২</v>
      </c>
      <c r="K93" s="4" t="str">
        <f>IFERROR(__xludf.DUMMYFUNCTION("GOOGLETRANSLATE(B93, ""en"", ""bn"")"),"সিগন্যালের আগে যদি নৌকা প্যাডেল চালাতে শুরু করে তাহলে কী হবে?")</f>
        <v>সিগন্যালের আগে যদি নৌকা প্যাডেল চালাতে শুরু করে তাহলে কী হবে?</v>
      </c>
      <c r="L93" s="4" t="str">
        <f>IFERROR(__xludf.DUMMYFUNCTION("GOOGLETRANSLATE(C93, ""en"", ""bn"")"),"ক) পুনঃসূচনা, খ) সতর্কতা, গ) অযোগ্যতা, ঘ) বিনামূল্যে শুরু")</f>
        <v>ক) পুনঃসূচনা, খ) সতর্কতা, গ) অযোগ্যতা, ঘ) বিনামূল্যে শুরু</v>
      </c>
      <c r="M93" s="4" t="str">
        <f>IFERROR(__xludf.DUMMYFUNCTION("GOOGLETRANSLATE(D93, ""en"", ""bn"")"),"গ) অযোগ্যতা")</f>
        <v>গ) অযোগ্যতা</v>
      </c>
      <c r="N93" s="4" t="str">
        <f>IFERROR(__xludf.DUMMYFUNCTION("GOOGLETRANSLATE(E93, ""en"", ""bn"")"),"তাড়াতাড়ি শুরু করলে অন্যায্য সুবিধা পাওয়া যায় এবং অযোগ্যতার দিকে পরিচালিত করে।")</f>
        <v>তাড়াতাড়ি শুরু করলে অন্যায্য সুবিধা পাওয়া যায় এবং অযোগ্যতার দিকে পরিচালিত করে।</v>
      </c>
    </row>
    <row r="94">
      <c r="A94" s="3">
        <v>93.0</v>
      </c>
      <c r="B94" s="3" t="s">
        <v>2653</v>
      </c>
      <c r="C94" s="3" t="s">
        <v>2654</v>
      </c>
      <c r="D94" s="3" t="s">
        <v>2655</v>
      </c>
      <c r="E94" s="3" t="s">
        <v>2656</v>
      </c>
      <c r="J94" s="4" t="str">
        <f>IFERROR(__xludf.DUMMYFUNCTION("GOOGLETRANSLATE(A94, ""en"", ""bn"")"),"৯৩")</f>
        <v>৯৩</v>
      </c>
      <c r="K94" s="4" t="str">
        <f>IFERROR(__xludf.DUMMYFUNCTION("GOOGLETRANSLATE(B94, ""en"", ""bn"")"),"যদি ঢাকি তাল ধরে রাখতে ব্যর্থ হয় তাহলে কী হবে?")</f>
        <v>যদি ঢাকি তাল ধরে রাখতে ব্যর্থ হয় তাহলে কী হবে?</v>
      </c>
      <c r="L94" s="4" t="str">
        <f>IFERROR(__xludf.DUMMYFUNCTION("GOOGLETRANSLATE(C94, ""en"", ""bn"")"),"ক) জরিমানা, খ) দৌড়ের মাঝামাঝি সময়ে প্রতিস্থাপন, গ) দলীয় লড়াই, ঘ) অযোগ্যতা")</f>
        <v>ক) জরিমানা, খ) দৌড়ের মাঝামাঝি সময়ে প্রতিস্থাপন, গ) দলীয় লড়াই, ঘ) অযোগ্যতা</v>
      </c>
      <c r="M94" s="4" t="str">
        <f>IFERROR(__xludf.DUMMYFUNCTION("GOOGLETRANSLATE(D94, ""en"", ""bn"")"),"গ) দলের লড়াই")</f>
        <v>গ) দলের লড়াই</v>
      </c>
      <c r="N94" s="4" t="str">
        <f>IFERROR(__xludf.DUMMYFUNCTION("GOOGLETRANSLATE(E94, ""en"", ""bn"")"),"দুর্বল ছন্দ সমন্বয়ের ক্ষতি করে কিন্তু এটি অযোগ্যতা নয়।")</f>
        <v>দুর্বল ছন্দ সমন্বয়ের ক্ষতি করে কিন্তু এটি অযোগ্যতা নয়।</v>
      </c>
    </row>
    <row r="95">
      <c r="A95" s="3">
        <v>94.0</v>
      </c>
      <c r="B95" s="3" t="s">
        <v>2657</v>
      </c>
      <c r="C95" s="3" t="s">
        <v>2658</v>
      </c>
      <c r="D95" s="3" t="s">
        <v>2659</v>
      </c>
      <c r="E95" s="3" t="s">
        <v>2660</v>
      </c>
      <c r="J95" s="4" t="str">
        <f>IFERROR(__xludf.DUMMYFUNCTION("GOOGLETRANSLATE(A95, ""en"", ""bn"")"),"৯৪")</f>
        <v>৯৪</v>
      </c>
      <c r="K95" s="4" t="str">
        <f>IFERROR(__xludf.DUMMYFUNCTION("GOOGLETRANSLATE(B95, ""en"", ""bn"")"),"অন্যদের ওভারটেক করার সময় দলগুলিকে কী এড়িয়ে চলতে হবে?")</f>
        <v>অন্যদের ওভারটেক করার সময় দলগুলিকে কী এড়িয়ে চলতে হবে?</v>
      </c>
      <c r="L95" s="4" t="str">
        <f>IFERROR(__xludf.DUMMYFUNCTION("GOOGLETRANSLATE(C95, ""en"", ""bn"")"),"ক) সংঘর্ষ, খ) চিৎকার, গ) দ্রুত গতিতে চলা, ঘ) ঢোল বাজানো")</f>
        <v>ক) সংঘর্ষ, খ) চিৎকার, গ) দ্রুত গতিতে চলা, ঘ) ঢোল বাজানো</v>
      </c>
      <c r="M95" s="4" t="str">
        <f>IFERROR(__xludf.DUMMYFUNCTION("GOOGLETRANSLATE(D95, ""en"", ""bn"")"),"ক) সংঘর্ষ")</f>
        <v>ক) সংঘর্ষ</v>
      </c>
      <c r="N95" s="4" t="str">
        <f>IFERROR(__xludf.DUMMYFUNCTION("GOOGLETRANSLATE(E95, ""en"", ""bn"")"),"ওভারটেকিং অবশ্যই পরিষ্কার হতে হবে, অন্য নৌকা স্পর্শ না করে।")</f>
        <v>ওভারটেকিং অবশ্যই পরিষ্কার হতে হবে, অন্য নৌকা স্পর্শ না করে।</v>
      </c>
    </row>
    <row r="96">
      <c r="A96" s="3">
        <v>95.0</v>
      </c>
      <c r="B96" s="3" t="s">
        <v>2661</v>
      </c>
      <c r="C96" s="3" t="s">
        <v>2662</v>
      </c>
      <c r="D96" s="3" t="s">
        <v>2663</v>
      </c>
      <c r="E96" s="3" t="s">
        <v>2664</v>
      </c>
      <c r="J96" s="4" t="str">
        <f>IFERROR(__xludf.DUMMYFUNCTION("GOOGLETRANSLATE(A96, ""en"", ""bn"")"),"৯৫")</f>
        <v>৯৫</v>
      </c>
      <c r="K96" s="4" t="str">
        <f>IFERROR(__xludf.DUMMYFUNCTION("GOOGLETRANSLATE(B96, ""en"", ""bn"")"),"নৌকা বাইচ দৌড়ের সমাপ্তির ইঙ্গিত কী?")</f>
        <v>নৌকা বাইচ দৌড়ের সমাপ্তির ইঙ্গিত কী?</v>
      </c>
      <c r="L96" s="4" t="str">
        <f>IFERROR(__xludf.DUMMYFUNCTION("GOOGLETRANSLATE(C96, ""en"", ""bn"")"),"ক) ড্রাম থামানো, খ) রেফারির বাঁশি, গ) নৌকা পারাপারের সমাপ্তি, ঘ) উল্লাস")</f>
        <v>ক) ড্রাম থামানো, খ) রেফারির বাঁশি, গ) নৌকা পারাপারের সমাপ্তি, ঘ) উল্লাস</v>
      </c>
      <c r="M96" s="4" t="str">
        <f>IFERROR(__xludf.DUMMYFUNCTION("GOOGLETRANSLATE(D96, ""en"", ""bn"")"),"গ) নৌকা পারাপারের সমাপ্তি")</f>
        <v>গ) নৌকা পারাপারের সমাপ্তি</v>
      </c>
      <c r="N96" s="4" t="str">
        <f>IFERROR(__xludf.DUMMYFUNCTION("GOOGLETRANSLATE(E96, ""en"", ""bn"")"),"প্রথম নৌকাটি যখন শেষ রেখা অতিক্রম করে তখন দৌড় শেষ হয়।")</f>
        <v>প্রথম নৌকাটি যখন শেষ রেখা অতিক্রম করে তখন দৌড় শেষ হয়।</v>
      </c>
    </row>
    <row r="97">
      <c r="A97" s="3">
        <v>96.0</v>
      </c>
      <c r="B97" s="3" t="s">
        <v>2665</v>
      </c>
      <c r="C97" s="3" t="s">
        <v>2666</v>
      </c>
      <c r="D97" s="3" t="s">
        <v>2176</v>
      </c>
      <c r="E97" s="3" t="s">
        <v>2667</v>
      </c>
      <c r="J97" s="4" t="str">
        <f>IFERROR(__xludf.DUMMYFUNCTION("GOOGLETRANSLATE(A97, ""en"", ""bn"")"),"৯৬")</f>
        <v>৯৬</v>
      </c>
      <c r="K97" s="4" t="str">
        <f>IFERROR(__xludf.DUMMYFUNCTION("GOOGLETRANSLATE(B97, ""en"", ""bn"")"),"যদি কোনও দল অননুমোদিত বিকল্প খেলোয়াড় ব্যবহার করে তবে কী হবে?")</f>
        <v>যদি কোনও দল অননুমোদিত বিকল্প খেলোয়াড় ব্যবহার করে তবে কী হবে?</v>
      </c>
      <c r="L97" s="4" t="str">
        <f>IFERROR(__xludf.DUMMYFUNCTION("GOOGLETRANSLATE(C97, ""en"", ""bn"")"),"ক) সতর্কীকরণ, খ) অযোগ্যতা, গ) পুনঃসূচনা, ঘ) জরিমানা")</f>
        <v>ক) সতর্কীকরণ, খ) অযোগ্যতা, গ) পুনঃসূচনা, ঘ) জরিমানা</v>
      </c>
      <c r="M97" s="4" t="str">
        <f>IFERROR(__xludf.DUMMYFUNCTION("GOOGLETRANSLATE(D97, ""en"", ""bn"")"),"খ) অযোগ্যতা")</f>
        <v>খ) অযোগ্যতা</v>
      </c>
      <c r="N97" s="4" t="str">
        <f>IFERROR(__xludf.DUMMYFUNCTION("GOOGLETRANSLATE(E97, ""en"", ""bn"")"),"অফিসিয়াল প্রতিযোগিতায় অননুমোদিত বিকল্প খেলোয়াড়দের অনুমতি নেই।")</f>
        <v>অফিসিয়াল প্রতিযোগিতায় অননুমোদিত বিকল্প খেলোয়াড়দের অনুমতি নেই।</v>
      </c>
    </row>
    <row r="98">
      <c r="A98" s="3">
        <v>97.0</v>
      </c>
      <c r="B98" s="3" t="s">
        <v>2668</v>
      </c>
      <c r="C98" s="3" t="s">
        <v>2669</v>
      </c>
      <c r="D98" s="3" t="s">
        <v>2670</v>
      </c>
      <c r="E98" s="3" t="s">
        <v>2671</v>
      </c>
      <c r="J98" s="4" t="str">
        <f>IFERROR(__xludf.DUMMYFUNCTION("GOOGLETRANSLATE(A98, ""en"", ""bn"")"),"৯৭")</f>
        <v>৯৭</v>
      </c>
      <c r="K98" s="4" t="str">
        <f>IFERROR(__xludf.DUMMYFUNCTION("GOOGLETRANSLATE(B98, ""en"", ""bn"")"),"নৌকা বাইচে নৌকার আকার কোন নিয়ম দ্বারা নিয়ন্ত্রিত হয়?")</f>
        <v>নৌকা বাইচে নৌকার আকার কোন নিয়ম দ্বারা নিয়ন্ত্রিত হয়?</v>
      </c>
      <c r="L98" s="4" t="str">
        <f>IFERROR(__xludf.DUMMYFUNCTION("GOOGLETRANSLATE(C98, ""en"", ""bn"")"),"ক) সীমা নেই, খ) মানসম্মত, গ) সকলের জন্য স্থির, ঘ) নমনীয়")</f>
        <v>ক) সীমা নেই, খ) মানসম্মত, গ) সকলের জন্য স্থির, ঘ) নমনীয়</v>
      </c>
      <c r="M98" s="4" t="str">
        <f>IFERROR(__xludf.DUMMYFUNCTION("GOOGLETRANSLATE(D98, ""en"", ""bn"")"),"খ) মানসম্মত")</f>
        <v>খ) মানসম্মত</v>
      </c>
      <c r="N98" s="4" t="str">
        <f>IFERROR(__xludf.DUMMYFUNCTION("GOOGLETRANSLATE(E98, ""en"", ""bn"")"),"ন্যায্যতা নিশ্চিত করার জন্য ইভেন্টগুলি সাধারণত নৌকার আকারকে মানসম্মত করে।")</f>
        <v>ন্যায্যতা নিশ্চিত করার জন্য ইভেন্টগুলি সাধারণত নৌকার আকারকে মানসম্মত করে।</v>
      </c>
    </row>
    <row r="99">
      <c r="A99" s="3">
        <v>98.0</v>
      </c>
      <c r="B99" s="3" t="s">
        <v>2672</v>
      </c>
      <c r="C99" s="3" t="s">
        <v>2673</v>
      </c>
      <c r="D99" s="3" t="s">
        <v>2674</v>
      </c>
      <c r="E99" s="3" t="s">
        <v>2675</v>
      </c>
      <c r="J99" s="4" t="str">
        <f>IFERROR(__xludf.DUMMYFUNCTION("GOOGLETRANSLATE(A99, ""en"", ""bn"")"),"৯৮")</f>
        <v>৯৮</v>
      </c>
      <c r="K99" s="4" t="str">
        <f>IFERROR(__xludf.DUMMYFUNCTION("GOOGLETRANSLATE(B99, ""en"", ""bn"")"),"আবহাওয়া অনিরাপদ হয়ে পড়লে নৌকাচালকদের কী করা উচিত?")</f>
        <v>আবহাওয়া অনিরাপদ হয়ে পড়লে নৌকাচালকদের কী করা উচিত?</v>
      </c>
      <c r="L99" s="4" t="str">
        <f>IFERROR(__xludf.DUMMYFUNCTION("GOOGLETRANSLATE(C99, ""en"", ""bn"")"),"ক) থামো, খ) চালিয়ে যাও, গ) উপেক্ষা করো, ঘ) গতি বাড়াও")</f>
        <v>ক) থামো, খ) চালিয়ে যাও, গ) উপেক্ষা করো, ঘ) গতি বাড়াও</v>
      </c>
      <c r="M99" s="4" t="str">
        <f>IFERROR(__xludf.DUMMYFUNCTION("GOOGLETRANSLATE(D99, ""en"", ""bn"")"),"ক) থামো")</f>
        <v>ক) থামো</v>
      </c>
      <c r="N99" s="4" t="str">
        <f>IFERROR(__xludf.DUMMYFUNCTION("GOOGLETRANSLATE(E99, ""en"", ""bn"")"),"আবহাওয়া অনিরাপদ হয়ে গেলে নিরাপত্তা নিয়ম অনুসারে নৌকা থামানো বাধ্যতামূলক।")</f>
        <v>আবহাওয়া অনিরাপদ হয়ে গেলে নিরাপত্তা নিয়ম অনুসারে নৌকা থামানো বাধ্যতামূলক।</v>
      </c>
    </row>
    <row r="100">
      <c r="A100" s="3">
        <v>99.0</v>
      </c>
      <c r="B100" s="3" t="s">
        <v>2676</v>
      </c>
      <c r="C100" s="3" t="s">
        <v>2677</v>
      </c>
      <c r="D100" s="3" t="s">
        <v>1614</v>
      </c>
      <c r="E100" s="3" t="s">
        <v>2678</v>
      </c>
      <c r="J100" s="4" t="str">
        <f>IFERROR(__xludf.DUMMYFUNCTION("GOOGLETRANSLATE(A100, ""en"", ""bn"")"),"৯৯")</f>
        <v>৯৯</v>
      </c>
      <c r="K100" s="4" t="str">
        <f>IFERROR(__xludf.DUMMYFUNCTION("GOOGLETRANSLATE(B100, ""en"", ""bn"")"),"কে একটি দৌড় বাতিল করার জন্য অনুমোদিত?")</f>
        <v>কে একটি দৌড় বাতিল করার জন্য অনুমোদিত?</v>
      </c>
      <c r="L100" s="4" t="str">
        <f>IFERROR(__xludf.DUMMYFUNCTION("GOOGLETRANSLATE(C100, ""en"", ""bn"")"),"ক) দর্শক, খ) রেফারি, গ) ড্রামার, ঘ) নৌকার অধিনায়ক")</f>
        <v>ক) দর্শক, খ) রেফারি, গ) ড্রামার, ঘ) নৌকার অধিনায়ক</v>
      </c>
      <c r="M100" s="4" t="str">
        <f>IFERROR(__xludf.DUMMYFUNCTION("GOOGLETRANSLATE(D100, ""en"", ""bn"")"),"খ) রেফারি")</f>
        <v>খ) রেফারি</v>
      </c>
      <c r="N100" s="4" t="str">
        <f>IFERROR(__xludf.DUMMYFUNCTION("GOOGLETRANSLATE(E100, ""en"", ""bn"")"),"শুধুমাত্র রেফারিই আনুষ্ঠানিকভাবে দৌড় বাতিল করতে পারেন।")</f>
        <v>শুধুমাত্র রেফারিই আনুষ্ঠানিকভাবে দৌড় বাতিল করতে পারেন।</v>
      </c>
    </row>
    <row r="101">
      <c r="A101" s="3">
        <v>100.0</v>
      </c>
      <c r="B101" s="3" t="s">
        <v>2679</v>
      </c>
      <c r="C101" s="3" t="s">
        <v>2680</v>
      </c>
      <c r="D101" s="3" t="s">
        <v>2681</v>
      </c>
      <c r="E101" s="3" t="s">
        <v>2682</v>
      </c>
      <c r="J101" s="4" t="str">
        <f>IFERROR(__xludf.DUMMYFUNCTION("GOOGLETRANSLATE(A101, ""en"", ""bn"")"),"১০০")</f>
        <v>১০০</v>
      </c>
      <c r="K101" s="4" t="str">
        <f>IFERROR(__xludf.DUMMYFUNCTION("GOOGLETRANSLATE(B101, ""en"", ""bn"")"),"দৌড় প্রতিযোগিতা জুড়ে রোয়ারদের কী বজায় রাখতে হবে?")</f>
        <v>দৌড় প্রতিযোগিতা জুড়ে রোয়ারদের কী বজায় রাখতে হবে?</v>
      </c>
      <c r="L101" s="4" t="str">
        <f>IFERROR(__xludf.DUMMYFUNCTION("GOOGLETRANSLATE(C101, ""en"", ""bn"")"),"ক) ছন্দ, খ) নীরবতা, গ) নৌকা সাজসজ্জা, ঘ) কেবল ভঙ্গিমা")</f>
        <v>ক) ছন্দ, খ) নীরবতা, গ) নৌকা সাজসজ্জা, ঘ) কেবল ভঙ্গিমা</v>
      </c>
      <c r="M101" s="4" t="str">
        <f>IFERROR(__xludf.DUMMYFUNCTION("GOOGLETRANSLATE(D101, ""en"", ""bn"")"),"ক) ছন্দ")</f>
        <v>ক) ছন্দ</v>
      </c>
      <c r="N101" s="4" t="str">
        <f>IFERROR(__xludf.DUMMYFUNCTION("GOOGLETRANSLATE(E101, ""en"", ""bn"")"),"অবিচ্ছিন্ন ছন্দ গতি এবং ভারসাম্য নিশ্চিত করে।")</f>
        <v>অবিচ্ছিন্ন ছন্দ গতি এবং ভারসাম্য নিশ্চিত করে।</v>
      </c>
    </row>
    <row r="102">
      <c r="A102" s="3">
        <v>101.0</v>
      </c>
      <c r="B102" s="3" t="s">
        <v>2683</v>
      </c>
      <c r="C102" s="3" t="s">
        <v>2684</v>
      </c>
      <c r="D102" s="3" t="s">
        <v>2685</v>
      </c>
      <c r="E102" s="3" t="s">
        <v>2686</v>
      </c>
      <c r="J102" s="4" t="str">
        <f>IFERROR(__xludf.DUMMYFUNCTION("GOOGLETRANSLATE(A102, ""en"", ""bn"")"),"১০১")</f>
        <v>১০১</v>
      </c>
      <c r="K102" s="4" t="str">
        <f>IFERROR(__xludf.DUMMYFUNCTION("GOOGLETRANSLATE(B102, ""en"", ""bn"")"),"শেষ রেখায় রোয়ারদের কী করা এড়ানো উচিত?")</f>
        <v>শেষ রেখায় রোয়ারদের কী করা এড়ানো উচিত?</v>
      </c>
      <c r="L102" s="4" t="str">
        <f>IFERROR(__xludf.DUMMYFUNCTION("GOOGLETRANSLATE(C102, ""en"", ""bn"")"),"ক) ধীর গতিতে চলা, খ) দাঁড়িয়ে থাকা, গ) সংঘর্ষ, ঘ) তাড়াতাড়ি উদযাপন করা")</f>
        <v>ক) ধীর গতিতে চলা, খ) দাঁড়িয়ে থাকা, গ) সংঘর্ষ, ঘ) তাড়াতাড়ি উদযাপন করা</v>
      </c>
      <c r="M102" s="4" t="str">
        <f>IFERROR(__xludf.DUMMYFUNCTION("GOOGLETRANSLATE(D102, ""en"", ""bn"")"),"গ) সংঘর্ষ")</f>
        <v>গ) সংঘর্ষ</v>
      </c>
      <c r="N102" s="4" t="str">
        <f>IFERROR(__xludf.DUMMYFUNCTION("GOOGLETRANSLATE(E102, ""en"", ""bn"")"),"ন্যায্য ফলাফল নিশ্চিত করার জন্য নৌকাগুলিকে শেষ পর্যায়ে স্পর্শ এড়িয়ে চলতে হবে।")</f>
        <v>ন্যায্য ফলাফল নিশ্চিত করার জন্য নৌকাগুলিকে শেষ পর্যায়ে স্পর্শ এড়িয়ে চলতে হবে।</v>
      </c>
    </row>
    <row r="103">
      <c r="A103" s="3">
        <v>102.0</v>
      </c>
      <c r="B103" s="3" t="s">
        <v>2687</v>
      </c>
      <c r="C103" s="3" t="s">
        <v>2688</v>
      </c>
      <c r="D103" s="3" t="s">
        <v>2689</v>
      </c>
      <c r="E103" s="3" t="s">
        <v>2690</v>
      </c>
      <c r="J103" s="4" t="str">
        <f>IFERROR(__xludf.DUMMYFUNCTION("GOOGLETRANSLATE(A103, ""en"", ""bn"")"),"১০২")</f>
        <v>১০২</v>
      </c>
      <c r="K103" s="4" t="str">
        <f>IFERROR(__xludf.DUMMYFUNCTION("GOOGLETRANSLATE(B103, ""en"", ""bn"")"),"যদি কোনও দল দৌড়ের সীমানার বাইরে সারিবদ্ধ হয় তবে কী হবে?")</f>
        <v>যদি কোনও দল দৌড়ের সীমানার বাইরে সারিবদ্ধ হয় তবে কী হবে?</v>
      </c>
      <c r="L103" s="4" t="str">
        <f>IFERROR(__xludf.DUMMYFUNCTION("GOOGLETRANSLATE(C103, ""en"", ""bn"")"),"ক) কোন প্রভাব নেই, খ) সতর্কীকরণ, গ) শাস্তি, ঘ) অযোগ্যতা")</f>
        <v>ক) কোন প্রভাব নেই, খ) সতর্কীকরণ, গ) শাস্তি, ঘ) অযোগ্যতা</v>
      </c>
      <c r="M103" s="4" t="str">
        <f>IFERROR(__xludf.DUMMYFUNCTION("GOOGLETRANSLATE(D103, ""en"", ""bn"")"),"ঘ) অযোগ্যতা")</f>
        <v>ঘ) অযোগ্যতা</v>
      </c>
      <c r="N103" s="4" t="str">
        <f>IFERROR(__xludf.DUMMYFUNCTION("GOOGLETRANSLATE(E103, ""en"", ""bn"")"),"জাতিগত সীমানা ত্যাগ করা অনুমোদিত নয় এবং এর ফলে অযোগ্যতা ঘোষণা করা হবে।")</f>
        <v>জাতিগত সীমানা ত্যাগ করা অনুমোদিত নয় এবং এর ফলে অযোগ্যতা ঘোষণা করা হবে।</v>
      </c>
    </row>
    <row r="104">
      <c r="A104" s="3">
        <v>103.0</v>
      </c>
      <c r="B104" s="3" t="s">
        <v>2691</v>
      </c>
      <c r="C104" s="3" t="s">
        <v>2692</v>
      </c>
      <c r="D104" s="3" t="s">
        <v>2693</v>
      </c>
      <c r="E104" s="3" t="s">
        <v>2694</v>
      </c>
      <c r="J104" s="4" t="str">
        <f>IFERROR(__xludf.DUMMYFUNCTION("GOOGLETRANSLATE(A104, ""en"", ""bn"")"),"১০৩")</f>
        <v>১০৩</v>
      </c>
      <c r="K104" s="4" t="str">
        <f>IFERROR(__xludf.DUMMYFUNCTION("GOOGLETRANSLATE(B104, ""en"", ""bn"")"),"রেফারির ভূমিকার কোন অংশটি সবচেয়ে গুরুত্বপূর্ণ?")</f>
        <v>রেফারির ভূমিকার কোন অংশটি সবচেয়ে গুরুত্বপূর্ণ?</v>
      </c>
      <c r="L104" s="4" t="str">
        <f>IFERROR(__xludf.DUMMYFUNCTION("GOOGLETRANSLATE(C104, ""en"", ""bn"")"),"ক) চিয়ার টিম, খ) স্কোর ধরে রাখুন, গ) নিয়ম বলবৎ করুন, ঘ) সারি করুন")</f>
        <v>ক) চিয়ার টিম, খ) স্কোর ধরে রাখুন, গ) নিয়ম বলবৎ করুন, ঘ) সারি করুন</v>
      </c>
      <c r="M104" s="4" t="str">
        <f>IFERROR(__xludf.DUMMYFUNCTION("GOOGLETRANSLATE(D104, ""en"", ""bn"")"),"গ) নিয়ম প্রয়োগ করা")</f>
        <v>গ) নিয়ম প্রয়োগ করা</v>
      </c>
      <c r="N104" s="4" t="str">
        <f>IFERROR(__xludf.DUMMYFUNCTION("GOOGLETRANSLATE(E104, ""en"", ""bn"")"),"রেফারিরা নিয়ম প্রয়োগ করেন এবং সুষ্ঠু দৌড় নিশ্চিত করেন।")</f>
        <v>রেফারিরা নিয়ম প্রয়োগ করেন এবং সুষ্ঠু দৌড় নিশ্চিত করেন।</v>
      </c>
    </row>
    <row r="105">
      <c r="A105" s="3">
        <v>104.0</v>
      </c>
      <c r="B105" s="3" t="s">
        <v>2695</v>
      </c>
      <c r="C105" s="3" t="s">
        <v>2696</v>
      </c>
      <c r="D105" s="3" t="s">
        <v>2697</v>
      </c>
      <c r="E105" s="3" t="s">
        <v>2698</v>
      </c>
      <c r="J105" s="4" t="str">
        <f>IFERROR(__xludf.DUMMYFUNCTION("GOOGLETRANSLATE(A105, ""en"", ""bn"")"),"১০৪")</f>
        <v>১০৪</v>
      </c>
      <c r="K105" s="4" t="str">
        <f>IFERROR(__xludf.DUMMYFUNCTION("GOOGLETRANSLATE(B105, ""en"", ""bn"")"),"নৌকায় নৌকাচালকদের কীভাবে বসতে হবে?")</f>
        <v>নৌকায় নৌকাচালকদের কীভাবে বসতে হবে?</v>
      </c>
      <c r="L105" s="4" t="str">
        <f>IFERROR(__xludf.DUMMYFUNCTION("GOOGLETRANSLATE(C105, ""en"", ""bn"")"),"ক) সামনের দিকে মুখ করে, খ) পিছনের দিকে মুখ করে, গ) দাঁড়িয়ে, ঘ) আড়াআড়িভাবে পা রেখে")</f>
        <v>ক) সামনের দিকে মুখ করে, খ) পিছনের দিকে মুখ করে, গ) দাঁড়িয়ে, ঘ) আড়াআড়িভাবে পা রেখে</v>
      </c>
      <c r="M105" s="4" t="str">
        <f>IFERROR(__xludf.DUMMYFUNCTION("GOOGLETRANSLATE(D105, ""en"", ""bn"")"),"ক) সামনের দিকে মুখ করে")</f>
        <v>ক) সামনের দিকে মুখ করে</v>
      </c>
      <c r="N105" s="4" t="str">
        <f>IFERROR(__xludf.DUMMYFUNCTION("GOOGLETRANSLATE(E105, ""en"", ""bn"")"),"সারি সারি দক্ষতার সাথে চালানোর জন্য এবং ছন্দ বজায় রাখার জন্য রোয়ার্সরা সামনের দিকে মুখ করে বসে থাকে।")</f>
        <v>সারি সারি দক্ষতার সাথে চালানোর জন্য এবং ছন্দ বজায় রাখার জন্য রোয়ার্সরা সামনের দিকে মুখ করে বসে থাকে।</v>
      </c>
    </row>
    <row r="106">
      <c r="A106" s="3">
        <v>105.0</v>
      </c>
      <c r="B106" s="3" t="s">
        <v>2699</v>
      </c>
      <c r="C106" s="3" t="s">
        <v>2700</v>
      </c>
      <c r="D106" s="3" t="s">
        <v>2701</v>
      </c>
      <c r="E106" s="3" t="s">
        <v>2702</v>
      </c>
      <c r="J106" s="4" t="str">
        <f>IFERROR(__xludf.DUMMYFUNCTION("GOOGLETRANSLATE(A106, ""en"", ""bn"")"),"১০৫")</f>
        <v>১০৫</v>
      </c>
      <c r="K106" s="4" t="str">
        <f>IFERROR(__xludf.DUMMYFUNCTION("GOOGLETRANSLATE(B106, ""en"", ""bn"")"),"ভুল শুরুর পর দলগুলিকে অবিলম্বে কী করতে হবে?")</f>
        <v>ভুল শুরুর পর দলগুলিকে অবিলম্বে কী করতে হবে?</v>
      </c>
      <c r="L106" s="4" t="str">
        <f>IFERROR(__xludf.DUMMYFUNCTION("GOOGLETRANSLATE(C106, ""en"", ""bn"")"),"ক) দৌড় চালিয়ে যান, খ) শুরুর লাইনে ফিরে যান, গ) প্যাডলিং বন্ধ করুন, ঘ) লেন পরিবর্তন করুন")</f>
        <v>ক) দৌড় চালিয়ে যান, খ) শুরুর লাইনে ফিরে যান, গ) প্যাডলিং বন্ধ করুন, ঘ) লেন পরিবর্তন করুন</v>
      </c>
      <c r="M106" s="4" t="str">
        <f>IFERROR(__xludf.DUMMYFUNCTION("GOOGLETRANSLATE(D106, ""en"", ""bn"")"),"খ) শুরুর লাইনে ফিরে যান")</f>
        <v>খ) শুরুর লাইনে ফিরে যান</v>
      </c>
      <c r="N106" s="4" t="str">
        <f>IFERROR(__xludf.DUMMYFUNCTION("GOOGLETRANSLATE(E106, ""en"", ""bn"")"),"ফলস স্টার্টের জন্য নৌকাগুলিকে ফিরে এসে পুনরায় চালু করতে হয়।")</f>
        <v>ফলস স্টার্টের জন্য নৌকাগুলিকে ফিরে এসে পুনরায় চালু করতে হয়।</v>
      </c>
    </row>
    <row r="107">
      <c r="A107" s="3">
        <v>106.0</v>
      </c>
      <c r="B107" s="3" t="s">
        <v>2703</v>
      </c>
      <c r="C107" s="3" t="s">
        <v>2704</v>
      </c>
      <c r="D107" s="3" t="s">
        <v>2705</v>
      </c>
      <c r="E107" s="3" t="s">
        <v>2706</v>
      </c>
      <c r="J107" s="4" t="str">
        <f>IFERROR(__xludf.DUMMYFUNCTION("GOOGLETRANSLATE(A107, ""en"", ""bn"")"),"১০৬")</f>
        <v>১০৬</v>
      </c>
      <c r="K107" s="4" t="str">
        <f>IFERROR(__xludf.DUMMYFUNCTION("GOOGLETRANSLATE(B107, ""en"", ""bn"")"),"দৌড়ের সময় দলের সমর্থকদের জন্য কী নিষিদ্ধ?")</f>
        <v>দৌড়ের সময় দলের সমর্থকদের জন্য কী নিষিদ্ধ?</v>
      </c>
      <c r="L107" s="4" t="str">
        <f>IFERROR(__xludf.DUMMYFUNCTION("GOOGLETRANSLATE(C107, ""en"", ""bn"")"),"ক) পতাকা উড়ানো, খ) নদীতে লাফানো, গ) উল্লাস করা, ঘ) গান গাওয়া")</f>
        <v>ক) পতাকা উড়ানো, খ) নদীতে লাফানো, গ) উল্লাস করা, ঘ) গান গাওয়া</v>
      </c>
      <c r="M107" s="4" t="str">
        <f>IFERROR(__xludf.DUMMYFUNCTION("GOOGLETRANSLATE(D107, ""en"", ""bn"")"),"খ) নদীতে ঝাঁপ দেওয়া")</f>
        <v>খ) নদীতে ঝাঁপ দেওয়া</v>
      </c>
      <c r="N107" s="4" t="str">
        <f>IFERROR(__xludf.DUMMYFUNCTION("GOOGLETRANSLATE(E107, ""en"", ""bn"")"),"নিরাপত্তার জন্য দৌড়ের সময় নদীতে প্রবেশ করা কঠোরভাবে নিষিদ্ধ।")</f>
        <v>নিরাপত্তার জন্য দৌড়ের সময় নদীতে প্রবেশ করা কঠোরভাবে নিষিদ্ধ।</v>
      </c>
    </row>
    <row r="108">
      <c r="A108" s="3">
        <v>107.0</v>
      </c>
      <c r="B108" s="3" t="s">
        <v>2707</v>
      </c>
      <c r="C108" s="3" t="s">
        <v>2708</v>
      </c>
      <c r="D108" s="3" t="s">
        <v>2709</v>
      </c>
      <c r="E108" s="3" t="s">
        <v>2710</v>
      </c>
      <c r="J108" s="4" t="str">
        <f>IFERROR(__xludf.DUMMYFUNCTION("GOOGLETRANSLATE(A108, ""en"", ""bn"")"),"১০৭")</f>
        <v>১০৭</v>
      </c>
      <c r="K108" s="4" t="str">
        <f>IFERROR(__xludf.DUMMYFUNCTION("GOOGLETRANSLATE(B108, ""en"", ""bn"")"),"নৌকা বাইচে লেন লঙ্ঘন কীভাবে পরীক্ষা করা হয়?")</f>
        <v>নৌকা বাইচে লেন লঙ্ঘন কীভাবে পরীক্ষা করা হয়?</v>
      </c>
      <c r="L108" s="4" t="str">
        <f>IFERROR(__xludf.DUMMYFUNCTION("GOOGLETRANSLATE(C108, ""en"", ""bn"")"),"ক) দর্শক, খ) রেফারি, গ) ড্রামার, ঘ) দলের অধিনায়ক")</f>
        <v>ক) দর্শক, খ) রেফারি, গ) ড্রামার, ঘ) দলের অধিনায়ক</v>
      </c>
      <c r="M108" s="4" t="str">
        <f>IFERROR(__xludf.DUMMYFUNCTION("GOOGLETRANSLATE(D108, ""en"", ""bn"")"),"খ) রেফারি")</f>
        <v>খ) রেফারি</v>
      </c>
      <c r="N108" s="4" t="str">
        <f>IFERROR(__xludf.DUMMYFUNCTION("GOOGLETRANSLATE(E108, ""en"", ""bn"")"),"সুষ্ঠু খেলা নিশ্চিত করার জন্য রেফারিরা লেনগুলি পর্যবেক্ষণ করেন।")</f>
        <v>সুষ্ঠু খেলা নিশ্চিত করার জন্য রেফারিরা লেনগুলি পর্যবেক্ষণ করেন।</v>
      </c>
    </row>
    <row r="109">
      <c r="A109" s="3">
        <v>108.0</v>
      </c>
      <c r="B109" s="3" t="s">
        <v>2711</v>
      </c>
      <c r="C109" s="3" t="s">
        <v>2712</v>
      </c>
      <c r="D109" s="3" t="s">
        <v>2713</v>
      </c>
      <c r="E109" s="3" t="s">
        <v>2714</v>
      </c>
      <c r="J109" s="4" t="str">
        <f>IFERROR(__xludf.DUMMYFUNCTION("GOOGLETRANSLATE(A109, ""en"", ""bn"")"),"১০৮")</f>
        <v>১০৮</v>
      </c>
      <c r="K109" s="4" t="str">
        <f>IFERROR(__xludf.DUMMYFUNCTION("GOOGLETRANSLATE(B109, ""en"", ""bn"")"),"প্যাডেল দিয়ে নৌকাচালকদের কী করা এড়িয়ে চলা উচিত?")</f>
        <v>প্যাডেল দিয়ে নৌকাচালকদের কী করা এড়িয়ে চলা উচিত?</v>
      </c>
      <c r="L109" s="4" t="str">
        <f>IFERROR(__xludf.DUMMYFUNCTION("GOOGLETRANSLATE(C109, ""en"", ""bn"")"),"ক) তাদের ফেলে দেওয়া, খ) অন্য নৌকায় আঘাত করা, গ) একই সাথে নৌকা চালানো, ঘ) শক্ত করে ধরে রাখা")</f>
        <v>ক) তাদের ফেলে দেওয়া, খ) অন্য নৌকায় আঘাত করা, গ) একই সাথে নৌকা চালানো, ঘ) শক্ত করে ধরে রাখা</v>
      </c>
      <c r="M109" s="4" t="str">
        <f>IFERROR(__xludf.DUMMYFUNCTION("GOOGLETRANSLATE(D109, ""en"", ""bn"")"),"খ) অন্যান্য নৌকায় আঘাত করা")</f>
        <v>খ) অন্যান্য নৌকায় আঘাত করা</v>
      </c>
      <c r="N109" s="4" t="str">
        <f>IFERROR(__xludf.DUMMYFUNCTION("GOOGLETRANSLATE(E109, ""en"", ""bn"")"),"প্রতিপক্ষের নৌকায় আঘাত করার জন্য প্যাডেল ব্যবহার নিষিদ্ধ।")</f>
        <v>প্রতিপক্ষের নৌকায় আঘাত করার জন্য প্যাডেল ব্যবহার নিষিদ্ধ।</v>
      </c>
    </row>
    <row r="110">
      <c r="A110" s="3">
        <v>109.0</v>
      </c>
      <c r="B110" s="3" t="s">
        <v>2715</v>
      </c>
      <c r="C110" s="3" t="s">
        <v>2716</v>
      </c>
      <c r="D110" s="3" t="s">
        <v>2717</v>
      </c>
      <c r="E110" s="3" t="s">
        <v>2718</v>
      </c>
      <c r="J110" s="4" t="str">
        <f>IFERROR(__xludf.DUMMYFUNCTION("GOOGLETRANSLATE(A110, ""en"", ""bn"")"),"১০৯")</f>
        <v>১০৯</v>
      </c>
      <c r="K110" s="4" t="str">
        <f>IFERROR(__xludf.DUMMYFUNCTION("GOOGLETRANSLATE(B110, ""en"", ""bn"")"),"প্রতিযোগিতায় অংশগ্রহণের আগে প্রতিটি দলকে কী অনুসরণ করতে হবে?")</f>
        <v>প্রতিযোগিতায় অংশগ্রহণের আগে প্রতিটি দলকে কী অনুসরণ করতে হবে?</v>
      </c>
      <c r="L110" s="4" t="str">
        <f>IFERROR(__xludf.DUMMYFUNCTION("GOOGLETRANSLATE(C110, ""en"", ""bn"")"),"ক) নিবন্ধনের নিয়ম, খ) দর্শকের অনুমোদন, গ) এলোমেলো প্রবেশ, ঘ) স্ব-নির্বাচন")</f>
        <v>ক) নিবন্ধনের নিয়ম, খ) দর্শকের অনুমোদন, গ) এলোমেলো প্রবেশ, ঘ) স্ব-নির্বাচন</v>
      </c>
      <c r="M110" s="4" t="str">
        <f>IFERROR(__xludf.DUMMYFUNCTION("GOOGLETRANSLATE(D110, ""en"", ""bn"")"),"ক) নিবন্ধনের নিয়ম")</f>
        <v>ক) নিবন্ধনের নিয়ম</v>
      </c>
      <c r="N110" s="4" t="str">
        <f>IFERROR(__xludf.DUMMYFUNCTION("GOOGLETRANSLATE(E110, ""en"", ""bn"")"),"দৌড়ে অংশগ্রহণের জন্য দলগুলিকে আনুষ্ঠানিকভাবে নিবন্ধন করতে হবে।")</f>
        <v>দৌড়ে অংশগ্রহণের জন্য দলগুলিকে আনুষ্ঠানিকভাবে নিবন্ধন করতে হবে।</v>
      </c>
    </row>
    <row r="111">
      <c r="A111" s="3">
        <v>110.0</v>
      </c>
      <c r="B111" s="3" t="s">
        <v>2719</v>
      </c>
      <c r="C111" s="3" t="s">
        <v>2720</v>
      </c>
      <c r="D111" s="3" t="s">
        <v>2721</v>
      </c>
      <c r="E111" s="3" t="s">
        <v>2722</v>
      </c>
      <c r="J111" s="4" t="str">
        <f>IFERROR(__xludf.DUMMYFUNCTION("GOOGLETRANSLATE(A111, ""en"", ""bn"")"),"১১০")</f>
        <v>১১০</v>
      </c>
      <c r="K111" s="4" t="str">
        <f>IFERROR(__xludf.DUMMYFUNCTION("GOOGLETRANSLATE(B111, ""en"", ""bn"")"),"শুরুর সংকেতে নৌকাগুলিকে কী করতে হবে?")</f>
        <v>শুরুর সংকেতে নৌকাগুলিকে কী করতে হবে?</v>
      </c>
      <c r="L111" s="4" t="str">
        <f>IFERROR(__xludf.DUMMYFUNCTION("GOOGLETRANSLATE(C111, ""en"", ""bn"")"),"ক) একসাথে চলাফেরা করা, খ) এলোমেলোভাবে প্যাডেল চালানো, গ) ১০ সেকেন্ড অপেক্ষা করা, ঘ) ড্রিফট করা")</f>
        <v>ক) একসাথে চলাফেরা করা, খ) এলোমেলোভাবে প্যাডেল চালানো, গ) ১০ সেকেন্ড অপেক্ষা করা, ঘ) ড্রিফট করা</v>
      </c>
      <c r="M111" s="4" t="str">
        <f>IFERROR(__xludf.DUMMYFUNCTION("GOOGLETRANSLATE(D111, ""en"", ""bn"")"),"ক) একসাথে চলাফেরা করা")</f>
        <v>ক) একসাথে চলাফেরা করা</v>
      </c>
      <c r="N111" s="4" t="str">
        <f>IFERROR(__xludf.DUMMYFUNCTION("GOOGLETRANSLATE(E111, ""en"", ""bn"")"),"রেফারির সংকেতের পর সকল নৌকা একযোগে শুরু করতে হবে।")</f>
        <v>রেফারির সংকেতের পর সকল নৌকা একযোগে শুরু করতে হবে।</v>
      </c>
    </row>
    <row r="112">
      <c r="A112" s="3">
        <v>111.0</v>
      </c>
      <c r="B112" s="3" t="s">
        <v>2723</v>
      </c>
      <c r="C112" s="3" t="s">
        <v>2724</v>
      </c>
      <c r="D112" s="3" t="s">
        <v>2725</v>
      </c>
      <c r="E112" s="3" t="s">
        <v>2726</v>
      </c>
      <c r="J112" s="4" t="str">
        <f>IFERROR(__xludf.DUMMYFUNCTION("GOOGLETRANSLATE(A112, ""en"", ""bn"")"),"১১১")</f>
        <v>১১১</v>
      </c>
      <c r="K112" s="4" t="str">
        <f>IFERROR(__xludf.DUMMYFUNCTION("GOOGLETRANSLATE(B112, ""en"", ""bn"")"),"দৌড়ের সময় প্যাডেল হারিয়ে গেলে নিয়ম কী?")</f>
        <v>দৌড়ের সময় প্যাডেল হারিয়ে গেলে নিয়ম কী?</v>
      </c>
      <c r="L112" s="4" t="str">
        <f>IFERROR(__xludf.DUMMYFUNCTION("GOOGLETRANSLATE(C112, ""en"", ""bn"")"),"ক) তাৎক্ষণিকভাবে প্রতিস্থাপন করুন, খ) এটি ছাড়াই চালিয়ে যান, গ) রেফারিকে জিজ্ঞাসা করুন, ঘ) দৌড় বন্ধ করুন")</f>
        <v>ক) তাৎক্ষণিকভাবে প্রতিস্থাপন করুন, খ) এটি ছাড়াই চালিয়ে যান, গ) রেফারিকে জিজ্ঞাসা করুন, ঘ) দৌড় বন্ধ করুন</v>
      </c>
      <c r="M112" s="4" t="str">
        <f>IFERROR(__xludf.DUMMYFUNCTION("GOOGLETRANSLATE(D112, ""en"", ""bn"")"),"খ) এটি ছাড়াই চালিয়ে যান")</f>
        <v>খ) এটি ছাড়াই চালিয়ে যান</v>
      </c>
      <c r="N112" s="4" t="str">
        <f>IFERROR(__xludf.DUMMYFUNCTION("GOOGLETRANSLATE(E112, ""en"", ""bn"")"),"দলগুলিকে প্রতিস্থাপন প্যাডেল ছাড়াই চালিয়ে যেতে হবে।")</f>
        <v>দলগুলিকে প্রতিস্থাপন প্যাডেল ছাড়াই চালিয়ে যেতে হবে।</v>
      </c>
    </row>
    <row r="113">
      <c r="A113" s="3">
        <v>112.0</v>
      </c>
      <c r="B113" s="3" t="s">
        <v>2727</v>
      </c>
      <c r="C113" s="3" t="s">
        <v>2728</v>
      </c>
      <c r="D113" s="3" t="s">
        <v>2729</v>
      </c>
      <c r="E113" s="3" t="s">
        <v>2730</v>
      </c>
      <c r="J113" s="4" t="str">
        <f>IFERROR(__xludf.DUMMYFUNCTION("GOOGLETRANSLATE(A113, ""en"", ""bn"")"),"১১২")</f>
        <v>১১২</v>
      </c>
      <c r="K113" s="4" t="str">
        <f>IFERROR(__xludf.DUMMYFUNCTION("GOOGLETRANSLATE(B113, ""en"", ""bn"")"),"যদি কোন দল ইচ্ছাকৃতভাবে পিছনের দিকে সারি করে তাহলে কী হবে?")</f>
        <v>যদি কোন দল ইচ্ছাকৃতভাবে পিছনের দিকে সারি করে তাহলে কী হবে?</v>
      </c>
      <c r="L113" s="4" t="str">
        <f>IFERROR(__xludf.DUMMYFUNCTION("GOOGLETRANSLATE(C113, ""en"", ""bn"")"),"ক) অযোগ্য, খ) অনুমোদিত, গ) উপেক্ষা করা, ঘ) পুনরায় চালু করা")</f>
        <v>ক) অযোগ্য, খ) অনুমোদিত, গ) উপেক্ষা করা, ঘ) পুনরায় চালু করা</v>
      </c>
      <c r="M113" s="4" t="str">
        <f>IFERROR(__xludf.DUMMYFUNCTION("GOOGLETRANSLATE(D113, ""en"", ""bn"")"),"ক) অযোগ্য ঘোষণা")</f>
        <v>ক) অযোগ্য ঘোষণা</v>
      </c>
      <c r="N113" s="4" t="str">
        <f>IFERROR(__xludf.DUMMYFUNCTION("GOOGLETRANSLATE(E113, ""en"", ""bn"")"),"ইচ্ছাকৃতভাবে পিছনের দিকে নৌকা চালানো প্রতিযোগিতাকে ব্যাহত করে।")</f>
        <v>ইচ্ছাকৃতভাবে পিছনের দিকে নৌকা চালানো প্রতিযোগিতাকে ব্যাহত করে।</v>
      </c>
    </row>
    <row r="114">
      <c r="A114" s="3">
        <v>113.0</v>
      </c>
      <c r="B114" s="3" t="s">
        <v>2731</v>
      </c>
      <c r="C114" s="3" t="s">
        <v>2732</v>
      </c>
      <c r="D114" s="3" t="s">
        <v>2733</v>
      </c>
      <c r="E114" s="3" t="s">
        <v>2734</v>
      </c>
      <c r="J114" s="4" t="str">
        <f>IFERROR(__xludf.DUMMYFUNCTION("GOOGLETRANSLATE(A114, ""en"", ""bn"")"),"১১৩")</f>
        <v>১১৩</v>
      </c>
      <c r="K114" s="4" t="str">
        <f>IFERROR(__xludf.DUMMYFUNCTION("GOOGLETRANSLATE(B114, ""en"", ""bn"")"),"ওভারটেক করার সময় রোয়ারদের কী করা এড়িয়ে চলা উচিত?")</f>
        <v>ওভারটেক করার সময় রোয়ারদের কী করা এড়িয়ে চলা উচিত?</v>
      </c>
      <c r="L114" s="4" t="str">
        <f>IFERROR(__xludf.DUMMYFUNCTION("GOOGLETRANSLATE(C114, ""en"", ""bn"")"),"ক) দ্রুত প্যাডেল চালানো, খ) ইচ্ছাকৃতভাবে জল ছিটানো, গ) ছন্দ বজায় রাখা, ঘ) লেনে থাকা")</f>
        <v>ক) দ্রুত প্যাডেল চালানো, খ) ইচ্ছাকৃতভাবে জল ছিটানো, গ) ছন্দ বজায় রাখা, ঘ) লেনে থাকা</v>
      </c>
      <c r="M114" s="4" t="str">
        <f>IFERROR(__xludf.DUMMYFUNCTION("GOOGLETRANSLATE(D114, ""en"", ""bn"")"),"খ) ইচ্ছাকৃতভাবে জল ছিটানো")</f>
        <v>খ) ইচ্ছাকৃতভাবে জল ছিটানো</v>
      </c>
      <c r="N114" s="4" t="str">
        <f>IFERROR(__xludf.DUMMYFUNCTION("GOOGLETRANSLATE(E114, ""en"", ""bn"")"),"ইচ্ছাকৃতভাবে প্রতিপক্ষের উপর জল ছিটানো অনুমোদিত নয়।")</f>
        <v>ইচ্ছাকৃতভাবে প্রতিপক্ষের উপর জল ছিটানো অনুমোদিত নয়।</v>
      </c>
    </row>
    <row r="115">
      <c r="A115" s="3">
        <v>114.0</v>
      </c>
      <c r="B115" s="3" t="s">
        <v>2735</v>
      </c>
      <c r="C115" s="3" t="s">
        <v>2736</v>
      </c>
      <c r="D115" s="3" t="s">
        <v>2737</v>
      </c>
      <c r="E115" s="3" t="s">
        <v>2738</v>
      </c>
      <c r="J115" s="4" t="str">
        <f>IFERROR(__xludf.DUMMYFUNCTION("GOOGLETRANSLATE(A115, ""en"", ""bn"")"),"১১৪")</f>
        <v>১১৪</v>
      </c>
      <c r="K115" s="4" t="str">
        <f>IFERROR(__xludf.DUMMYFUNCTION("GOOGLETRANSLATE(B115, ""en"", ""bn"")"),"দৌড় প্রতিযোগিতা জুড়ে কোন ভূমিকাটি ধারাবাহিকভাবে পালন করা উচিত?")</f>
        <v>দৌড় প্রতিযোগিতা জুড়ে কোন ভূমিকাটি ধারাবাহিকভাবে পালন করা উচিত?</v>
      </c>
      <c r="L115" s="4" t="str">
        <f>IFERROR(__xludf.DUMMYFUNCTION("GOOGLETRANSLATE(C115, ""en"", ""bn"")"),"ক) ড্রামার, খ) রেফারি, গ) ক্যাপ্টেন, ঘ) দর্শক")</f>
        <v>ক) ড্রামার, খ) রেফারি, গ) ক্যাপ্টেন, ঘ) দর্শক</v>
      </c>
      <c r="M115" s="4" t="str">
        <f>IFERROR(__xludf.DUMMYFUNCTION("GOOGLETRANSLATE(D115, ""en"", ""bn"")"),"ক) ঢাকি")</f>
        <v>ক) ঢাকি</v>
      </c>
      <c r="N115" s="4" t="str">
        <f>IFERROR(__xludf.DUMMYFUNCTION("GOOGLETRANSLATE(E115, ""en"", ""bn"")"),"দৌড়ের মাঝখানে ড্রামারকে প্রতিস্থাপন করা যাবে না।")</f>
        <v>দৌড়ের মাঝখানে ড্রামারকে প্রতিস্থাপন করা যাবে না।</v>
      </c>
    </row>
    <row r="116">
      <c r="A116" s="3">
        <v>115.0</v>
      </c>
      <c r="B116" s="3" t="s">
        <v>2739</v>
      </c>
      <c r="C116" s="3" t="s">
        <v>2740</v>
      </c>
      <c r="D116" s="3" t="s">
        <v>2741</v>
      </c>
      <c r="E116" s="3" t="s">
        <v>2742</v>
      </c>
      <c r="J116" s="4" t="str">
        <f>IFERROR(__xludf.DUMMYFUNCTION("GOOGLETRANSLATE(A116, ""en"", ""bn"")"),"১১৫")</f>
        <v>১১৫</v>
      </c>
      <c r="K116" s="4" t="str">
        <f>IFERROR(__xludf.DUMMYFUNCTION("GOOGLETRANSLATE(B116, ""en"", ""bn"")"),"নৌকা বাইচে দলের আকার সম্পর্কে নিয়ম কী?")</f>
        <v>নৌকা বাইচে দলের আকার সম্পর্কে নিয়ম কী?</v>
      </c>
      <c r="L116" s="4" t="str">
        <f>IFERROR(__xludf.DUMMYFUNCTION("GOOGLETRANSLATE(C116, ""en"", ""bn"")"),"ক) নৌকার আকারের সাথে মিল থাকতে হবে, খ) সর্বদা ২০ হতে হবে, গ) সীমাহীন, ঘ) কমপক্ষে ৫০")</f>
        <v>ক) নৌকার আকারের সাথে মিল থাকতে হবে, খ) সর্বদা ২০ হতে হবে, গ) সীমাহীন, ঘ) কমপক্ষে ৫০</v>
      </c>
      <c r="M116" s="4" t="str">
        <f>IFERROR(__xludf.DUMMYFUNCTION("GOOGLETRANSLATE(D116, ""en"", ""bn"")"),"ক) নৌকার আকারের সাথে মিল থাকতে হবে")</f>
        <v>ক) নৌকার আকারের সাথে মিল থাকতে হবে</v>
      </c>
      <c r="N116" s="4" t="str">
        <f>IFERROR(__xludf.DUMMYFUNCTION("GOOGLETRANSLATE(E116, ""en"", ""bn"")"),"দলের আকার নৌকার আকারের উপর নির্ভর করে।")</f>
        <v>দলের আকার নৌকার আকারের উপর নির্ভর করে।</v>
      </c>
    </row>
    <row r="117">
      <c r="A117" s="3">
        <v>116.0</v>
      </c>
      <c r="B117" s="3" t="s">
        <v>2743</v>
      </c>
      <c r="C117" s="3" t="s">
        <v>2744</v>
      </c>
      <c r="D117" s="3" t="s">
        <v>2745</v>
      </c>
      <c r="E117" s="3" t="s">
        <v>2746</v>
      </c>
      <c r="J117" s="4" t="str">
        <f>IFERROR(__xludf.DUMMYFUNCTION("GOOGLETRANSLATE(A117, ""en"", ""bn"")"),"১১৬")</f>
        <v>১১৬</v>
      </c>
      <c r="K117" s="4" t="str">
        <f>IFERROR(__xludf.DUMMYFUNCTION("GOOGLETRANSLATE(B117, ""en"", ""bn"")"),"নদীর রেসকোর্সের বাঁকগুলিতে কী এড়ানো উচিত?")</f>
        <v>নদীর রেসকোর্সের বাঁকগুলিতে কী এড়ানো উচিত?</v>
      </c>
      <c r="L117" s="4" t="str">
        <f>IFERROR(__xludf.DUMMYFUNCTION("GOOGLETRANSLATE(C117, ""en"", ""bn"")"),"ক) সংঘর্ষ, খ) রোয়িং, গ) স্টিয়ারিং, ঘ) ছন্দ")</f>
        <v>ক) সংঘর্ষ, খ) রোয়িং, গ) স্টিয়ারিং, ঘ) ছন্দ</v>
      </c>
      <c r="M117" s="4" t="str">
        <f>IFERROR(__xludf.DUMMYFUNCTION("GOOGLETRANSLATE(D117, ""en"", ""bn"")"),"ক) সংঘর্ষ")</f>
        <v>ক) সংঘর্ষ</v>
      </c>
      <c r="N117" s="4" t="str">
        <f>IFERROR(__xludf.DUMMYFUNCTION("GOOGLETRANSLATE(E117, ""en"", ""bn"")"),"বাঁক নেভিগেট করার সময় দলগুলিকে সংঘর্ষ এড়াতে হবে।")</f>
        <v>বাঁক নেভিগেট করার সময় দলগুলিকে সংঘর্ষ এড়াতে হবে।</v>
      </c>
    </row>
    <row r="118">
      <c r="A118" s="3">
        <v>117.0</v>
      </c>
      <c r="B118" s="3" t="s">
        <v>2747</v>
      </c>
      <c r="C118" s="3" t="s">
        <v>2748</v>
      </c>
      <c r="D118" s="3" t="s">
        <v>2749</v>
      </c>
      <c r="E118" s="3" t="s">
        <v>2750</v>
      </c>
      <c r="J118" s="4" t="str">
        <f>IFERROR(__xludf.DUMMYFUNCTION("GOOGLETRANSLATE(A118, ""en"", ""bn"")"),"১১৭")</f>
        <v>১১৭</v>
      </c>
      <c r="K118" s="4" t="str">
        <f>IFERROR(__xludf.DUMMYFUNCTION("GOOGLETRANSLATE(B118, ""en"", ""bn"")"),"দুটি নৌকা যদি পুরোপুরি বাঁধে তাহলে কী হবে?")</f>
        <v>দুটি নৌকা যদি পুরোপুরি বাঁধে তাহলে কী হবে?</v>
      </c>
      <c r="L118" s="4" t="str">
        <f>IFERROR(__xludf.DUMMYFUNCTION("GOOGLETRANSLATE(C118, ""en"", ""bn"")"),"ক) রিপ্লে রেস, খ) উভয়ই হেরে যাওয়া, গ) একটি মুদ্রা ছুঁড়ে দেওয়া, ঘ) একটি পুরস্কার দেওয়া")</f>
        <v>ক) রিপ্লে রেস, খ) উভয়ই হেরে যাওয়া, গ) একটি মুদ্রা ছুঁড়ে দেওয়া, ঘ) একটি পুরস্কার দেওয়া</v>
      </c>
      <c r="M118" s="4" t="str">
        <f>IFERROR(__xludf.DUMMYFUNCTION("GOOGLETRANSLATE(D118, ""en"", ""bn"")"),"ক) রিপ্লে রেস")</f>
        <v>ক) রিপ্লে রেস</v>
      </c>
      <c r="N118" s="4" t="str">
        <f>IFERROR(__xludf.DUMMYFUNCTION("GOOGLETRANSLATE(E118, ""en"", ""bn"")"),"প্রয়োজনে দৌড় পুনরায় খেলার মাধ্যমে সমতা নিষ্পত্তি করা হয়।")</f>
        <v>প্রয়োজনে দৌড় পুনরায় খেলার মাধ্যমে সমতা নিষ্পত্তি করা হয়।</v>
      </c>
    </row>
    <row r="119">
      <c r="A119" s="3">
        <v>118.0</v>
      </c>
      <c r="B119" s="3" t="s">
        <v>2751</v>
      </c>
      <c r="C119" s="3" t="s">
        <v>2752</v>
      </c>
      <c r="D119" s="3" t="s">
        <v>2753</v>
      </c>
      <c r="E119" s="3" t="s">
        <v>2754</v>
      </c>
      <c r="J119" s="4" t="str">
        <f>IFERROR(__xludf.DUMMYFUNCTION("GOOGLETRANSLATE(A119, ""en"", ""bn"")"),"১১৮")</f>
        <v>১১৮</v>
      </c>
      <c r="K119" s="4" t="str">
        <f>IFERROR(__xludf.DUMMYFUNCTION("GOOGLETRANSLATE(B119, ""en"", ""bn"")"),"দৌড়ের দূরত্ব সম্পর্কে নিয়ম কী?")</f>
        <v>দৌড়ের দূরত্ব সম্পর্কে নিয়ম কী?</v>
      </c>
      <c r="L119" s="4" t="str">
        <f>IFERROR(__xludf.DUMMYFUNCTION("GOOGLETRANSLATE(C119, ""en"", ""bn"")"),"ক) ঠিক করতে হবে, খ) এলোমেলো, গ) জলের সাথে পরিবর্তিত হয়, ঘ) দল সিদ্ধান্ত নেয়")</f>
        <v>ক) ঠিক করতে হবে, খ) এলোমেলো, গ) জলের সাথে পরিবর্তিত হয়, ঘ) দল সিদ্ধান্ত নেয়</v>
      </c>
      <c r="M119" s="4" t="str">
        <f>IFERROR(__xludf.DUMMYFUNCTION("GOOGLETRANSLATE(D119, ""en"", ""bn"")"),"ক) ঠিক করতে হবে")</f>
        <v>ক) ঠিক করতে হবে</v>
      </c>
      <c r="N119" s="4" t="str">
        <f>IFERROR(__xludf.DUMMYFUNCTION("GOOGLETRANSLATE(E119, ""en"", ""bn"")"),"দৌড়ের দূরত্ব আয়োজক কমিটি দ্বারা নির্ধারিত হয়।")</f>
        <v>দৌড়ের দূরত্ব আয়োজক কমিটি দ্বারা নির্ধারিত হয়।</v>
      </c>
    </row>
    <row r="120">
      <c r="A120" s="3">
        <v>119.0</v>
      </c>
      <c r="B120" s="3" t="s">
        <v>2755</v>
      </c>
      <c r="C120" s="3" t="s">
        <v>2756</v>
      </c>
      <c r="D120" s="3" t="s">
        <v>401</v>
      </c>
      <c r="E120" s="3" t="s">
        <v>2757</v>
      </c>
      <c r="J120" s="4" t="str">
        <f>IFERROR(__xludf.DUMMYFUNCTION("GOOGLETRANSLATE(A120, ""en"", ""bn"")"),"১১৯")</f>
        <v>১১৯</v>
      </c>
      <c r="K120" s="4" t="str">
        <f>IFERROR(__xludf.DUMMYFUNCTION("GOOGLETRANSLATE(B120, ""en"", ""bn"")"),"যদি কোন দল জরুরি স্টপ উপেক্ষা করে তাহলে কী হবে?")</f>
        <v>যদি কোন দল জরুরি স্টপ উপেক্ষা করে তাহলে কী হবে?</v>
      </c>
      <c r="L120" s="4" t="str">
        <f>IFERROR(__xludf.DUMMYFUNCTION("GOOGLETRANSLATE(C120, ""en"", ""bn"")"),"ক) কোন জরিমানা নেই, খ) অতিরিক্ত পুরষ্কার, গ) অযোগ্যতা, ঘ) সতর্কতা")</f>
        <v>ক) কোন জরিমানা নেই, খ) অতিরিক্ত পুরষ্কার, গ) অযোগ্যতা, ঘ) সতর্কতা</v>
      </c>
      <c r="M120" s="4" t="str">
        <f>IFERROR(__xludf.DUMMYFUNCTION("GOOGLETRANSLATE(D120, ""en"", ""bn"")"),"গ) অযোগ্যতা")</f>
        <v>গ) অযোগ্যতা</v>
      </c>
      <c r="N120" s="4" t="str">
        <f>IFERROR(__xludf.DUMMYFUNCTION("GOOGLETRANSLATE(E120, ""en"", ""bn"")"),"জরুরি স্টপ উপেক্ষা করা একটি বড় লঙ্ঘন।")</f>
        <v>জরুরি স্টপ উপেক্ষা করা একটি বড় লঙ্ঘন।</v>
      </c>
    </row>
    <row r="121">
      <c r="A121" s="3">
        <v>120.0</v>
      </c>
      <c r="B121" s="3" t="s">
        <v>2758</v>
      </c>
      <c r="C121" s="3" t="s">
        <v>2759</v>
      </c>
      <c r="D121" s="3" t="s">
        <v>2760</v>
      </c>
      <c r="E121" s="3" t="s">
        <v>2761</v>
      </c>
      <c r="J121" s="4" t="str">
        <f>IFERROR(__xludf.DUMMYFUNCTION("GOOGLETRANSLATE(A121, ""en"", ""bn"")"),"১২০")</f>
        <v>১২০</v>
      </c>
      <c r="K121" s="4" t="str">
        <f>IFERROR(__xludf.DUMMYFUNCTION("GOOGLETRANSLATE(B121, ""en"", ""bn"")"),"কোন নিয়মে সকল দলের জন্য সমান সুযোগ নিশ্চিত করা হয়?")</f>
        <v>কোন নিয়মে সকল দলের জন্য সমান সুযোগ নিশ্চিত করা হয়?</v>
      </c>
      <c r="L121" s="4" t="str">
        <f>IFERROR(__xludf.DUMMYFUNCTION("GOOGLETRANSLATE(C121, ""en"", ""bn"")"),"ক) একই নৌকা সাজসজ্জা, খ) সমান লেনের প্রস্থ, গ) একই পোশাক, ঘ) সমান উল্লাস")</f>
        <v>ক) একই নৌকা সাজসজ্জা, খ) সমান লেনের প্রস্থ, গ) একই পোশাক, ঘ) সমান উল্লাস</v>
      </c>
      <c r="M121" s="4" t="str">
        <f>IFERROR(__xludf.DUMMYFUNCTION("GOOGLETRANSLATE(D121, ""en"", ""bn"")"),"খ) সমান লেনের প্রস্থ")</f>
        <v>খ) সমান লেনের প্রস্থ</v>
      </c>
      <c r="N121" s="4" t="str">
        <f>IFERROR(__xludf.DUMMYFUNCTION("GOOGLETRANSLATE(E121, ""en"", ""bn"")"),"সমান লেনের প্রস্থ নিশ্চিত করে যে সমস্ত নৌকা একই চ্যালেঞ্জের মুখোমুখি হবে।")</f>
        <v>সমান লেনের প্রস্থ নিশ্চিত করে যে সমস্ত নৌকা একই চ্যালেঞ্জের মুখোমুখি হবে।</v>
      </c>
    </row>
    <row r="122">
      <c r="A122" s="3">
        <v>121.0</v>
      </c>
      <c r="B122" s="3" t="s">
        <v>2762</v>
      </c>
      <c r="C122" s="3" t="s">
        <v>2763</v>
      </c>
      <c r="D122" s="3" t="s">
        <v>2764</v>
      </c>
      <c r="E122" s="3" t="s">
        <v>2765</v>
      </c>
      <c r="J122" s="4" t="str">
        <f>IFERROR(__xludf.DUMMYFUNCTION("GOOGLETRANSLATE(A122, ""en"", ""bn"")"),"১২১")</f>
        <v>১২১</v>
      </c>
      <c r="K122" s="4" t="str">
        <f>IFERROR(__xludf.DUMMYFUNCTION("GOOGLETRANSLATE(B122, ""en"", ""bn"")"),"শুরুর লাইনে কী এড়ানো উচিত?")</f>
        <v>শুরুর লাইনে কী এড়ানো উচিত?</v>
      </c>
      <c r="L122" s="4" t="str">
        <f>IFERROR(__xludf.DUMMYFUNCTION("GOOGLETRANSLATE(C122, ""en"", ""bn"")"),"ক) তাড়াতাড়ি ওভারটেক করা, খ) নৌকা সারিবদ্ধ করা, গ) সংকেতের জন্য অপেক্ষা করা, ঘ) চুপচাপ বসে থাকা")</f>
        <v>ক) তাড়াতাড়ি ওভারটেক করা, খ) নৌকা সারিবদ্ধ করা, গ) সংকেতের জন্য অপেক্ষা করা, ঘ) চুপচাপ বসে থাকা</v>
      </c>
      <c r="M122" s="4" t="str">
        <f>IFERROR(__xludf.DUMMYFUNCTION("GOOGLETRANSLATE(D122, ""en"", ""bn"")"),"ক) তাড়াতাড়ি ওভারটেকিং")</f>
        <v>ক) তাড়াতাড়ি ওভারটেকিং</v>
      </c>
      <c r="N122" s="4" t="str">
        <f>IFERROR(__xludf.DUMMYFUNCTION("GOOGLETRANSLATE(E122, ""en"", ""bn"")"),"সিগন্যালের আগে নৌকাগুলি অগ্রসর হওয়া উচিত নয়।")</f>
        <v>সিগন্যালের আগে নৌকাগুলি অগ্রসর হওয়া উচিত নয়।</v>
      </c>
    </row>
    <row r="123">
      <c r="A123" s="3">
        <v>122.0</v>
      </c>
      <c r="B123" s="3" t="s">
        <v>2766</v>
      </c>
      <c r="C123" s="3" t="s">
        <v>2767</v>
      </c>
      <c r="D123" s="3" t="s">
        <v>2768</v>
      </c>
      <c r="E123" s="3" t="s">
        <v>2769</v>
      </c>
      <c r="J123" s="4" t="str">
        <f>IFERROR(__xludf.DUMMYFUNCTION("GOOGLETRANSLATE(A123, ""en"", ""bn"")"),"১২২")</f>
        <v>১২২</v>
      </c>
      <c r="K123" s="4" t="str">
        <f>IFERROR(__xludf.DUMMYFUNCTION("GOOGLETRANSLATE(B123, ""en"", ""bn"")"),"যদি কোনও দল পরিদর্শন প্রত্যাখ্যান করে তাহলে কী হবে?")</f>
        <v>যদি কোনও দল পরিদর্শন প্রত্যাখ্যান করে তাহলে কী হবে?</v>
      </c>
      <c r="L123" s="4" t="str">
        <f>IFERROR(__xludf.DUMMYFUNCTION("GOOGLETRANSLATE(C123, ""en"", ""bn"")"),"ক) অনুমোদিত, খ) দণ্ডিত, গ) অযোগ্য, ঘ) উপেক্ষিত")</f>
        <v>ক) অনুমোদিত, খ) দণ্ডিত, গ) অযোগ্য, ঘ) উপেক্ষিত</v>
      </c>
      <c r="M123" s="4" t="str">
        <f>IFERROR(__xludf.DUMMYFUNCTION("GOOGLETRANSLATE(D123, ""en"", ""bn"")"),"গ) অযোগ্য ঘোষণা")</f>
        <v>গ) অযোগ্য ঘোষণা</v>
      </c>
      <c r="N123" s="4" t="str">
        <f>IFERROR(__xludf.DUMMYFUNCTION("GOOGLETRANSLATE(E123, ""en"", ""bn"")"),"পরিদর্শন প্রত্যাখ্যান করলে দলটি তাৎক্ষণিকভাবে অযোগ্য ঘোষণা হবে।")</f>
        <v>পরিদর্শন প্রত্যাখ্যান করলে দলটি তাৎক্ষণিকভাবে অযোগ্য ঘোষণা হবে।</v>
      </c>
    </row>
    <row r="124">
      <c r="A124" s="3">
        <v>123.0</v>
      </c>
      <c r="B124" s="3" t="s">
        <v>2770</v>
      </c>
      <c r="C124" s="3" t="s">
        <v>2771</v>
      </c>
      <c r="D124" s="3" t="s">
        <v>2772</v>
      </c>
      <c r="E124" s="3" t="s">
        <v>2773</v>
      </c>
      <c r="J124" s="4" t="str">
        <f>IFERROR(__xludf.DUMMYFUNCTION("GOOGLETRANSLATE(A124, ""en"", ""bn"")"),"১২৩")</f>
        <v>১২৩</v>
      </c>
      <c r="K124" s="4" t="str">
        <f>IFERROR(__xludf.DUMMYFUNCTION("GOOGLETRANSLATE(B124, ""en"", ""bn"")"),"ড্রামের সুর পরিবর্তন হলে রোয়ারদের কী করতে হবে?")</f>
        <v>ড্রামের সুর পরিবর্তন হলে রোয়ারদের কী করতে হবে?</v>
      </c>
      <c r="L124" s="4" t="str">
        <f>IFERROR(__xludf.DUMMYFUNCTION("GOOGLETRANSLATE(C124, ""en"", ""bn"")"),"ক) এটি উপেক্ষা করুন, খ) স্ট্রোক সামঞ্জস্য করুন, গ) রোয়িং বন্ধ করুন, ঘ) পার্শ্ব পরিবর্তন করুন")</f>
        <v>ক) এটি উপেক্ষা করুন, খ) স্ট্রোক সামঞ্জস্য করুন, গ) রোয়িং বন্ধ করুন, ঘ) পার্শ্ব পরিবর্তন করুন</v>
      </c>
      <c r="M124" s="4" t="str">
        <f>IFERROR(__xludf.DUMMYFUNCTION("GOOGLETRANSLATE(D124, ""en"", ""bn"")"),"খ) স্ট্রোক সামঞ্জস্য করুন")</f>
        <v>খ) স্ট্রোক সামঞ্জস্য করুন</v>
      </c>
      <c r="N124" s="4" t="str">
        <f>IFERROR(__xludf.DUMMYFUNCTION("GOOGLETRANSLATE(E124, ""en"", ""bn"")"),"ড্রামবিটের তালের উপর ভিত্তি করে রোয়াররা স্ট্রোক সামঞ্জস্য করে।")</f>
        <v>ড্রামবিটের তালের উপর ভিত্তি করে রোয়াররা স্ট্রোক সামঞ্জস্য করে।</v>
      </c>
    </row>
    <row r="125">
      <c r="A125" s="3">
        <v>124.0</v>
      </c>
      <c r="B125" s="3" t="s">
        <v>2774</v>
      </c>
      <c r="C125" s="3" t="s">
        <v>2775</v>
      </c>
      <c r="D125" s="3" t="s">
        <v>2776</v>
      </c>
      <c r="E125" s="3" t="s">
        <v>2777</v>
      </c>
      <c r="J125" s="4" t="str">
        <f>IFERROR(__xludf.DUMMYFUNCTION("GOOGLETRANSLATE(A125, ""en"", ""bn"")"),"১২৪")</f>
        <v>১২৪</v>
      </c>
      <c r="K125" s="4" t="str">
        <f>IFERROR(__xludf.DUMMYFUNCTION("GOOGLETRANSLATE(B125, ""en"", ""bn"")"),"দর্শকরা নৌকায় বাধা দিলে কী হবে?")</f>
        <v>দর্শকরা নৌকায় বাধা দিলে কী হবে?</v>
      </c>
      <c r="L125" s="4" t="str">
        <f>IFERROR(__xludf.DUMMYFUNCTION("GOOGLETRANSLATE(C125, ""en"", ""bn"")"),"ক) কোন প্রভাব নেই, খ) সতর্কতা, গ) পুনঃসূচনা, ঘ) দলের জন্য শাস্তি")</f>
        <v>ক) কোন প্রভাব নেই, খ) সতর্কতা, গ) পুনঃসূচনা, ঘ) দলের জন্য শাস্তি</v>
      </c>
      <c r="M125" s="4" t="str">
        <f>IFERROR(__xludf.DUMMYFUNCTION("GOOGLETRANSLATE(D125, ""en"", ""bn"")"),"ঘ) দলের জন্য জরিমানা")</f>
        <v>ঘ) দলের জন্য জরিমানা</v>
      </c>
      <c r="N125" s="4" t="str">
        <f>IFERROR(__xludf.DUMMYFUNCTION("GOOGLETRANSLATE(E125, ""en"", ""bn"")"),"সমর্থকরা হস্তক্ষেপ করলে দলগুলিকে শাস্তি দেওয়া হতে পারে।")</f>
        <v>সমর্থকরা হস্তক্ষেপ করলে দলগুলিকে শাস্তি দেওয়া হতে পারে।</v>
      </c>
    </row>
    <row r="126">
      <c r="A126" s="3">
        <v>125.0</v>
      </c>
      <c r="B126" s="3" t="s">
        <v>2778</v>
      </c>
      <c r="C126" s="3" t="s">
        <v>2779</v>
      </c>
      <c r="D126" s="3" t="s">
        <v>2780</v>
      </c>
      <c r="E126" s="3" t="s">
        <v>2781</v>
      </c>
      <c r="J126" s="4" t="str">
        <f>IFERROR(__xludf.DUMMYFUNCTION("GOOGLETRANSLATE(A126, ""en"", ""bn"")"),"১২৫")</f>
        <v>১২৫</v>
      </c>
      <c r="K126" s="4" t="str">
        <f>IFERROR(__xludf.DUMMYFUNCTION("GOOGLETRANSLATE(B126, ""en"", ""bn"")"),"অফিসিয়াল প্রতিযোগিতায় ইউনিফর্মের নিয়ম কী?")</f>
        <v>অফিসিয়াল প্রতিযোগিতায় ইউনিফর্মের নিয়ম কী?</v>
      </c>
      <c r="L126" s="4" t="str">
        <f>IFERROR(__xludf.DUMMYFUNCTION("GOOGLETRANSLATE(C126, ""en"", ""bn"")"),"ক) বাধ্যতামূলক, খ) ঐচ্ছিক, গ) শুধুমাত্র সাদা, ঘ) অনুমোদিত নয়")</f>
        <v>ক) বাধ্যতামূলক, খ) ঐচ্ছিক, গ) শুধুমাত্র সাদা, ঘ) অনুমোদিত নয়</v>
      </c>
      <c r="M126" s="4" t="str">
        <f>IFERROR(__xludf.DUMMYFUNCTION("GOOGLETRANSLATE(D126, ""en"", ""bn"")"),"ক) বাধ্যতামূলক")</f>
        <v>ক) বাধ্যতামূলক</v>
      </c>
      <c r="N126" s="4" t="str">
        <f>IFERROR(__xludf.DUMMYFUNCTION("GOOGLETRANSLATE(E126, ""en"", ""bn"")"),"ইউনিফর্ম রেফারি এবং দর্শকদের দল সনাক্ত করতে সাহায্য করে।")</f>
        <v>ইউনিফর্ম রেফারি এবং দর্শকদের দল সনাক্ত করতে সাহায্য করে।</v>
      </c>
    </row>
  </sheetData>
  <drawing r:id="rId1"/>
  <tableParts count="2">
    <tablePart r:id="rId4"/>
    <tablePart r:id="rId5"/>
  </tableParts>
</worksheet>
</file>